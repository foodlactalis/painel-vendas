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0C062B9B-53DD-4E05-81A9-99F81A943E31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externalReferences>
    <externalReference r:id="rId3"/>
    <externalReference r:id="rId4"/>
    <externalReference r:id="rId5"/>
  </externalReference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951" i="1" l="1"/>
  <c r="T3950" i="1"/>
  <c r="T3949" i="1"/>
  <c r="T3948" i="1"/>
  <c r="T3947" i="1"/>
  <c r="T3945" i="1"/>
  <c r="T3943" i="1"/>
  <c r="T3942" i="1"/>
  <c r="T3941" i="1"/>
  <c r="T3940" i="1"/>
  <c r="T3939" i="1"/>
  <c r="T3938" i="1"/>
  <c r="T3937" i="1"/>
  <c r="T3936" i="1"/>
  <c r="T3935" i="1"/>
  <c r="T3934" i="1"/>
  <c r="T3933" i="1"/>
  <c r="T3932" i="1"/>
  <c r="T3931" i="1"/>
  <c r="T3927" i="1"/>
  <c r="T3926" i="1"/>
  <c r="T3925" i="1"/>
  <c r="T3924" i="1"/>
  <c r="T3923" i="1"/>
  <c r="T3922" i="1"/>
  <c r="T3921" i="1"/>
  <c r="T3920" i="1"/>
  <c r="T3919" i="1"/>
  <c r="T3918" i="1"/>
  <c r="T3917" i="1"/>
  <c r="T3916" i="1"/>
  <c r="T3915" i="1"/>
  <c r="T3914" i="1"/>
  <c r="T3913" i="1"/>
  <c r="T3912" i="1"/>
  <c r="T3911" i="1"/>
  <c r="T3905" i="1"/>
  <c r="T3904" i="1"/>
  <c r="T3903" i="1"/>
  <c r="T3902" i="1"/>
  <c r="T3901" i="1"/>
  <c r="T3900" i="1"/>
  <c r="T3899" i="1"/>
  <c r="T3898" i="1"/>
  <c r="T3897" i="1"/>
  <c r="T3896" i="1"/>
  <c r="T3895" i="1"/>
  <c r="T3894" i="1"/>
  <c r="T3893" i="1"/>
  <c r="T3892" i="1"/>
  <c r="T3891" i="1"/>
  <c r="T3890" i="1"/>
  <c r="T3889" i="1"/>
  <c r="T3888" i="1"/>
  <c r="T3884" i="1"/>
  <c r="T3883" i="1"/>
  <c r="T3882" i="1"/>
  <c r="T3881" i="1"/>
  <c r="T3880" i="1"/>
  <c r="T3879" i="1"/>
  <c r="T3878" i="1"/>
  <c r="T3877" i="1"/>
  <c r="T3874" i="1"/>
  <c r="T3873" i="1"/>
  <c r="T3868" i="1"/>
  <c r="T3867" i="1"/>
  <c r="T3866" i="1"/>
  <c r="T3865" i="1"/>
  <c r="T3864" i="1"/>
  <c r="T3863" i="1"/>
  <c r="T3862" i="1"/>
  <c r="T3860" i="1"/>
  <c r="T3859" i="1"/>
  <c r="T3858" i="1"/>
  <c r="T3856" i="1"/>
  <c r="T3855" i="1"/>
  <c r="T3854" i="1"/>
  <c r="T3853" i="1"/>
  <c r="T3852" i="1"/>
  <c r="T3851" i="1"/>
  <c r="T3849" i="1"/>
  <c r="T3848" i="1"/>
  <c r="T3847" i="1"/>
  <c r="T3846" i="1"/>
  <c r="T3845" i="1"/>
  <c r="T3844" i="1"/>
  <c r="T3842" i="1"/>
  <c r="T3841" i="1"/>
  <c r="T3840" i="1"/>
  <c r="T3839" i="1"/>
  <c r="T3838" i="1"/>
  <c r="T3837" i="1"/>
  <c r="T3836" i="1"/>
  <c r="T3835" i="1"/>
  <c r="T3834" i="1"/>
  <c r="T3833" i="1"/>
  <c r="T3832" i="1"/>
  <c r="T3831" i="1"/>
  <c r="T3830" i="1"/>
  <c r="T3829" i="1"/>
  <c r="T3828" i="1"/>
  <c r="T3827" i="1"/>
  <c r="T3826" i="1"/>
  <c r="T3825" i="1"/>
  <c r="T3823" i="1"/>
  <c r="T3822" i="1"/>
  <c r="T3821" i="1"/>
  <c r="T3820" i="1"/>
  <c r="T3817" i="1"/>
  <c r="T3816" i="1"/>
  <c r="T3815" i="1"/>
  <c r="T3814" i="1"/>
  <c r="T3813" i="1"/>
  <c r="T3811" i="1"/>
  <c r="T3810" i="1"/>
  <c r="T3808" i="1"/>
  <c r="T3806" i="1"/>
  <c r="T3805" i="1"/>
  <c r="T3804" i="1"/>
  <c r="T3803" i="1"/>
  <c r="T3802" i="1"/>
  <c r="T3801" i="1"/>
  <c r="T3800" i="1"/>
  <c r="T3799" i="1"/>
  <c r="T3798" i="1"/>
  <c r="T3797" i="1"/>
  <c r="T3796" i="1"/>
  <c r="T3795" i="1"/>
  <c r="T3794" i="1"/>
  <c r="T3793" i="1"/>
  <c r="T3792" i="1"/>
  <c r="T3791" i="1"/>
  <c r="T3790" i="1"/>
  <c r="T3789" i="1"/>
  <c r="T3788" i="1"/>
  <c r="T3787" i="1"/>
  <c r="T3786" i="1"/>
  <c r="T3785" i="1"/>
  <c r="T3783" i="1"/>
  <c r="T3782" i="1"/>
  <c r="T3781" i="1"/>
  <c r="T3780" i="1"/>
  <c r="T3779" i="1"/>
  <c r="T3778" i="1"/>
  <c r="T3777" i="1"/>
  <c r="T3776" i="1"/>
  <c r="T3775" i="1"/>
  <c r="T3774" i="1"/>
  <c r="T3773" i="1"/>
  <c r="T3772" i="1"/>
  <c r="T3771" i="1"/>
  <c r="T3770" i="1"/>
  <c r="T3767" i="1"/>
  <c r="T3766" i="1"/>
  <c r="T3765" i="1"/>
  <c r="T3764" i="1"/>
  <c r="T3763" i="1"/>
  <c r="T3761" i="1"/>
  <c r="T3760" i="1"/>
  <c r="T3759" i="1"/>
  <c r="T3758" i="1"/>
  <c r="T3756" i="1"/>
  <c r="T3755" i="1"/>
  <c r="T3752" i="1"/>
  <c r="T3751" i="1"/>
  <c r="T3750" i="1"/>
  <c r="T3749" i="1"/>
  <c r="T3748" i="1"/>
  <c r="T3747" i="1"/>
  <c r="T3746" i="1"/>
  <c r="T3745" i="1"/>
  <c r="T3744" i="1"/>
  <c r="T3743" i="1"/>
  <c r="T3742" i="1"/>
  <c r="T3741" i="1"/>
  <c r="T3740" i="1"/>
  <c r="T3739" i="1"/>
  <c r="T3738" i="1"/>
  <c r="T3737" i="1"/>
  <c r="T3736" i="1"/>
  <c r="T3735" i="1"/>
  <c r="T3734" i="1"/>
  <c r="T3733" i="1"/>
  <c r="T3732" i="1"/>
  <c r="T3731" i="1"/>
  <c r="T3730" i="1"/>
  <c r="T3729" i="1"/>
  <c r="T3728" i="1"/>
  <c r="T3727" i="1"/>
  <c r="T3726" i="1"/>
  <c r="T3725" i="1"/>
  <c r="T3724" i="1"/>
  <c r="T3723" i="1"/>
  <c r="T3722" i="1"/>
  <c r="T3721" i="1"/>
  <c r="T3720" i="1"/>
  <c r="T3719" i="1"/>
  <c r="T3718" i="1"/>
  <c r="T3717" i="1"/>
  <c r="T3716" i="1"/>
  <c r="T3715" i="1"/>
  <c r="T3714" i="1"/>
  <c r="T3712" i="1"/>
  <c r="T3711" i="1"/>
  <c r="T3710" i="1"/>
  <c r="T3709" i="1"/>
  <c r="T3708" i="1"/>
  <c r="T3707" i="1"/>
  <c r="T3705" i="1"/>
  <c r="T3704" i="1"/>
  <c r="T3703" i="1"/>
  <c r="T3701" i="1"/>
  <c r="T3700" i="1"/>
  <c r="T3699" i="1"/>
  <c r="T3698" i="1"/>
  <c r="T3697" i="1"/>
  <c r="T3696" i="1"/>
  <c r="T3695" i="1"/>
  <c r="T3694" i="1"/>
  <c r="T3693" i="1"/>
  <c r="T3691" i="1"/>
  <c r="T3690" i="1"/>
  <c r="T3689" i="1"/>
  <c r="T3688" i="1"/>
  <c r="T3687" i="1"/>
  <c r="T3684" i="1"/>
  <c r="T3683" i="1"/>
  <c r="T3682" i="1"/>
  <c r="T3681" i="1"/>
  <c r="T3680" i="1"/>
  <c r="T3679" i="1"/>
  <c r="T3677" i="1"/>
  <c r="T3676" i="1"/>
  <c r="T3675" i="1"/>
  <c r="T3673" i="1"/>
  <c r="T3672" i="1"/>
  <c r="T3671" i="1"/>
  <c r="T3670" i="1"/>
  <c r="T3669" i="1"/>
  <c r="T3668" i="1"/>
  <c r="T3667" i="1"/>
  <c r="T3666" i="1"/>
  <c r="T3665" i="1"/>
  <c r="T3664" i="1"/>
  <c r="T3663" i="1"/>
  <c r="T3662" i="1"/>
  <c r="T3661" i="1"/>
  <c r="T3660" i="1"/>
  <c r="T3659" i="1"/>
  <c r="T3658" i="1"/>
  <c r="T3657" i="1"/>
  <c r="T3656" i="1"/>
  <c r="T3655" i="1"/>
  <c r="T3654" i="1"/>
  <c r="T3651" i="1"/>
  <c r="T3650" i="1"/>
  <c r="T3649" i="1"/>
  <c r="T3648" i="1"/>
  <c r="T3647" i="1"/>
  <c r="T3646" i="1"/>
  <c r="T3645" i="1"/>
  <c r="T3643" i="1"/>
  <c r="T3642" i="1"/>
  <c r="T3641" i="1"/>
  <c r="T3639" i="1"/>
  <c r="T3637" i="1"/>
  <c r="T3636" i="1"/>
  <c r="T3634" i="1"/>
  <c r="T3633" i="1"/>
  <c r="T3631" i="1"/>
  <c r="T3630" i="1"/>
  <c r="T3629" i="1"/>
  <c r="T3627" i="1"/>
  <c r="T3624" i="1"/>
  <c r="T3622" i="1"/>
  <c r="T3621" i="1"/>
  <c r="T3620" i="1"/>
  <c r="T3619" i="1"/>
  <c r="T3616" i="1"/>
  <c r="T3615" i="1"/>
  <c r="T3614" i="1"/>
  <c r="T3613" i="1"/>
  <c r="T3612" i="1"/>
  <c r="T3611" i="1"/>
  <c r="T3610" i="1"/>
  <c r="T3609" i="1"/>
  <c r="T3608" i="1"/>
  <c r="T3607" i="1"/>
  <c r="T3606" i="1"/>
  <c r="T3605" i="1"/>
  <c r="T3604" i="1"/>
  <c r="T3602" i="1"/>
  <c r="T3601" i="1"/>
  <c r="T3600" i="1"/>
  <c r="T3597" i="1"/>
  <c r="T3595" i="1"/>
  <c r="T3594" i="1"/>
  <c r="T3593" i="1"/>
  <c r="T3592" i="1"/>
  <c r="T3366" i="1"/>
  <c r="T3363" i="1"/>
  <c r="E3851" i="1"/>
  <c r="E3850" i="1"/>
  <c r="E3849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<sst xmlns="http://schemas.openxmlformats.org/spreadsheetml/2006/main" count="27768" uniqueCount="1777">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</sst>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Relationship Id="rId1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061585585\AppData\Local\Microsoft\Olk\Attachments\ooa-0547cff6-cc88-49e3-a1c4-1385f4f5f33f\3103bfb37255177c70aaf57c3c9a934db8fd62c1fb910de4ef71a87111087fc3\bebab4461e390c42e308d121f760f72fd5db7b6f492560c3f309f2a7e40.xlsb" TargetMode="External"/><Relationship Id="rId2" Type="http://schemas.microsoft.com/office/2019/04/relationships/externalLinkLongPath" Target="file:///C:\Users\061585585\AppData\Local\Microsoft\Olk\Attachments\ooa-0547cff6-cc88-49e3-a1c4-1385f4f5f33f\3103bfb37255177c70aaf57c3c9a934db8fd62c1fb910de4ef71a87111087fc3\bebab4461e390c42e308d121f760f72fd5db7b6f492560c3f309f2a7e40.xlsb?C87DDE52" TargetMode="External"/><Relationship Id="rId1" Type="http://schemas.openxmlformats.org/officeDocument/2006/relationships/externalLinkPath" Target="file:///\\C87DDE52\bebab4461e390c42e308d121f760f72fd5db7b6f492560c3f309f2a7e40.xlsb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061585585\Downloads\FORECAST%2013.10.2026.xlsx" TargetMode="External"/><Relationship Id="rId1" Type="http://schemas.openxmlformats.org/officeDocument/2006/relationships/externalLinkPath" Target="file:///C:\Users\061585585\Downloads\FORECAST%2013.10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CLIENTES"/>
    </sheetNames>
    <sheetDataSet>
      <sheetData sheetId="0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</row>
        <row r="2383">
          <cell r="B2383">
            <v>5069172</v>
          </cell>
          <cell r="C2383" t="str">
            <v>SANNA COMERCIO DE ALIMENTOS LTDA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</row>
        <row r="2928">
          <cell r="B2928">
            <v>5002549</v>
          </cell>
          <cell r="C2928" t="str">
            <v>SERVCATER INTERNACIONAL LTDA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SP</v>
          </cell>
        </row>
        <row r="2929">
          <cell r="B2929">
            <v>5006419</v>
          </cell>
          <cell r="C2929" t="str">
            <v>NUTRIFAZ CESTA LTDA EPP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MG</v>
          </cell>
        </row>
        <row r="2930">
          <cell r="B2930">
            <v>5006978</v>
          </cell>
          <cell r="C2930" t="str">
            <v>DISTRIBUIDORA E IMP IRMAOS AVELINO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SP</v>
          </cell>
        </row>
        <row r="2931">
          <cell r="B2931">
            <v>5009122</v>
          </cell>
          <cell r="C2931" t="str">
            <v>ROTTA DISTRI DE ALIMENTOS LTDA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PR</v>
          </cell>
        </row>
        <row r="2932">
          <cell r="B2932">
            <v>5009420</v>
          </cell>
          <cell r="C2932" t="str">
            <v>BASF SA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SP</v>
          </cell>
        </row>
        <row r="2933">
          <cell r="B2933">
            <v>5011709</v>
          </cell>
          <cell r="C2933" t="str">
            <v>COM E REPRESENTACOES CECOTI LTDA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MG</v>
          </cell>
        </row>
        <row r="2934">
          <cell r="B2934">
            <v>5012641</v>
          </cell>
          <cell r="C2934" t="str">
            <v>COM LOURO DE FRIOS E SALGADOS LTDA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SP</v>
          </cell>
        </row>
        <row r="2935">
          <cell r="B2935">
            <v>5013871</v>
          </cell>
          <cell r="C2935" t="str">
            <v>DESCARTEL DISTRIBUIDORA LTDA ME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MG</v>
          </cell>
        </row>
        <row r="2936">
          <cell r="B2936">
            <v>5014910</v>
          </cell>
          <cell r="C2936" t="str">
            <v>ESTORIL SOL FESTAS E DOCES LTDA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SP</v>
          </cell>
        </row>
        <row r="2937">
          <cell r="B2937">
            <v>5015262</v>
          </cell>
          <cell r="C2937" t="str">
            <v>CENTRO COMERCIAL DE ALIMENTOS LTDA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SC</v>
          </cell>
        </row>
        <row r="2938">
          <cell r="B2938">
            <v>5017576</v>
          </cell>
          <cell r="C2938" t="str">
            <v>COMERCIAL DISKPAN LTDA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ES</v>
          </cell>
        </row>
        <row r="2939">
          <cell r="B2939">
            <v>5019640</v>
          </cell>
          <cell r="C2939" t="str">
            <v>BIG CHURROS DE PIRACICABA LTDA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SP</v>
          </cell>
        </row>
        <row r="2940">
          <cell r="B2940">
            <v>5021079</v>
          </cell>
          <cell r="C2940" t="str">
            <v>MARIANGELA BUFFET LTDA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MG</v>
          </cell>
        </row>
        <row r="2941">
          <cell r="B2941">
            <v>5022847</v>
          </cell>
          <cell r="C2941" t="str">
            <v>CHOCOLIDER COM EMBALAGENS LTDA EPP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SP</v>
          </cell>
        </row>
        <row r="2942">
          <cell r="B2942">
            <v>5023870</v>
          </cell>
          <cell r="C2942" t="str">
            <v>GOLD INDUSTRIA E COMERCIO LTDA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PR</v>
          </cell>
        </row>
        <row r="2943">
          <cell r="B2943">
            <v>5024011</v>
          </cell>
          <cell r="C2943" t="str">
            <v>M C MORAES ME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ES</v>
          </cell>
        </row>
        <row r="2944">
          <cell r="B2944">
            <v>5024950</v>
          </cell>
          <cell r="C2944" t="str">
            <v>DUAS RODAS INDUSTRIAL LTDA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SC</v>
          </cell>
        </row>
        <row r="2945">
          <cell r="B2945">
            <v>5026400</v>
          </cell>
          <cell r="C2945" t="str">
            <v>FERMISUL FERMENTOSE PROD PARA PANIF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PR</v>
          </cell>
        </row>
        <row r="2946">
          <cell r="B2946">
            <v>5026768</v>
          </cell>
          <cell r="C2946" t="str">
            <v>FORTALI DIST DE ALIMENTOS LTDA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CE</v>
          </cell>
        </row>
        <row r="2947">
          <cell r="B2947">
            <v>5026855</v>
          </cell>
          <cell r="C2947" t="str">
            <v>SIBELE ALIMENTOS LTDA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MG</v>
          </cell>
        </row>
        <row r="2948">
          <cell r="B2948">
            <v>5027769</v>
          </cell>
          <cell r="C2948" t="str">
            <v>TAPIOCARIA DE ITAPUA LTDA ME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BA</v>
          </cell>
        </row>
        <row r="2949">
          <cell r="B2949">
            <v>5041698</v>
          </cell>
          <cell r="C2949" t="str">
            <v>REFFEL PRODUTOS ALIMENTICIOS LT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SP</v>
          </cell>
        </row>
        <row r="2950">
          <cell r="B2950">
            <v>5043271</v>
          </cell>
          <cell r="C2950" t="str">
            <v>DOCES RICCO LTDA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MG</v>
          </cell>
        </row>
        <row r="2951">
          <cell r="B2951">
            <v>5044784</v>
          </cell>
          <cell r="C2951" t="str">
            <v>BOZZETTI COMERCIO DE DOCES LTDA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ES</v>
          </cell>
        </row>
        <row r="2952">
          <cell r="B2952">
            <v>5051163</v>
          </cell>
          <cell r="C2952" t="str">
            <v>COOK EMPREENDIMENTOS EM ALIM COLETI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MG</v>
          </cell>
        </row>
        <row r="2953">
          <cell r="B2953">
            <v>5059971</v>
          </cell>
          <cell r="C2953" t="str">
            <v>GATE GOURMET LT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SP</v>
          </cell>
        </row>
        <row r="2954">
          <cell r="B2954">
            <v>5068894</v>
          </cell>
          <cell r="C2954" t="str">
            <v>ESDEL COM PRODUTOS ALIMENTARES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PR</v>
          </cell>
        </row>
        <row r="2955">
          <cell r="B2955">
            <v>5070522</v>
          </cell>
          <cell r="C2955" t="str">
            <v>WEA COM DE PROD DE PANIF LTDA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SP</v>
          </cell>
        </row>
        <row r="2956">
          <cell r="B2956">
            <v>5084421</v>
          </cell>
          <cell r="C2956" t="str">
            <v>BONOTTO E COSTA COM ALIMENTOS L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RS</v>
          </cell>
        </row>
        <row r="2957">
          <cell r="B2957">
            <v>5086953</v>
          </cell>
          <cell r="C2957" t="str">
            <v>MABE ALIMENTOS LTDA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SP</v>
          </cell>
        </row>
        <row r="2958">
          <cell r="B2958">
            <v>5115814</v>
          </cell>
          <cell r="C2958" t="str">
            <v>HAND BAKER DIST DE PROD P PANIF EIR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RJ</v>
          </cell>
        </row>
        <row r="2959">
          <cell r="B2959">
            <v>5119520</v>
          </cell>
          <cell r="C2959" t="str">
            <v>CIA BEAL DE ALIMENTOS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PR</v>
          </cell>
        </row>
        <row r="2960">
          <cell r="B2960">
            <v>5127549</v>
          </cell>
          <cell r="C2960" t="str">
            <v>SECOMANDI IND E COM DE SORVETES LTD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ES</v>
          </cell>
        </row>
        <row r="2961">
          <cell r="B2961">
            <v>5131228</v>
          </cell>
          <cell r="C2961" t="str">
            <v>POLENGHI INDUSTRIAS ALIMS LTDA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GO</v>
          </cell>
        </row>
        <row r="2962">
          <cell r="B2962">
            <v>5134556</v>
          </cell>
          <cell r="C2962" t="str">
            <v>S P PRODUTOS LTDA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ES</v>
          </cell>
        </row>
        <row r="2963">
          <cell r="B2963">
            <v>5136048</v>
          </cell>
          <cell r="C2963" t="str">
            <v>TARGUZ COMERCIO LTDA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AL</v>
          </cell>
        </row>
        <row r="2964">
          <cell r="B2964">
            <v>5138561</v>
          </cell>
          <cell r="C2964" t="str">
            <v>M J SAIA E CIA LTDA ME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SP</v>
          </cell>
        </row>
        <row r="2965">
          <cell r="B2965">
            <v>5139714</v>
          </cell>
          <cell r="C2965" t="str">
            <v>COLORE INDUSTRIA E COMERCIO LTD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MG</v>
          </cell>
        </row>
        <row r="2966">
          <cell r="B2966">
            <v>5141420</v>
          </cell>
          <cell r="C2966" t="str">
            <v>UNIPAN COMERCIO DE PROD ALIM LT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DF</v>
          </cell>
        </row>
        <row r="2967">
          <cell r="B2967">
            <v>5142828</v>
          </cell>
          <cell r="C2967" t="str">
            <v>JACOMASSO COMERCIO DE BOLOS LTDA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PR</v>
          </cell>
        </row>
        <row r="2968">
          <cell r="B2968">
            <v>5144654</v>
          </cell>
          <cell r="C2968" t="str">
            <v>SAUIPE SA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BA</v>
          </cell>
        </row>
        <row r="2969">
          <cell r="B2969">
            <v>5145924</v>
          </cell>
          <cell r="C2969" t="str">
            <v>CAFE TRES CORACOES SA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MG</v>
          </cell>
        </row>
        <row r="2970">
          <cell r="B2970">
            <v>5147526</v>
          </cell>
          <cell r="C2970" t="str">
            <v>SAPORE SA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RJ</v>
          </cell>
        </row>
        <row r="2971">
          <cell r="B2971">
            <v>5151341</v>
          </cell>
          <cell r="C2971" t="str">
            <v>FORMAGGIO DISTRIBUICAO AL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PE</v>
          </cell>
        </row>
        <row r="2972">
          <cell r="B2972">
            <v>5157891</v>
          </cell>
          <cell r="C2972" t="str">
            <v>NOVA MEGA G ATACADISTA DE ALIM SA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SP</v>
          </cell>
        </row>
        <row r="2973">
          <cell r="B2973">
            <v>5159222</v>
          </cell>
          <cell r="C2973" t="str">
            <v>DISPROPAN LTDA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MG</v>
          </cell>
        </row>
        <row r="2974">
          <cell r="B2974">
            <v>5159289</v>
          </cell>
          <cell r="C2974" t="str">
            <v>FUNCHAL IND COM DE PAPEIS LT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SP</v>
          </cell>
        </row>
        <row r="2975">
          <cell r="B2975">
            <v>5159508</v>
          </cell>
          <cell r="C2975" t="str">
            <v>BRASILPLAST EMB E DESCARTAVEIS LTDA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MG</v>
          </cell>
        </row>
        <row r="2976">
          <cell r="B2976">
            <v>5161553</v>
          </cell>
          <cell r="C2976" t="str">
            <v>SAPORE SA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PR</v>
          </cell>
        </row>
        <row r="2977">
          <cell r="B2977">
            <v>5161583</v>
          </cell>
          <cell r="C2977" t="str">
            <v>DOHLER AMERICA LATINA LTDA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SP</v>
          </cell>
        </row>
        <row r="2978">
          <cell r="B2978">
            <v>5162498</v>
          </cell>
          <cell r="C2978" t="str">
            <v>DOCE ENCONTRO LTDA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PR</v>
          </cell>
        </row>
        <row r="2979">
          <cell r="B2979">
            <v>5164717</v>
          </cell>
          <cell r="C2979" t="str">
            <v>HENDUPAN COM DE PROD CON LTDA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SP</v>
          </cell>
        </row>
        <row r="2980">
          <cell r="B2980">
            <v>5166328</v>
          </cell>
          <cell r="C2980" t="str">
            <v>OFICINA DO SORVETE LTDA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PR</v>
          </cell>
        </row>
        <row r="2981">
          <cell r="B2981">
            <v>5168151</v>
          </cell>
          <cell r="C2981" t="str">
            <v>I S M GOMES DE MATTOS LTDA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CE</v>
          </cell>
        </row>
        <row r="2982">
          <cell r="B2982">
            <v>5171550</v>
          </cell>
          <cell r="C2982" t="str">
            <v>PSG COMERCIO DE ALIMENTOS LTDA ME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PR</v>
          </cell>
        </row>
        <row r="2983">
          <cell r="B2983">
            <v>5172699</v>
          </cell>
          <cell r="C2983" t="str">
            <v>ATOS PAN COM DE PROD ALIM EIRELI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SP</v>
          </cell>
        </row>
        <row r="2984">
          <cell r="B2984">
            <v>5173427</v>
          </cell>
          <cell r="C2984" t="str">
            <v>DISTRIPACK DIST DE EMBALAGENS LTDA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MG</v>
          </cell>
        </row>
        <row r="2985">
          <cell r="B2985">
            <v>5174259</v>
          </cell>
          <cell r="C2985" t="str">
            <v>MIX TUDO COMERCIO E SERVICOS EI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ES</v>
          </cell>
        </row>
        <row r="2986">
          <cell r="B2986">
            <v>5178343</v>
          </cell>
          <cell r="C2986" t="str">
            <v>NT INDSUTRIA E COM DE PANIFICAC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AM</v>
          </cell>
        </row>
        <row r="2987">
          <cell r="B2987">
            <v>5178518</v>
          </cell>
          <cell r="C2987" t="str">
            <v>NECHIO COMERCIO DISTRIB DE ALIMENT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RJ</v>
          </cell>
        </row>
        <row r="2988">
          <cell r="B2988">
            <v>5180088</v>
          </cell>
          <cell r="C2988" t="str">
            <v>CARMEL IND E COM DE SOBREMESAS LTDA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PR</v>
          </cell>
        </row>
        <row r="2989">
          <cell r="B2989">
            <v>5181722</v>
          </cell>
          <cell r="C2989" t="str">
            <v>CINDERELA SORVETES LTDA ME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ES</v>
          </cell>
        </row>
        <row r="2990">
          <cell r="B2990">
            <v>5181837</v>
          </cell>
          <cell r="C2990" t="str">
            <v>LEVI KARKLIS 65217756934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SC</v>
          </cell>
        </row>
        <row r="2991">
          <cell r="B2991">
            <v>5182195</v>
          </cell>
          <cell r="C2991" t="str">
            <v>VR BUZIM COMERCIO PROD ALIMENTICIOS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ES</v>
          </cell>
        </row>
        <row r="2992">
          <cell r="B2992">
            <v>5184155</v>
          </cell>
          <cell r="C2992" t="str">
            <v>EJP COMERCIO DE ALIMENTOS LTDA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CE</v>
          </cell>
        </row>
        <row r="2993">
          <cell r="B2993">
            <v>5186266</v>
          </cell>
          <cell r="C2993" t="str">
            <v>SORVEPANI COMERCIAL E DISTRIBUIDORA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AM</v>
          </cell>
        </row>
        <row r="2994">
          <cell r="B2994">
            <v>5186815</v>
          </cell>
          <cell r="C2994" t="str">
            <v>PILLAR DOCES E EMBALAGENS LTDA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ES</v>
          </cell>
        </row>
        <row r="2995">
          <cell r="B2995">
            <v>5186822</v>
          </cell>
          <cell r="C2995" t="str">
            <v>BERTINI INDUSTRIA E COMERCIO DE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PR</v>
          </cell>
        </row>
        <row r="2996">
          <cell r="B2996">
            <v>5189644</v>
          </cell>
          <cell r="C2996" t="str">
            <v>BOCAO COMERCIO DE DOCES LTDA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SP</v>
          </cell>
        </row>
        <row r="2997">
          <cell r="B2997">
            <v>5193349</v>
          </cell>
          <cell r="C2997" t="str">
            <v>SYACABA NO SORVETE LTDA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MG</v>
          </cell>
        </row>
        <row r="2998">
          <cell r="B2998">
            <v>5194018</v>
          </cell>
          <cell r="C2998" t="str">
            <v>GURIRI EMBALAGENS LTDA ME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ES</v>
          </cell>
        </row>
        <row r="2999">
          <cell r="B2999">
            <v>5194641</v>
          </cell>
          <cell r="C2999" t="str">
            <v>BEVERAGER EQUIPAMENTOS E BEBIDA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MG</v>
          </cell>
        </row>
        <row r="3000">
          <cell r="B3000">
            <v>5195605</v>
          </cell>
          <cell r="C3000" t="str">
            <v>PLANETA DOCES E ALIMENTICIOS EIRELI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SP</v>
          </cell>
        </row>
        <row r="3001">
          <cell r="B3001">
            <v>5196675</v>
          </cell>
          <cell r="C3001" t="str">
            <v>ROMAPAN ALIMENTOS LTDA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GO</v>
          </cell>
        </row>
        <row r="3002">
          <cell r="B3002">
            <v>5196867</v>
          </cell>
          <cell r="C3002" t="str">
            <v>DEPOSITO DE DOCES MALU LTDA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SP</v>
          </cell>
        </row>
        <row r="3003">
          <cell r="B3003">
            <v>5198408</v>
          </cell>
          <cell r="C3003" t="str">
            <v>MARIA ISABEL TOMICH DUARTE 0150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MG</v>
          </cell>
        </row>
        <row r="3004">
          <cell r="B3004">
            <v>5198698</v>
          </cell>
          <cell r="C3004" t="str">
            <v>PANDURATA ALIMENTOS LTDA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SP</v>
          </cell>
        </row>
        <row r="3005">
          <cell r="B3005">
            <v>5198979</v>
          </cell>
          <cell r="C3005" t="str">
            <v>PENIEL DIST DE MEDICAMENTOS E A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PR</v>
          </cell>
        </row>
        <row r="3006">
          <cell r="B3006">
            <v>5199005</v>
          </cell>
          <cell r="C3006" t="str">
            <v>IMAC INDUSTRIA DE MASSAS CONGEL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CE</v>
          </cell>
        </row>
        <row r="3007">
          <cell r="B3007">
            <v>5199893</v>
          </cell>
          <cell r="C3007" t="str">
            <v>JADE COM ATAC DE PROD EM SACHES LTD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SC</v>
          </cell>
        </row>
        <row r="3008">
          <cell r="B3008">
            <v>5200125</v>
          </cell>
          <cell r="C3008" t="str">
            <v>DOCA COM DE EMB LTDA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CE</v>
          </cell>
        </row>
        <row r="3009">
          <cell r="B3009">
            <v>5204939</v>
          </cell>
          <cell r="C3009" t="str">
            <v>UNICA COMERCIO E DISTRIBUICAO L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SP</v>
          </cell>
        </row>
        <row r="3010">
          <cell r="B3010">
            <v>5206830</v>
          </cell>
          <cell r="C3010" t="str">
            <v>IND E COM DE SORVETES FRUTAMIX LTDA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MG</v>
          </cell>
        </row>
        <row r="3011">
          <cell r="B3011">
            <v>5207394</v>
          </cell>
          <cell r="C3011" t="str">
            <v>NEWREST BRASIL S A AO T AEREO LTDA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RJ</v>
          </cell>
        </row>
        <row r="3012">
          <cell r="B3012">
            <v>5207685</v>
          </cell>
          <cell r="C3012" t="str">
            <v>ESPECIALI INDUSTRIA DE ALIMENTO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MG</v>
          </cell>
        </row>
        <row r="3013">
          <cell r="B3013">
            <v>5208028</v>
          </cell>
          <cell r="C3013" t="str">
            <v>MISTUREX COMERCIO ATACA DE ALIMENT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ES</v>
          </cell>
        </row>
        <row r="3014">
          <cell r="B3014">
            <v>5212486</v>
          </cell>
          <cell r="C3014" t="str">
            <v>FRUTAROM DO BRASIL IND E COM LT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MG</v>
          </cell>
        </row>
        <row r="3015">
          <cell r="B3015">
            <v>5213484</v>
          </cell>
          <cell r="C3015" t="str">
            <v>HAVANA COMERCIO DE BEBIDAS LTDA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SP</v>
          </cell>
        </row>
        <row r="3016">
          <cell r="B3016">
            <v>5214453</v>
          </cell>
          <cell r="C3016" t="str">
            <v>DIA DISTRIBUICAO E IMPORTACAO AFOGA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PE</v>
          </cell>
        </row>
        <row r="3017">
          <cell r="B3017">
            <v>5214670</v>
          </cell>
          <cell r="C3017" t="str">
            <v>LORENZ COMERCIO E DIST DE ALIM LTDA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MS</v>
          </cell>
        </row>
        <row r="3018">
          <cell r="B3018">
            <v>5216004</v>
          </cell>
          <cell r="C3018" t="str">
            <v>PANCRISTAL LTDA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PE</v>
          </cell>
        </row>
        <row r="3019">
          <cell r="B3019">
            <v>5216557</v>
          </cell>
          <cell r="C3019" t="str">
            <v>G A R DE LUCENA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SP</v>
          </cell>
        </row>
        <row r="3020">
          <cell r="B3020">
            <v>5219839</v>
          </cell>
          <cell r="C3020" t="str">
            <v>RIBERPAN COMERCIO DE ALIMENTOS LTDA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RS</v>
          </cell>
        </row>
        <row r="3021">
          <cell r="B3021">
            <v>5220998</v>
          </cell>
          <cell r="C3021" t="str">
            <v>GELADOM SORVETES LTDA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BA</v>
          </cell>
        </row>
        <row r="3022">
          <cell r="B3022">
            <v>5224043</v>
          </cell>
          <cell r="C3022" t="str">
            <v>MILANO COM VAREJ DE ALIMENTOS S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MG</v>
          </cell>
        </row>
        <row r="3023">
          <cell r="B3023">
            <v>5224055</v>
          </cell>
          <cell r="C3023" t="str">
            <v>BRUXELAS INDUSTRIA E COMERCIO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SP</v>
          </cell>
        </row>
        <row r="3024">
          <cell r="B3024">
            <v>5224404</v>
          </cell>
          <cell r="C3024" t="str">
            <v>HJA DISTRIBUIDORA E ATACADISTA LTDA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MG</v>
          </cell>
        </row>
        <row r="3025">
          <cell r="B3025">
            <v>5226360</v>
          </cell>
          <cell r="C3025" t="str">
            <v>GELA GOURMET LTDA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BA</v>
          </cell>
        </row>
        <row r="3026">
          <cell r="B3026">
            <v>5226805</v>
          </cell>
          <cell r="C3026" t="str">
            <v>OESA COMERCIO E REPRESENTACOES SA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MG</v>
          </cell>
        </row>
        <row r="3027">
          <cell r="B3027">
            <v>5226985</v>
          </cell>
          <cell r="C3027" t="str">
            <v>DISTRIBUIDORA E IMP IRMAOS AVELINO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SP</v>
          </cell>
        </row>
        <row r="3028">
          <cell r="B3028">
            <v>5227283</v>
          </cell>
          <cell r="C3028" t="str">
            <v>ACAITERIA EXPRESS LTDA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MG</v>
          </cell>
        </row>
        <row r="3029">
          <cell r="B3029">
            <v>5227605</v>
          </cell>
          <cell r="C3029" t="str">
            <v>FORTE DIST DE GENERO ALIM DES E LIM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BA</v>
          </cell>
        </row>
        <row r="3030">
          <cell r="B3030">
            <v>5228735</v>
          </cell>
          <cell r="C3030" t="str">
            <v>JETRO CA FERREIRA ME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PR</v>
          </cell>
        </row>
        <row r="3031">
          <cell r="B3031">
            <v>5229017</v>
          </cell>
          <cell r="C3031" t="str">
            <v>O MUNDO DOS CHOCOLATES LTDA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RN</v>
          </cell>
        </row>
        <row r="3032">
          <cell r="B3032">
            <v>5229130</v>
          </cell>
          <cell r="C3032" t="str">
            <v>PLATLOG IMPORTACAO LOGISTICA E DIST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SP</v>
          </cell>
        </row>
        <row r="3033">
          <cell r="B3033">
            <v>5229525</v>
          </cell>
          <cell r="C3033" t="str">
            <v>LEVE BOLOS CONFEITARIA LTDA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PR</v>
          </cell>
        </row>
        <row r="3034">
          <cell r="B3034">
            <v>5229831</v>
          </cell>
          <cell r="C3034" t="str">
            <v>BRIGADEIRO INDUSTRIA E COMERCIO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RJ</v>
          </cell>
        </row>
        <row r="3035">
          <cell r="B3035">
            <v>5230104</v>
          </cell>
          <cell r="C3035" t="str">
            <v>FC DISTRIBUIDORA DE CHOCOLATES LTDA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PR</v>
          </cell>
        </row>
        <row r="3036">
          <cell r="B3036">
            <v>5230141</v>
          </cell>
          <cell r="C3036" t="str">
            <v>DADALTO E SILVA LTDA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ES</v>
          </cell>
        </row>
        <row r="3037">
          <cell r="B3037">
            <v>5230884</v>
          </cell>
          <cell r="C3037" t="str">
            <v>PROREGI IND COM E IMPORT LTDA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MG</v>
          </cell>
        </row>
        <row r="3038">
          <cell r="B3038">
            <v>5232460</v>
          </cell>
          <cell r="C3038" t="str">
            <v>GELATO LUCE COMERCIO LTDA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BA</v>
          </cell>
        </row>
        <row r="3039">
          <cell r="B3039">
            <v>5260909</v>
          </cell>
          <cell r="C3039" t="str">
            <v>BASEL LACTEOS SA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MG</v>
          </cell>
        </row>
        <row r="3040">
          <cell r="B3040">
            <v>5261089</v>
          </cell>
          <cell r="C3040" t="str">
            <v>INTERFRIOS COM FRIOS LATCINIOS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SP</v>
          </cell>
        </row>
        <row r="3041">
          <cell r="B3041">
            <v>5262254</v>
          </cell>
          <cell r="C3041" t="str">
            <v>ABIRAILTON PADUA CUNHA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SP</v>
          </cell>
        </row>
        <row r="3042">
          <cell r="B3042">
            <v>5279458</v>
          </cell>
          <cell r="C3042" t="str">
            <v>LIGHTSWEET IND E COM DE ALIMENT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PR</v>
          </cell>
        </row>
        <row r="3043">
          <cell r="B3043">
            <v>5296689</v>
          </cell>
          <cell r="C3043" t="str">
            <v>SL RESTAURANTE COM DE ALIM LTDA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SP</v>
          </cell>
        </row>
        <row r="3044">
          <cell r="B3044">
            <v>5302744</v>
          </cell>
          <cell r="C3044" t="str">
            <v>HCN COMERCIO DE PRODUTOS PARA C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SP</v>
          </cell>
        </row>
        <row r="3045">
          <cell r="B3045">
            <v>5308411</v>
          </cell>
          <cell r="C3045" t="str">
            <v>ORGANIZACOES BRAZALMEIDA COMERCIO D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MG</v>
          </cell>
        </row>
        <row r="3046">
          <cell r="B3046">
            <v>5310560</v>
          </cell>
          <cell r="C3046" t="str">
            <v>ARTPAN COMERCIO DE ALIMENTOS LTDA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MS</v>
          </cell>
        </row>
        <row r="3047">
          <cell r="B3047">
            <v>5313336</v>
          </cell>
          <cell r="C3047" t="str">
            <v>M C COMERCIO DE DOCES E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AM</v>
          </cell>
        </row>
        <row r="3048">
          <cell r="B3048">
            <v>5313456</v>
          </cell>
          <cell r="C3048" t="str">
            <v>PORTEFRIO DISTRIBUIDORA DE GENEROS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RJ</v>
          </cell>
        </row>
        <row r="3049">
          <cell r="B3049">
            <v>5314195</v>
          </cell>
          <cell r="C3049" t="str">
            <v>PANIFICADORA E CONFEITARIA SANTELMO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SC</v>
          </cell>
        </row>
        <row r="3050">
          <cell r="B3050">
            <v>5316223</v>
          </cell>
          <cell r="C3050" t="str">
            <v>DM MERCADO LTDA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SP</v>
          </cell>
        </row>
        <row r="3051">
          <cell r="B3051">
            <v>5318875</v>
          </cell>
          <cell r="C3051" t="str">
            <v>OESA COMERCIO E REPRESENTACOES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MG</v>
          </cell>
        </row>
        <row r="3052">
          <cell r="B3052">
            <v>5321782</v>
          </cell>
          <cell r="C3052" t="str">
            <v>CENTER COMERCIO DE EMBALAGENS L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PR</v>
          </cell>
        </row>
        <row r="3053">
          <cell r="B3053">
            <v>5324461</v>
          </cell>
          <cell r="C3053" t="str">
            <v>RODOLUKI COMERCIO LOGISTICA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SP</v>
          </cell>
        </row>
        <row r="3054">
          <cell r="B3054">
            <v>5335146</v>
          </cell>
          <cell r="C3054" t="str">
            <v>BERRY S INDUSTRIA DE SORVETES L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MG</v>
          </cell>
        </row>
        <row r="3055">
          <cell r="B3055">
            <v>5335635</v>
          </cell>
          <cell r="C3055" t="str">
            <v>SUSANA SALES SIQUEIRA 159179698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BA</v>
          </cell>
        </row>
        <row r="3056">
          <cell r="B3056">
            <v>5338420</v>
          </cell>
          <cell r="C3056" t="str">
            <v>ERLAN SA EM RECUPERACAO JUDICIA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MG</v>
          </cell>
        </row>
        <row r="3057">
          <cell r="B3057">
            <v>5340677</v>
          </cell>
          <cell r="C3057" t="str">
            <v>M SANTOS IANSEN SORVETERIA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PR</v>
          </cell>
        </row>
        <row r="3058">
          <cell r="B3058">
            <v>5341225</v>
          </cell>
          <cell r="C3058" t="str">
            <v>CAPODIFOGLIO E CIA LTDA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SP</v>
          </cell>
        </row>
        <row r="3059">
          <cell r="B3059">
            <v>5346808</v>
          </cell>
          <cell r="C3059" t="str">
            <v>AZ ALIMENTOS SAUDAVEIS LTDA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PR</v>
          </cell>
        </row>
        <row r="3060">
          <cell r="B3060">
            <v>5347144</v>
          </cell>
          <cell r="C3060" t="str">
            <v>MBF IND E COM DE ALIMENTOS LTDA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SP</v>
          </cell>
        </row>
        <row r="3061">
          <cell r="B3061">
            <v>5348271</v>
          </cell>
          <cell r="C3061" t="str">
            <v>CENTRAL MIX LTDA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MG</v>
          </cell>
        </row>
        <row r="3062">
          <cell r="B3062">
            <v>5348916</v>
          </cell>
          <cell r="C3062" t="str">
            <v>TOTAL CREAM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SP</v>
          </cell>
        </row>
        <row r="3063">
          <cell r="B3063">
            <v>5349287</v>
          </cell>
          <cell r="C3063" t="str">
            <v>IDEAL CESTAS DE ALIMENTOS LTDA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MG</v>
          </cell>
        </row>
        <row r="3064">
          <cell r="B3064">
            <v>5349403</v>
          </cell>
          <cell r="C3064" t="str">
            <v>PARADELA DIST DE ALIMENTOS LTDA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RJ</v>
          </cell>
        </row>
        <row r="3065">
          <cell r="B3065">
            <v>5349486</v>
          </cell>
          <cell r="C3065" t="str">
            <v>CAPITAL DAS CESTAS LTDA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MG</v>
          </cell>
        </row>
        <row r="3066">
          <cell r="B3066">
            <v>5350810</v>
          </cell>
          <cell r="C3066" t="str">
            <v>COMERCIO DE ALIM NOVA PITOKO LT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RJ</v>
          </cell>
        </row>
        <row r="3067">
          <cell r="B3067">
            <v>5351400</v>
          </cell>
          <cell r="C3067" t="str">
            <v>HARALD IND E COM DE ALIMENTOS L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SP</v>
          </cell>
        </row>
        <row r="3068">
          <cell r="B3068">
            <v>5351706</v>
          </cell>
          <cell r="C3068" t="str">
            <v>BPM IND E COM DE ALIMENTOS S A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SP</v>
          </cell>
        </row>
        <row r="3069">
          <cell r="B3069">
            <v>5352967</v>
          </cell>
          <cell r="C3069" t="str">
            <v>RESTAURANTE DONA LUCINHA LTDA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SP</v>
          </cell>
        </row>
        <row r="3070">
          <cell r="B3070">
            <v>5353215</v>
          </cell>
          <cell r="C3070" t="str">
            <v>SORVET E LANCH SABOR E ARTE LTD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MG</v>
          </cell>
        </row>
        <row r="3071">
          <cell r="B3071">
            <v>5353685</v>
          </cell>
          <cell r="C3071" t="str">
            <v>GANTE COMERCIO DE DOCES LTDA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SP</v>
          </cell>
        </row>
        <row r="3072">
          <cell r="B3072">
            <v>5353844</v>
          </cell>
          <cell r="C3072" t="str">
            <v>FEITO CHOCOLATE LTDA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PR</v>
          </cell>
        </row>
        <row r="3073">
          <cell r="B3073">
            <v>5355986</v>
          </cell>
          <cell r="C3073" t="str">
            <v>FUNCHAL IND E COM DE PAPEIS LTD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SP</v>
          </cell>
        </row>
        <row r="3074">
          <cell r="B3074">
            <v>5363625</v>
          </cell>
          <cell r="C3074" t="str">
            <v>WEPROTEIN COMERCIO LTDA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SP</v>
          </cell>
        </row>
        <row r="3075">
          <cell r="B3075">
            <v>5261001</v>
          </cell>
          <cell r="C3075" t="str">
            <v>DONA CARMELA RESTAURANTE</v>
          </cell>
          <cell r="D3075" t="str">
            <v>7001</v>
          </cell>
          <cell r="E3075" t="str">
            <v>0749</v>
          </cell>
          <cell r="F3075" t="str">
            <v>C5</v>
          </cell>
          <cell r="G3075" t="str">
            <v>SP</v>
          </cell>
        </row>
        <row r="3076">
          <cell r="B3076">
            <v>5335946</v>
          </cell>
          <cell r="C3076" t="str">
            <v>MW EDITORA E ILUSTRACOES LTDA</v>
          </cell>
          <cell r="D3076" t="str">
            <v>7001</v>
          </cell>
          <cell r="E3076" t="str">
            <v>0749</v>
          </cell>
          <cell r="F3076" t="str">
            <v>C5</v>
          </cell>
          <cell r="G3076" t="str">
            <v>SP</v>
          </cell>
        </row>
        <row r="3077">
          <cell r="B3077">
            <v>5339004</v>
          </cell>
          <cell r="C3077" t="str">
            <v>P S DISTRIBUIDORA LTDA</v>
          </cell>
          <cell r="D3077" t="str">
            <v>4001</v>
          </cell>
          <cell r="E3077" t="str">
            <v>0455</v>
          </cell>
          <cell r="F3077" t="str">
            <v>C1</v>
          </cell>
          <cell r="G3077" t="str">
            <v>PR</v>
          </cell>
        </row>
        <row r="3078">
          <cell r="B3078">
            <v>5356134</v>
          </cell>
          <cell r="C3078" t="str">
            <v>56165588 TAL ADRU DE OLIVEIRA</v>
          </cell>
          <cell r="D3078" t="str">
            <v>7001</v>
          </cell>
          <cell r="E3078" t="str">
            <v>0749</v>
          </cell>
          <cell r="F3078" t="str">
            <v>C5</v>
          </cell>
          <cell r="G3078" t="str">
            <v>SP</v>
          </cell>
        </row>
        <row r="3079">
          <cell r="B3079">
            <v>5361702</v>
          </cell>
          <cell r="C3079" t="str">
            <v>ENRICO V M SUMMO PADARIA ARTESA</v>
          </cell>
          <cell r="D3079" t="str">
            <v>7001</v>
          </cell>
          <cell r="E3079" t="str">
            <v>0749</v>
          </cell>
          <cell r="F3079" t="str">
            <v>C5</v>
          </cell>
          <cell r="G3079" t="str">
            <v>SP</v>
          </cell>
        </row>
        <row r="3080">
          <cell r="B3080">
            <v>5233833</v>
          </cell>
          <cell r="C3080" t="str">
            <v>CBAF COMERCIO DE ALIMENTOS LTDA</v>
          </cell>
          <cell r="D3080" t="str">
            <v>6001</v>
          </cell>
          <cell r="E3080" t="str">
            <v>6125</v>
          </cell>
          <cell r="F3080" t="str">
            <v>C1</v>
          </cell>
          <cell r="G3080" t="str">
            <v>SP</v>
          </cell>
        </row>
        <row r="3081">
          <cell r="B3081">
            <v>5332394</v>
          </cell>
          <cell r="C3081" t="str">
            <v>CB RECIFE RESTAURANTE E ALIMENT</v>
          </cell>
          <cell r="D3081" t="str">
            <v>3001</v>
          </cell>
          <cell r="E3081" t="str">
            <v>0127</v>
          </cell>
          <cell r="F3081" t="str">
            <v>C1</v>
          </cell>
          <cell r="G3081" t="str">
            <v>PE</v>
          </cell>
        </row>
        <row r="3082">
          <cell r="B3082">
            <v>5350697</v>
          </cell>
          <cell r="C3082" t="str">
            <v>CB MARKET PLACE COM DE ALI LTDA</v>
          </cell>
          <cell r="D3082" t="str">
            <v>6001</v>
          </cell>
          <cell r="E3082" t="str">
            <v>6125</v>
          </cell>
          <cell r="F3082" t="str">
            <v>C1</v>
          </cell>
          <cell r="G3082" t="str">
            <v>SP</v>
          </cell>
        </row>
        <row r="3083">
          <cell r="B3083">
            <v>5350701</v>
          </cell>
          <cell r="C3083" t="str">
            <v>CB SANTO ANDRE COMERCIO DE ALIM</v>
          </cell>
          <cell r="D3083" t="str">
            <v>6001</v>
          </cell>
          <cell r="E3083" t="str">
            <v>6125</v>
          </cell>
          <cell r="F3083" t="str">
            <v>C1</v>
          </cell>
          <cell r="G3083" t="str">
            <v>SP</v>
          </cell>
        </row>
        <row r="3084">
          <cell r="B3084">
            <v>5350702</v>
          </cell>
          <cell r="C3084" t="str">
            <v>CB SAO JOSE DO RIO PRETO COM DE</v>
          </cell>
          <cell r="D3084" t="str">
            <v>6001</v>
          </cell>
          <cell r="E3084" t="str">
            <v>6125</v>
          </cell>
          <cell r="F3084" t="str">
            <v>C1</v>
          </cell>
          <cell r="G3084" t="str">
            <v>SP</v>
          </cell>
        </row>
        <row r="3085">
          <cell r="B3085">
            <v>5350705</v>
          </cell>
          <cell r="C3085" t="str">
            <v>CB SP MARKET COMERCIO DE ALIMEN</v>
          </cell>
          <cell r="D3085" t="str">
            <v>6001</v>
          </cell>
          <cell r="E3085" t="str">
            <v>6125</v>
          </cell>
          <cell r="F3085" t="str">
            <v>C1</v>
          </cell>
          <cell r="G3085" t="str">
            <v>SP</v>
          </cell>
        </row>
        <row r="3086">
          <cell r="B3086">
            <v>5351708</v>
          </cell>
          <cell r="C3086" t="str">
            <v>CB RIO NORTE SHOP COM DE ALI LT</v>
          </cell>
          <cell r="D3086" t="str">
            <v>6001</v>
          </cell>
          <cell r="E3086" t="str">
            <v>6169</v>
          </cell>
          <cell r="F3086" t="str">
            <v>C1</v>
          </cell>
          <cell r="G3086" t="str">
            <v>RJ</v>
          </cell>
        </row>
        <row r="3087">
          <cell r="B3087">
            <v>5351859</v>
          </cell>
          <cell r="C3087" t="str">
            <v>COCO BAMBU SL COMER DE ALIM LTD</v>
          </cell>
          <cell r="D3087" t="str">
            <v>3001</v>
          </cell>
          <cell r="E3087" t="str">
            <v>0128</v>
          </cell>
          <cell r="F3087" t="str">
            <v>C1</v>
          </cell>
          <cell r="G3087" t="str">
            <v>MA</v>
          </cell>
        </row>
        <row r="3088">
          <cell r="B3088">
            <v>5351862</v>
          </cell>
          <cell r="C3088" t="str">
            <v>CB MINAS COMERCIO DE ALIMENTOS</v>
          </cell>
          <cell r="D3088" t="str">
            <v>3001</v>
          </cell>
          <cell r="E3088" t="str">
            <v>0122</v>
          </cell>
          <cell r="F3088" t="str">
            <v>C1</v>
          </cell>
          <cell r="G3088" t="str">
            <v>MG</v>
          </cell>
        </row>
        <row r="3089">
          <cell r="B3089">
            <v>5351871</v>
          </cell>
          <cell r="C3089" t="str">
            <v>CB CONCEITO MARINGA COM DE ALI</v>
          </cell>
          <cell r="D3089" t="str">
            <v>3001</v>
          </cell>
          <cell r="E3089" t="str">
            <v>0126</v>
          </cell>
          <cell r="F3089" t="str">
            <v>C1</v>
          </cell>
          <cell r="G3089" t="str">
            <v>PR</v>
          </cell>
        </row>
        <row r="3090">
          <cell r="B3090">
            <v>5351895</v>
          </cell>
          <cell r="C3090" t="str">
            <v>CB RIO NORTE SHOP COM DE ALI LT</v>
          </cell>
          <cell r="D3090" t="str">
            <v>6001</v>
          </cell>
          <cell r="E3090" t="str">
            <v>6169</v>
          </cell>
          <cell r="F3090" t="str">
            <v>C1</v>
          </cell>
          <cell r="G3090" t="str">
            <v>RJ</v>
          </cell>
        </row>
        <row r="3091">
          <cell r="B3091">
            <v>5352110</v>
          </cell>
          <cell r="C3091" t="str">
            <v>COCO BAMBU F DO M COM DE AL LTD</v>
          </cell>
          <cell r="D3091" t="str">
            <v>6001</v>
          </cell>
          <cell r="E3091" t="str">
            <v>6127</v>
          </cell>
          <cell r="F3091" t="str">
            <v>C1</v>
          </cell>
          <cell r="G3091" t="str">
            <v>CE</v>
          </cell>
        </row>
        <row r="3092">
          <cell r="B3092">
            <v>5353735</v>
          </cell>
          <cell r="C3092" t="str">
            <v>COCO BAMBU GOIANIA COM DE ALIM</v>
          </cell>
          <cell r="D3092" t="str">
            <v>3001</v>
          </cell>
          <cell r="E3092" t="str">
            <v>0123</v>
          </cell>
          <cell r="F3092" t="str">
            <v>C1</v>
          </cell>
          <cell r="G3092" t="str">
            <v>GO</v>
          </cell>
        </row>
        <row r="3093">
          <cell r="B3093">
            <v>5363597</v>
          </cell>
          <cell r="C3093" t="str">
            <v>CB MINAS COMERCIO DE ALIM LTDA</v>
          </cell>
          <cell r="D3093" t="str">
            <v>3001</v>
          </cell>
          <cell r="E3093" t="str">
            <v>0122</v>
          </cell>
          <cell r="F3093" t="str">
            <v>C1</v>
          </cell>
          <cell r="G3093" t="str">
            <v>MG</v>
          </cell>
        </row>
        <row r="3094">
          <cell r="B3094">
            <v>5363598</v>
          </cell>
          <cell r="C3094" t="str">
            <v>CB RIO VOLTA REDONDA COM DE AL</v>
          </cell>
          <cell r="D3094" t="str">
            <v>6001</v>
          </cell>
          <cell r="E3094" t="str">
            <v>6169</v>
          </cell>
          <cell r="F3094" t="str">
            <v>C1</v>
          </cell>
          <cell r="G3094" t="str">
            <v>RJ</v>
          </cell>
        </row>
        <row r="3095">
          <cell r="B3095">
            <v>5363952</v>
          </cell>
          <cell r="C3095" t="str">
            <v>BRASIL FOOD LTDA</v>
          </cell>
          <cell r="D3095" t="str">
            <v>3001</v>
          </cell>
          <cell r="E3095" t="str">
            <v>0028</v>
          </cell>
          <cell r="F3095" t="str">
            <v>C1</v>
          </cell>
          <cell r="G3095" t="str">
            <v>PB</v>
          </cell>
        </row>
        <row r="3096">
          <cell r="B3096">
            <v>5001681</v>
          </cell>
          <cell r="C3096" t="str">
            <v>CATERAIR SERV DE BORDO E HOTELA</v>
          </cell>
          <cell r="D3096" t="str">
            <v>7001</v>
          </cell>
          <cell r="E3096" t="str">
            <v>0739</v>
          </cell>
          <cell r="F3096" t="str">
            <v>C1</v>
          </cell>
          <cell r="G3096" t="str">
            <v>RJ</v>
          </cell>
        </row>
        <row r="3097">
          <cell r="B3097">
            <v>5200105</v>
          </cell>
          <cell r="C3097" t="str">
            <v>NPEREIRA IMPORTACAO E COMERCIO</v>
          </cell>
          <cell r="D3097" t="str">
            <v>7001</v>
          </cell>
          <cell r="E3097" t="str">
            <v>0749</v>
          </cell>
          <cell r="F3097" t="str">
            <v>C5</v>
          </cell>
          <cell r="G3097" t="str">
            <v>SP</v>
          </cell>
        </row>
        <row r="3098">
          <cell r="B3098">
            <v>5348319</v>
          </cell>
          <cell r="C3098" t="str">
            <v>MARIAS RESTAURANTE LTDA</v>
          </cell>
          <cell r="D3098" t="str">
            <v>7001</v>
          </cell>
          <cell r="E3098" t="str">
            <v>0749</v>
          </cell>
          <cell r="F3098" t="str">
            <v>C5</v>
          </cell>
          <cell r="G3098" t="str">
            <v>SP</v>
          </cell>
        </row>
        <row r="3099">
          <cell r="B3099">
            <v>5350654</v>
          </cell>
          <cell r="C3099" t="str">
            <v>CB ANHEMBI COMERCIO DE ALIMENTO</v>
          </cell>
          <cell r="D3099" t="str">
            <v>6001</v>
          </cell>
          <cell r="E3099" t="str">
            <v>6125</v>
          </cell>
          <cell r="F3099" t="str">
            <v>C1</v>
          </cell>
          <cell r="G3099" t="str">
            <v>SP</v>
          </cell>
        </row>
        <row r="3100">
          <cell r="B3100">
            <v>5363589</v>
          </cell>
          <cell r="C3100" t="str">
            <v>CB MINAS COMERCIO DE ALIM LTDA</v>
          </cell>
          <cell r="D3100" t="str">
            <v>3001</v>
          </cell>
          <cell r="E3100" t="str">
            <v>0122</v>
          </cell>
          <cell r="F3100" t="str">
            <v>C1</v>
          </cell>
          <cell r="G3100" t="str">
            <v>MG</v>
          </cell>
        </row>
        <row r="3101">
          <cell r="B3101">
            <v>5363628</v>
          </cell>
          <cell r="C3101" t="str">
            <v>INDUSTRIA DE SORVETES E GELO PI</v>
          </cell>
          <cell r="D3101" t="str">
            <v>3001</v>
          </cell>
          <cell r="E3101" t="str">
            <v>0028</v>
          </cell>
          <cell r="F3101" t="str">
            <v>C1</v>
          </cell>
          <cell r="G3101" t="str">
            <v>MG</v>
          </cell>
        </row>
        <row r="3102">
          <cell r="B3102">
            <v>5223996</v>
          </cell>
          <cell r="C3102" t="str">
            <v>PLASTIC DISTRIBUIDORA LTDA</v>
          </cell>
          <cell r="D3102" t="str">
            <v>6001</v>
          </cell>
          <cell r="E3102" t="str">
            <v>6169</v>
          </cell>
          <cell r="F3102" t="str">
            <v>C1</v>
          </cell>
          <cell r="G3102" t="str">
            <v>ES</v>
          </cell>
        </row>
        <row r="3103">
          <cell r="B3103">
            <v>5363590</v>
          </cell>
          <cell r="C3103" t="str">
            <v>CB RIO BARRA DA TIJ COM D ALIM</v>
          </cell>
          <cell r="D3103" t="str">
            <v>6001</v>
          </cell>
          <cell r="E3103" t="str">
            <v>6169</v>
          </cell>
          <cell r="F3103" t="str">
            <v>C1</v>
          </cell>
          <cell r="G3103" t="str">
            <v>RJ</v>
          </cell>
        </row>
        <row r="3104">
          <cell r="B3104">
            <v>5210879</v>
          </cell>
          <cell r="C3104" t="str">
            <v>CB RIO BOTAFOGO C DE ALIMENTOS LTDA</v>
          </cell>
          <cell r="D3104" t="str">
            <v>6001</v>
          </cell>
          <cell r="E3104" t="str">
            <v>6169</v>
          </cell>
          <cell r="F3104" t="str">
            <v>C1</v>
          </cell>
          <cell r="G3104" t="str">
            <v>RJ</v>
          </cell>
        </row>
        <row r="3105">
          <cell r="B3105">
            <v>5325105</v>
          </cell>
          <cell r="C3105" t="str">
            <v>DINAMARCA INDUSTRIA E COM DE AL</v>
          </cell>
          <cell r="D3105" t="str">
            <v>4001</v>
          </cell>
          <cell r="E3105" t="str">
            <v>0455</v>
          </cell>
          <cell r="F3105" t="str">
            <v>C1</v>
          </cell>
          <cell r="G3105" t="str">
            <v>PR</v>
          </cell>
        </row>
        <row r="3106">
          <cell r="B3106">
            <v>5361885</v>
          </cell>
          <cell r="C3106" t="str">
            <v>CAMARA TRADE NEG INTERNACIONAIS</v>
          </cell>
          <cell r="D3106" t="str">
            <v>4001</v>
          </cell>
          <cell r="E3106" t="str">
            <v>0423</v>
          </cell>
          <cell r="F3106" t="str">
            <v>C5</v>
          </cell>
          <cell r="G3106" t="str">
            <v>MG</v>
          </cell>
        </row>
        <row r="3107">
          <cell r="B3107">
            <v>5363062</v>
          </cell>
          <cell r="C3107" t="str">
            <v>RS BOLOS E DOCES LTDA</v>
          </cell>
          <cell r="D3107" t="str">
            <v>7001</v>
          </cell>
          <cell r="E3107" t="str">
            <v>0749</v>
          </cell>
          <cell r="F3107" t="str">
            <v>C5</v>
          </cell>
          <cell r="G3107" t="str">
            <v>SP</v>
          </cell>
        </row>
        <row r="3108">
          <cell r="B3108">
            <v>5363451</v>
          </cell>
          <cell r="C3108" t="str">
            <v>CIA FERRASA DE EMPREENDIMENTOS</v>
          </cell>
          <cell r="D3108" t="str">
            <v>7001</v>
          </cell>
          <cell r="E3108" t="str">
            <v>0722</v>
          </cell>
          <cell r="F3108" t="str">
            <v>C1</v>
          </cell>
          <cell r="G3108" t="str">
            <v>SP</v>
          </cell>
        </row>
        <row r="3109">
          <cell r="B3109">
            <v>5363626</v>
          </cell>
          <cell r="C3109" t="str">
            <v>WEPROTEIN COMERCIO LTDA</v>
          </cell>
          <cell r="D3109" t="str">
            <v>7001</v>
          </cell>
          <cell r="E3109" t="str">
            <v>0722</v>
          </cell>
          <cell r="F3109" t="str">
            <v>C1</v>
          </cell>
          <cell r="G3109" t="str">
            <v>SP</v>
          </cell>
        </row>
        <row r="3110">
          <cell r="B3110">
            <v>5363627</v>
          </cell>
          <cell r="C3110" t="str">
            <v>WEPROTEIN COMERCIO LTDA</v>
          </cell>
          <cell r="D3110" t="str">
            <v>7001</v>
          </cell>
          <cell r="E3110" t="str">
            <v>0722</v>
          </cell>
          <cell r="F3110" t="str">
            <v>C1</v>
          </cell>
          <cell r="G3110" t="str">
            <v>SP</v>
          </cell>
        </row>
        <row r="3111">
          <cell r="B3111">
            <v>5363949</v>
          </cell>
          <cell r="C3111" t="str">
            <v>FUNCHAL INDUSTRIA E COMERC DE P</v>
          </cell>
          <cell r="D3111" t="str">
            <v>6001</v>
          </cell>
          <cell r="E3111" t="str">
            <v>6125</v>
          </cell>
          <cell r="F3111" t="str">
            <v>C1</v>
          </cell>
          <cell r="G3111" t="str">
            <v>SP</v>
          </cell>
        </row>
        <row r="3112">
          <cell r="B3112">
            <v>5089548</v>
          </cell>
          <cell r="C3112" t="str">
            <v>COOPERATIVA AGROINDUSTRIAL SERR</v>
          </cell>
          <cell r="D3112" t="str">
            <v>6001</v>
          </cell>
          <cell r="E3112" t="str">
            <v>6028</v>
          </cell>
          <cell r="F3112" t="str">
            <v>C1</v>
          </cell>
          <cell r="G3112" t="str">
            <v>SP</v>
          </cell>
        </row>
        <row r="3113">
          <cell r="B3113">
            <v>5206128</v>
          </cell>
          <cell r="C3113" t="str">
            <v>NUTRIWAY FOODS INDUSTRIA</v>
          </cell>
          <cell r="D3113" t="str">
            <v>3001</v>
          </cell>
          <cell r="E3113" t="str">
            <v>0122</v>
          </cell>
          <cell r="F3113" t="str">
            <v>C1</v>
          </cell>
          <cell r="G3113" t="str">
            <v>MG</v>
          </cell>
        </row>
        <row r="3114">
          <cell r="B3114">
            <v>5231168</v>
          </cell>
          <cell r="C3114" t="str">
            <v>CRIATIVIDADE DAS FESTAS LTDA</v>
          </cell>
          <cell r="D3114" t="str">
            <v>3001</v>
          </cell>
          <cell r="E3114" t="str">
            <v>0122</v>
          </cell>
          <cell r="F3114" t="str">
            <v>C1</v>
          </cell>
          <cell r="G3114" t="str">
            <v>MG</v>
          </cell>
        </row>
        <row r="3115">
          <cell r="B3115">
            <v>5278284</v>
          </cell>
          <cell r="C3115" t="str">
            <v>PANIF CONF A LUXUOSA LTDA</v>
          </cell>
          <cell r="D3115" t="str">
            <v>7001</v>
          </cell>
          <cell r="E3115" t="str">
            <v>0749</v>
          </cell>
          <cell r="F3115" t="str">
            <v>C5</v>
          </cell>
          <cell r="G3115" t="str">
            <v>SP</v>
          </cell>
        </row>
        <row r="3116">
          <cell r="B3116">
            <v>5358934</v>
          </cell>
          <cell r="C3116" t="str">
            <v>NUPRECINHO LTDA</v>
          </cell>
          <cell r="D3116" t="str">
            <v>6001</v>
          </cell>
          <cell r="E3116" t="str">
            <v>6125</v>
          </cell>
          <cell r="F3116" t="str">
            <v>C1</v>
          </cell>
          <cell r="G3116" t="str">
            <v>SP</v>
          </cell>
        </row>
        <row r="3117">
          <cell r="B3117">
            <v>5364029</v>
          </cell>
          <cell r="C3117" t="str">
            <v>MAILDE BISTRO LTDA</v>
          </cell>
          <cell r="D3117" t="str">
            <v>7001</v>
          </cell>
          <cell r="E3117" t="str">
            <v>0756</v>
          </cell>
          <cell r="F3117" t="str">
            <v>C1</v>
          </cell>
          <cell r="G3117" t="str">
            <v>SC</v>
          </cell>
        </row>
        <row r="3118">
          <cell r="B3118">
            <v>5000443</v>
          </cell>
          <cell r="C3118" t="str">
            <v>BIG TE LANCHES LTDA ME</v>
          </cell>
          <cell r="D3118" t="str">
            <v>3001</v>
          </cell>
          <cell r="E3118" t="str">
            <v>0028</v>
          </cell>
          <cell r="F3118" t="str">
            <v>C1</v>
          </cell>
          <cell r="G3118" t="str">
            <v>MG</v>
          </cell>
        </row>
        <row r="3119">
          <cell r="B3119">
            <v>5161469</v>
          </cell>
          <cell r="C3119" t="str">
            <v>FORCA TOTAL DIST DE GENE ALIM L</v>
          </cell>
          <cell r="D3119" t="str">
            <v>6001</v>
          </cell>
          <cell r="E3119" t="str">
            <v>6169</v>
          </cell>
          <cell r="F3119" t="str">
            <v>C1</v>
          </cell>
          <cell r="G3119" t="str">
            <v>RJ</v>
          </cell>
        </row>
        <row r="3120">
          <cell r="B3120">
            <v>5161469</v>
          </cell>
          <cell r="C3120" t="str">
            <v>FORCA TOTAL DIST DE GENE ALIM L</v>
          </cell>
          <cell r="D3120" t="str">
            <v>7001</v>
          </cell>
          <cell r="E3120" t="str">
            <v>0739</v>
          </cell>
          <cell r="F3120" t="str">
            <v>C1</v>
          </cell>
          <cell r="G3120" t="str">
            <v>RJ</v>
          </cell>
        </row>
        <row r="3121">
          <cell r="B3121">
            <v>5161469</v>
          </cell>
          <cell r="C3121" t="str">
            <v>FORCA TOTAL DIST DE GENE ALIM L</v>
          </cell>
          <cell r="D3121" t="str">
            <v>3001</v>
          </cell>
          <cell r="E3121" t="str">
            <v>0169</v>
          </cell>
          <cell r="F3121" t="str">
            <v>C1</v>
          </cell>
          <cell r="G3121" t="str">
            <v>RJ</v>
          </cell>
        </row>
        <row r="3122">
          <cell r="B3122">
            <v>5191281</v>
          </cell>
          <cell r="C3122" t="str">
            <v>ND FESTAS LTDA</v>
          </cell>
          <cell r="D3122" t="str">
            <v>3001</v>
          </cell>
          <cell r="E3122" t="str">
            <v>0122</v>
          </cell>
          <cell r="F3122" t="str">
            <v>C1</v>
          </cell>
          <cell r="G3122" t="str">
            <v>MG</v>
          </cell>
        </row>
        <row r="3123">
          <cell r="B3123">
            <v>5363451</v>
          </cell>
          <cell r="C3123" t="str">
            <v>CIA FERRASA DE EMPREENDIMENTOS</v>
          </cell>
          <cell r="D3123" t="str">
            <v>6001</v>
          </cell>
          <cell r="E3123" t="str">
            <v>6125</v>
          </cell>
          <cell r="F3123" t="str">
            <v>C1</v>
          </cell>
          <cell r="G3123" t="str">
            <v>SP</v>
          </cell>
        </row>
        <row r="3124">
          <cell r="B3124">
            <v>5364430</v>
          </cell>
          <cell r="C3124" t="str">
            <v>ULTRABRASIL IND E COM D A E P S</v>
          </cell>
          <cell r="D3124" t="str">
            <v>4001</v>
          </cell>
          <cell r="E3124" t="str">
            <v>0458</v>
          </cell>
          <cell r="F3124" t="str">
            <v>C1</v>
          </cell>
          <cell r="G3124" t="str">
            <v>MG</v>
          </cell>
        </row>
        <row r="3125">
          <cell r="B3125">
            <v>5364495</v>
          </cell>
          <cell r="C3125" t="str">
            <v>3D SALGADOS LTDA</v>
          </cell>
          <cell r="D3125" t="str">
            <v>6001</v>
          </cell>
          <cell r="E3125" t="str">
            <v>6028</v>
          </cell>
          <cell r="F3125" t="str">
            <v>C1</v>
          </cell>
          <cell r="G3125" t="str">
            <v>RJ</v>
          </cell>
        </row>
        <row r="3126">
          <cell r="B3126">
            <v>5364496</v>
          </cell>
          <cell r="C3126" t="str">
            <v>CONVENIENCIA DABELA DE COELH DA</v>
          </cell>
          <cell r="D3126" t="str">
            <v>6001</v>
          </cell>
          <cell r="E3126" t="str">
            <v>6028</v>
          </cell>
          <cell r="F3126" t="str">
            <v>C1</v>
          </cell>
          <cell r="G3126" t="str">
            <v>RJ</v>
          </cell>
        </row>
        <row r="3127">
          <cell r="B3127">
            <v>5036214</v>
          </cell>
          <cell r="C3127" t="str">
            <v>ESPACO CHEF COMERCIO E DIST LTDA</v>
          </cell>
          <cell r="D3127" t="str">
            <v>6001</v>
          </cell>
          <cell r="E3127" t="str">
            <v>6075</v>
          </cell>
          <cell r="F3127" t="str">
            <v>C1</v>
          </cell>
          <cell r="G3127" t="str">
            <v>CE</v>
          </cell>
        </row>
        <row r="3128">
          <cell r="B3128">
            <v>5234713</v>
          </cell>
          <cell r="C3128" t="str">
            <v>OSMAR NICOLINI COMERCIO E DISTR</v>
          </cell>
          <cell r="D3128" t="str">
            <v>4001</v>
          </cell>
          <cell r="E3128" t="str">
            <v>0566</v>
          </cell>
          <cell r="F3128" t="str">
            <v>C7</v>
          </cell>
          <cell r="G3128" t="str">
            <v>RS</v>
          </cell>
        </row>
        <row r="3129">
          <cell r="B3129">
            <v>5248563</v>
          </cell>
          <cell r="C3129" t="str">
            <v>SANDRA MARGARETE COELHO</v>
          </cell>
          <cell r="D3129" t="str">
            <v>4001</v>
          </cell>
          <cell r="E3129" t="str">
            <v>0566</v>
          </cell>
          <cell r="F3129" t="str">
            <v>C7</v>
          </cell>
          <cell r="G3129" t="str">
            <v>RS</v>
          </cell>
        </row>
        <row r="3130">
          <cell r="B3130">
            <v>5279596</v>
          </cell>
          <cell r="C3130" t="str">
            <v>J JOSE POSADA CIA LTDA</v>
          </cell>
          <cell r="D3130" t="str">
            <v>4001</v>
          </cell>
          <cell r="E3130" t="str">
            <v>0566</v>
          </cell>
          <cell r="F3130" t="str">
            <v>C7</v>
          </cell>
          <cell r="G3130" t="str">
            <v>RS</v>
          </cell>
        </row>
        <row r="3131">
          <cell r="B3131">
            <v>5287946</v>
          </cell>
          <cell r="C3131" t="str">
            <v>SUPERMERCADO GUANABARA S A</v>
          </cell>
          <cell r="D3131" t="str">
            <v>4001</v>
          </cell>
          <cell r="E3131" t="str">
            <v>0566</v>
          </cell>
          <cell r="F3131" t="str">
            <v>C7</v>
          </cell>
          <cell r="G3131" t="str">
            <v>RS</v>
          </cell>
        </row>
        <row r="3132">
          <cell r="B3132">
            <v>5363950</v>
          </cell>
          <cell r="C3132" t="str">
            <v>FUNCHAL INDUSTRIA E COMERCIO DE PAP</v>
          </cell>
          <cell r="D3132" t="str">
            <v>6001</v>
          </cell>
          <cell r="E3132" t="str">
            <v>6125</v>
          </cell>
          <cell r="F3132" t="str">
            <v>C1</v>
          </cell>
          <cell r="G3132" t="str">
            <v>SP</v>
          </cell>
        </row>
        <row r="3133">
          <cell r="B3133">
            <v>5315376</v>
          </cell>
          <cell r="C3133" t="str">
            <v>MATILDA PAULISTA RESTAURANTE LT</v>
          </cell>
          <cell r="D3133" t="str">
            <v>7001</v>
          </cell>
          <cell r="E3133" t="str">
            <v>0749</v>
          </cell>
          <cell r="F3133" t="str">
            <v>C5</v>
          </cell>
          <cell r="G3133" t="str">
            <v>SP</v>
          </cell>
        </row>
        <row r="3134">
          <cell r="B3134">
            <v>5226499</v>
          </cell>
          <cell r="C3134" t="str">
            <v>NEWREST BR SERV AUX AO TRANS AEREO</v>
          </cell>
          <cell r="D3134" t="str">
            <v>6001</v>
          </cell>
          <cell r="E3134" t="str">
            <v>6125</v>
          </cell>
          <cell r="F3134" t="str">
            <v>C1</v>
          </cell>
          <cell r="G3134" t="str">
            <v>SP</v>
          </cell>
        </row>
        <row r="3135">
          <cell r="B3135">
            <v>5348324</v>
          </cell>
          <cell r="C3135" t="str">
            <v>DIST NORD DE CONFEIT E PANIF LT</v>
          </cell>
          <cell r="D3135" t="str">
            <v>7001</v>
          </cell>
          <cell r="E3135" t="str">
            <v>0558</v>
          </cell>
          <cell r="F3135" t="str">
            <v>C5</v>
          </cell>
          <cell r="G3135" t="str">
            <v>BA</v>
          </cell>
        </row>
        <row r="3136">
          <cell r="B3136">
            <v>5349839</v>
          </cell>
          <cell r="C3136" t="str">
            <v>REDE SUL CENTRO DE DIS DE ALIME</v>
          </cell>
          <cell r="D3136" t="str">
            <v>4001</v>
          </cell>
          <cell r="E3136" t="str">
            <v>0566</v>
          </cell>
          <cell r="F3136" t="str">
            <v>C7</v>
          </cell>
          <cell r="G3136" t="str">
            <v>RS</v>
          </cell>
        </row>
        <row r="3137">
          <cell r="B3137">
            <v>5364487</v>
          </cell>
          <cell r="C3137" t="str">
            <v>SORVETERIA DEVILLE LTDA</v>
          </cell>
          <cell r="D3137" t="str">
            <v>3001</v>
          </cell>
          <cell r="E3137" t="str">
            <v>0028</v>
          </cell>
          <cell r="F3137" t="str">
            <v>C1</v>
          </cell>
          <cell r="G3137" t="str">
            <v>SC</v>
          </cell>
        </row>
        <row r="3138">
          <cell r="B3138">
            <v>5364488</v>
          </cell>
          <cell r="C3138" t="str">
            <v>OCLIDES JOSE PAZIN</v>
          </cell>
          <cell r="D3138" t="str">
            <v>3001</v>
          </cell>
          <cell r="E3138" t="str">
            <v>0028</v>
          </cell>
          <cell r="F3138" t="str">
            <v>C1</v>
          </cell>
          <cell r="G3138" t="str">
            <v>SC</v>
          </cell>
        </row>
        <row r="3139">
          <cell r="B3139">
            <v>5225860</v>
          </cell>
          <cell r="C3139" t="str">
            <v>DISPAN DISTRIBUIDORA DE ALIMENTOS L</v>
          </cell>
          <cell r="D3139" t="str">
            <v>4001</v>
          </cell>
          <cell r="E3139" t="str">
            <v>0536</v>
          </cell>
          <cell r="F3139" t="str">
            <v>C5</v>
          </cell>
          <cell r="G3139" t="str">
            <v>PE</v>
          </cell>
        </row>
        <row r="3140">
          <cell r="B3140">
            <v>5255804</v>
          </cell>
          <cell r="C3140" t="str">
            <v>COMFRIO FOOD SERVICE LTDA</v>
          </cell>
          <cell r="D3140" t="str">
            <v>6001</v>
          </cell>
          <cell r="E3140" t="str">
            <v>6125</v>
          </cell>
          <cell r="F3140" t="str">
            <v>C1</v>
          </cell>
          <cell r="G3140" t="str">
            <v>SP</v>
          </cell>
        </row>
        <row r="3141">
          <cell r="B3141">
            <v>5364210</v>
          </cell>
          <cell r="C3141" t="str">
            <v>RB FOODS LTDA</v>
          </cell>
          <cell r="D3141" t="str">
            <v>7001</v>
          </cell>
          <cell r="E3141" t="str">
            <v>0749</v>
          </cell>
          <cell r="F3141" t="str">
            <v>C5</v>
          </cell>
          <cell r="G3141" t="str">
            <v>SP</v>
          </cell>
        </row>
        <row r="3142">
          <cell r="B3142">
            <v>5348856</v>
          </cell>
          <cell r="C3142" t="str">
            <v>CONFRARIA DO CAFE GOURMET LTDA</v>
          </cell>
          <cell r="D3142" t="str">
            <v>7001</v>
          </cell>
          <cell r="E3142" t="str">
            <v>0749</v>
          </cell>
          <cell r="F3142" t="str">
            <v>C5</v>
          </cell>
          <cell r="G3142" t="str">
            <v>SP</v>
          </cell>
        </row>
        <row r="3143">
          <cell r="B3143">
            <v>5363619</v>
          </cell>
          <cell r="C3143" t="str">
            <v>ANGA ALIMENTACAO E SERVICOS LTD</v>
          </cell>
          <cell r="D3143" t="str">
            <v>7001</v>
          </cell>
          <cell r="E3143" t="str">
            <v>0749</v>
          </cell>
          <cell r="F3143" t="str">
            <v>C5</v>
          </cell>
          <cell r="G3143" t="str">
            <v>SP</v>
          </cell>
        </row>
        <row r="3144">
          <cell r="B3144">
            <v>5364616</v>
          </cell>
          <cell r="C3144" t="str">
            <v>PISTACHIO BAKERY LTDA</v>
          </cell>
          <cell r="D3144" t="str">
            <v>7001</v>
          </cell>
          <cell r="E3144" t="str">
            <v>0749</v>
          </cell>
          <cell r="F3144" t="str">
            <v>C5</v>
          </cell>
          <cell r="G3144" t="str">
            <v>SP</v>
          </cell>
        </row>
        <row r="3145">
          <cell r="B3145">
            <v>5012038</v>
          </cell>
          <cell r="C3145" t="str">
            <v>HARALD INDUSTRIA E COMERCIO ALI</v>
          </cell>
          <cell r="D3145" t="str">
            <v>4001</v>
          </cell>
          <cell r="E3145" t="str">
            <v>0437</v>
          </cell>
          <cell r="F3145" t="str">
            <v>C1</v>
          </cell>
          <cell r="G3145" t="str">
            <v>SP</v>
          </cell>
        </row>
        <row r="3146">
          <cell r="B3146">
            <v>5271951</v>
          </cell>
          <cell r="C3146" t="str">
            <v>HOTELARIA ACCOR BRASIL SA</v>
          </cell>
          <cell r="D3146" t="str">
            <v>7001</v>
          </cell>
          <cell r="E3146" t="str">
            <v>0749</v>
          </cell>
          <cell r="F3146" t="str">
            <v>C5</v>
          </cell>
          <cell r="G3146" t="str">
            <v>SP</v>
          </cell>
        </row>
        <row r="3147">
          <cell r="B3147">
            <v>5315383</v>
          </cell>
          <cell r="C3147" t="str">
            <v>MATILDA PAULISTA RESTAURANTE LT</v>
          </cell>
          <cell r="D3147" t="str">
            <v>7001</v>
          </cell>
          <cell r="E3147" t="str">
            <v>0749</v>
          </cell>
          <cell r="F3147" t="str">
            <v>C5</v>
          </cell>
          <cell r="G3147" t="str">
            <v>SP</v>
          </cell>
        </row>
        <row r="3148">
          <cell r="B3148">
            <v>5364722</v>
          </cell>
          <cell r="C3148" t="str">
            <v>AM COFFEE E CO LTDA</v>
          </cell>
          <cell r="D3148" t="str">
            <v>7001</v>
          </cell>
          <cell r="E3148" t="str">
            <v>0749</v>
          </cell>
          <cell r="F3148" t="str">
            <v>C5</v>
          </cell>
          <cell r="G3148" t="str">
            <v>SP</v>
          </cell>
        </row>
        <row r="3149">
          <cell r="B3149">
            <v>5363953</v>
          </cell>
          <cell r="C3149" t="str">
            <v>ITHALA MONIQUE OLIVEIRA</v>
          </cell>
          <cell r="D3149" t="str">
            <v>3001</v>
          </cell>
          <cell r="E3149" t="str">
            <v>0028</v>
          </cell>
          <cell r="F3149" t="str">
            <v>C1</v>
          </cell>
          <cell r="G3149" t="str">
            <v>PB</v>
          </cell>
        </row>
        <row r="3150">
          <cell r="B3150">
            <v>5229510</v>
          </cell>
          <cell r="C3150" t="str">
            <v>DLVA DISTRIB DE PROD ALIMEN LTD</v>
          </cell>
          <cell r="D3150" t="str">
            <v>6001</v>
          </cell>
          <cell r="E3150" t="str">
            <v>6028</v>
          </cell>
          <cell r="F3150" t="str">
            <v>C1</v>
          </cell>
          <cell r="G3150" t="str">
            <v>SP</v>
          </cell>
        </row>
        <row r="3151">
          <cell r="B3151">
            <v>5234713</v>
          </cell>
          <cell r="C3151" t="str">
            <v>OSMAR NICOLINI COMERCIO E DISTR</v>
          </cell>
          <cell r="D3151" t="str">
            <v>4001</v>
          </cell>
          <cell r="E3151" t="str">
            <v>0593</v>
          </cell>
          <cell r="F3151" t="str">
            <v>C7</v>
          </cell>
          <cell r="G3151" t="str">
            <v>RS</v>
          </cell>
        </row>
        <row r="3152">
          <cell r="B3152">
            <v>5248563</v>
          </cell>
          <cell r="C3152" t="str">
            <v>SANDRA MARGARETE COELHO</v>
          </cell>
          <cell r="D3152" t="str">
            <v>4001</v>
          </cell>
          <cell r="E3152" t="str">
            <v>0593</v>
          </cell>
          <cell r="F3152" t="str">
            <v>C7</v>
          </cell>
          <cell r="G3152" t="str">
            <v>RS</v>
          </cell>
        </row>
        <row r="3153">
          <cell r="B3153">
            <v>5279596</v>
          </cell>
          <cell r="C3153" t="str">
            <v>J JOSE POSADA CIA LTDA</v>
          </cell>
          <cell r="D3153" t="str">
            <v>4001</v>
          </cell>
          <cell r="E3153" t="str">
            <v>0593</v>
          </cell>
          <cell r="F3153" t="str">
            <v>C7</v>
          </cell>
          <cell r="G3153" t="str">
            <v>RS</v>
          </cell>
        </row>
        <row r="3154">
          <cell r="B3154">
            <v>5287946</v>
          </cell>
          <cell r="C3154" t="str">
            <v>SUPERMERCADO GUANABARA S A</v>
          </cell>
          <cell r="D3154" t="str">
            <v>4001</v>
          </cell>
          <cell r="E3154" t="str">
            <v>0593</v>
          </cell>
          <cell r="F3154" t="str">
            <v>C7</v>
          </cell>
          <cell r="G3154" t="str">
            <v>RS</v>
          </cell>
        </row>
        <row r="3155">
          <cell r="B3155">
            <v>5349839</v>
          </cell>
          <cell r="C3155" t="str">
            <v>REDE SUL CENTRO DE DIS DE ALIMENTOS</v>
          </cell>
          <cell r="D3155" t="str">
            <v>4001</v>
          </cell>
          <cell r="E3155" t="str">
            <v>0593</v>
          </cell>
          <cell r="F3155" t="str">
            <v>C7</v>
          </cell>
          <cell r="G3155" t="str">
            <v>RS</v>
          </cell>
        </row>
        <row r="3156">
          <cell r="B3156">
            <v>5364697</v>
          </cell>
          <cell r="C3156" t="str">
            <v>REI DOS GELADOS LTDA</v>
          </cell>
          <cell r="D3156" t="str">
            <v>6001</v>
          </cell>
          <cell r="E3156" t="str">
            <v>6028</v>
          </cell>
          <cell r="F3156" t="str">
            <v>C1</v>
          </cell>
          <cell r="G3156" t="str">
            <v>RJ</v>
          </cell>
        </row>
        <row r="3157">
          <cell r="B3157">
            <v>5364794</v>
          </cell>
          <cell r="C3157" t="str">
            <v>RSOL DISTRIBUIDORA LTDA</v>
          </cell>
          <cell r="D3157" t="str">
            <v>3001</v>
          </cell>
          <cell r="E3157" t="str">
            <v>0028</v>
          </cell>
          <cell r="F3157" t="str">
            <v>C1</v>
          </cell>
          <cell r="G3157" t="str">
            <v>PR</v>
          </cell>
        </row>
        <row r="3158">
          <cell r="B3158">
            <v>5151341</v>
          </cell>
          <cell r="C3158" t="str">
            <v>FORMAGGIO DISTRIB ALIMENTOS LTDA</v>
          </cell>
          <cell r="D3158" t="str">
            <v>4001</v>
          </cell>
          <cell r="E3158" t="str">
            <v>0536</v>
          </cell>
          <cell r="F3158" t="str">
            <v>C5</v>
          </cell>
          <cell r="G3158" t="str">
            <v>PE</v>
          </cell>
        </row>
        <row r="3159">
          <cell r="B3159">
            <v>5189657</v>
          </cell>
          <cell r="C3159" t="str">
            <v>CHARLOTE RIO ALIMENTOS LTDA</v>
          </cell>
          <cell r="D3159" t="str">
            <v>6001</v>
          </cell>
          <cell r="E3159" t="str">
            <v>6169</v>
          </cell>
          <cell r="F3159" t="str">
            <v>C1</v>
          </cell>
          <cell r="G3159" t="str">
            <v>RJ</v>
          </cell>
        </row>
        <row r="3160">
          <cell r="B3160">
            <v>5364934</v>
          </cell>
          <cell r="C3160" t="str">
            <v>24855276 FABRICIO AMORIM FERREI</v>
          </cell>
          <cell r="D3160" t="str">
            <v>7001</v>
          </cell>
          <cell r="E3160" t="str">
            <v>0749</v>
          </cell>
          <cell r="F3160" t="str">
            <v>C5</v>
          </cell>
          <cell r="G3160" t="str">
            <v>SP</v>
          </cell>
        </row>
        <row r="3161">
          <cell r="B3161">
            <v>5364976</v>
          </cell>
          <cell r="C3161" t="str">
            <v>65459689 VIVIANE BUZZO RODRIGUE</v>
          </cell>
          <cell r="D3161" t="str">
            <v>7001</v>
          </cell>
          <cell r="E3161" t="str">
            <v>0749</v>
          </cell>
          <cell r="F3161" t="str">
            <v>C5</v>
          </cell>
          <cell r="G3161" t="str">
            <v>SP</v>
          </cell>
        </row>
        <row r="3162">
          <cell r="B3162">
            <v>5274344</v>
          </cell>
          <cell r="C3162" t="str">
            <v>BERSAGLIO COMERCIO DE ALIM LTDA</v>
          </cell>
          <cell r="D3162" t="str">
            <v>4001</v>
          </cell>
          <cell r="E3162" t="str">
            <v>0593</v>
          </cell>
          <cell r="F3162" t="str">
            <v>C7</v>
          </cell>
          <cell r="G3162" t="str">
            <v>RS</v>
          </cell>
        </row>
        <row r="3163">
          <cell r="B3163">
            <v>5338402</v>
          </cell>
          <cell r="C3163" t="str">
            <v>ALCREMO IND E COM DE LATICINIOS</v>
          </cell>
          <cell r="D3163" t="str">
            <v>4001</v>
          </cell>
          <cell r="E3163" t="str">
            <v>0458</v>
          </cell>
          <cell r="F3163" t="str">
            <v>C1</v>
          </cell>
          <cell r="G3163" t="str">
            <v>MG</v>
          </cell>
        </row>
        <row r="3164">
          <cell r="B3164">
            <v>5332556</v>
          </cell>
          <cell r="C3164" t="str">
            <v>CB CURITIBA COMERCIO DE ALIMENTOS L</v>
          </cell>
          <cell r="D3164" t="str">
            <v>3001</v>
          </cell>
          <cell r="E3164" t="str">
            <v>0126</v>
          </cell>
          <cell r="F3164" t="str">
            <v>C1</v>
          </cell>
          <cell r="G3164" t="str">
            <v>PR</v>
          </cell>
        </row>
        <row r="3165">
          <cell r="B3165">
            <v>5332557</v>
          </cell>
          <cell r="C3165" t="str">
            <v>CB CURITIBA COMERCIO DE ALIMENT</v>
          </cell>
          <cell r="D3165" t="str">
            <v>3001</v>
          </cell>
          <cell r="E3165" t="str">
            <v>0126</v>
          </cell>
          <cell r="F3165" t="str">
            <v>C1</v>
          </cell>
          <cell r="G3165" t="str">
            <v>PR</v>
          </cell>
        </row>
        <row r="3166">
          <cell r="B3166">
            <v>5336831</v>
          </cell>
          <cell r="C3166" t="str">
            <v>COMERCIO VAREJISTA DE SORVETES</v>
          </cell>
          <cell r="D3166" t="str">
            <v>6001</v>
          </cell>
          <cell r="E3166" t="str">
            <v>6125</v>
          </cell>
          <cell r="F3166" t="str">
            <v>C1</v>
          </cell>
          <cell r="G3166" t="str">
            <v>SP</v>
          </cell>
        </row>
        <row r="3167">
          <cell r="B3167">
            <v>5352422</v>
          </cell>
          <cell r="C3167" t="str">
            <v>CB LAGO NORTE COM DE ALIM LTDA</v>
          </cell>
          <cell r="D3167" t="str">
            <v>6001</v>
          </cell>
          <cell r="E3167" t="str">
            <v>6123</v>
          </cell>
          <cell r="F3167" t="str">
            <v>C1</v>
          </cell>
          <cell r="G3167" t="str">
            <v>DF</v>
          </cell>
        </row>
        <row r="3168">
          <cell r="B3168">
            <v>5363138</v>
          </cell>
          <cell r="C3168" t="str">
            <v>MY FLY SERVICOS E EVENTOS LTDA</v>
          </cell>
          <cell r="D3168" t="str">
            <v>6001</v>
          </cell>
          <cell r="E3168" t="str">
            <v>6169</v>
          </cell>
          <cell r="F3168" t="str">
            <v>C1</v>
          </cell>
          <cell r="G3168" t="str">
            <v>RJ</v>
          </cell>
        </row>
        <row r="3169">
          <cell r="B3169">
            <v>5302247</v>
          </cell>
          <cell r="C3169" t="str">
            <v>LACTICINIOS TIROL LTDA</v>
          </cell>
          <cell r="D3169" t="str">
            <v>4001</v>
          </cell>
          <cell r="E3169" t="str">
            <v>0546</v>
          </cell>
          <cell r="F3169" t="str">
            <v>C1</v>
          </cell>
          <cell r="G3169" t="str">
            <v>RS</v>
          </cell>
        </row>
        <row r="3170">
          <cell r="B3170">
            <v>5307454</v>
          </cell>
          <cell r="C3170" t="str">
            <v>YA CULTURA COMIDA E ARTE LTDA</v>
          </cell>
          <cell r="D3170" t="str">
            <v>7001</v>
          </cell>
          <cell r="E3170" t="str">
            <v>0749</v>
          </cell>
          <cell r="F3170" t="str">
            <v>C5</v>
          </cell>
          <cell r="G3170" t="str">
            <v>SP</v>
          </cell>
        </row>
        <row r="3171">
          <cell r="B3171">
            <v>5350700</v>
          </cell>
          <cell r="C3171" t="str">
            <v>CB RP COMERCIO DE ALIMEN LTDA</v>
          </cell>
          <cell r="D3171" t="str">
            <v>6001</v>
          </cell>
          <cell r="E3171" t="str">
            <v>6125</v>
          </cell>
          <cell r="F3171" t="str">
            <v>C1</v>
          </cell>
          <cell r="G3171" t="str">
            <v>SP</v>
          </cell>
        </row>
        <row r="3172">
          <cell r="B3172">
            <v>5350703</v>
          </cell>
          <cell r="C3172" t="str">
            <v>CB S JOSE DOS CAMPOS COM DE AL</v>
          </cell>
          <cell r="D3172" t="str">
            <v>6001</v>
          </cell>
          <cell r="E3172" t="str">
            <v>6125</v>
          </cell>
          <cell r="F3172" t="str">
            <v>C1</v>
          </cell>
          <cell r="G3172" t="str">
            <v>SP</v>
          </cell>
        </row>
        <row r="3173">
          <cell r="B3173">
            <v>5351896</v>
          </cell>
          <cell r="C3173" t="str">
            <v>CB FLORIANOPOLIS COM DE ALIM LT</v>
          </cell>
          <cell r="D3173" t="str">
            <v>3001</v>
          </cell>
          <cell r="E3173" t="str">
            <v>0126</v>
          </cell>
          <cell r="F3173" t="str">
            <v>C1</v>
          </cell>
          <cell r="G3173" t="str">
            <v>SC</v>
          </cell>
        </row>
        <row r="3174">
          <cell r="B3174">
            <v>5351897</v>
          </cell>
          <cell r="C3174" t="str">
            <v>CB FLORIANOPOLIS COM DE ALIM LT</v>
          </cell>
          <cell r="D3174" t="str">
            <v>3001</v>
          </cell>
          <cell r="E3174" t="str">
            <v>0126</v>
          </cell>
          <cell r="F3174" t="str">
            <v>C1</v>
          </cell>
          <cell r="G3174" t="str">
            <v>SC</v>
          </cell>
        </row>
        <row r="3175">
          <cell r="B3175">
            <v>5363757</v>
          </cell>
          <cell r="C3175" t="str">
            <v>CB MACEIO COMERCIO DE ALIMENTOS</v>
          </cell>
          <cell r="D3175" t="str">
            <v>3001</v>
          </cell>
          <cell r="E3175" t="str">
            <v>0127</v>
          </cell>
          <cell r="F3175" t="str">
            <v>C1</v>
          </cell>
          <cell r="G3175" t="str">
            <v>AL</v>
          </cell>
        </row>
        <row r="3176">
          <cell r="B3176">
            <v>5170377</v>
          </cell>
          <cell r="C3176" t="str">
            <v>NUTRIBOM SORVETES EILRELI ME</v>
          </cell>
          <cell r="D3176" t="str">
            <v>6001</v>
          </cell>
          <cell r="E3176" t="str">
            <v>6028</v>
          </cell>
          <cell r="F3176" t="str">
            <v>C1</v>
          </cell>
          <cell r="G3176" t="str">
            <v>RJ</v>
          </cell>
        </row>
        <row r="3177">
          <cell r="B3177">
            <v>5336752</v>
          </cell>
          <cell r="C3177" t="str">
            <v>LUNAR DISTRIBUIDORA LTDA</v>
          </cell>
          <cell r="D3177" t="str">
            <v>4001</v>
          </cell>
          <cell r="E3177" t="str">
            <v>0593</v>
          </cell>
          <cell r="F3177" t="str">
            <v>C7</v>
          </cell>
          <cell r="G3177" t="str">
            <v>RS</v>
          </cell>
        </row>
        <row r="3178">
          <cell r="B3178">
            <v>5171786</v>
          </cell>
          <cell r="C3178" t="str">
            <v>GR SERVICOS E ALIMENTACAO LTDA</v>
          </cell>
          <cell r="D3178" t="str">
            <v>3001</v>
          </cell>
          <cell r="E3178" t="str">
            <v>0126</v>
          </cell>
          <cell r="F3178" t="str">
            <v>C1</v>
          </cell>
          <cell r="G3178" t="str">
            <v>PR</v>
          </cell>
        </row>
        <row r="3179">
          <cell r="B3179">
            <v>5286590</v>
          </cell>
          <cell r="C3179" t="str">
            <v>INSTITUTO DAS IRMAS DA SANTA CR</v>
          </cell>
          <cell r="D3179" t="str">
            <v>7001</v>
          </cell>
          <cell r="E3179" t="str">
            <v>0749</v>
          </cell>
          <cell r="F3179" t="str">
            <v>C5</v>
          </cell>
          <cell r="G3179" t="str">
            <v>SP</v>
          </cell>
        </row>
        <row r="3180">
          <cell r="B3180">
            <v>5364907</v>
          </cell>
          <cell r="C3180" t="str">
            <v>LANCHONETE E SORVETERIA POLAR L</v>
          </cell>
          <cell r="D3180" t="str">
            <v>3001</v>
          </cell>
          <cell r="E3180" t="str">
            <v>0126</v>
          </cell>
          <cell r="F3180" t="str">
            <v>C1</v>
          </cell>
          <cell r="G3180" t="str">
            <v>SC</v>
          </cell>
        </row>
        <row r="3181">
          <cell r="B3181">
            <v>5364858</v>
          </cell>
          <cell r="C3181" t="str">
            <v>MEBEZ INDUSTRIA ALIMENTICIA LTDA</v>
          </cell>
          <cell r="D3181" t="str">
            <v>3001</v>
          </cell>
          <cell r="E3181" t="str">
            <v>0127</v>
          </cell>
          <cell r="F3181" t="str">
            <v>C1</v>
          </cell>
          <cell r="G3181" t="str">
            <v>PB</v>
          </cell>
        </row>
        <row r="3182">
          <cell r="B3182">
            <v>5365324</v>
          </cell>
          <cell r="C3182" t="str">
            <v>X SANBAR BRAZIL LTDA</v>
          </cell>
          <cell r="D3182" t="str">
            <v>6001</v>
          </cell>
          <cell r="E3182" t="str">
            <v>6028</v>
          </cell>
          <cell r="F3182" t="str">
            <v>C1</v>
          </cell>
          <cell r="G3182" t="str">
            <v>SP</v>
          </cell>
        </row>
        <row r="3183">
          <cell r="B3183">
            <v>5172087</v>
          </cell>
          <cell r="C3183" t="str">
            <v>ASSOC CONGREG DE SANTA CATARINA</v>
          </cell>
          <cell r="D3183" t="str">
            <v>6001</v>
          </cell>
          <cell r="E3183" t="str">
            <v>6125</v>
          </cell>
          <cell r="F3183" t="str">
            <v>C1</v>
          </cell>
          <cell r="G3183" t="str">
            <v>SP</v>
          </cell>
        </row>
        <row r="3184">
          <cell r="B3184">
            <v>5148551</v>
          </cell>
          <cell r="C3184" t="str">
            <v>MATHEUS GIORDANI ATACADO DE ALIMENT</v>
          </cell>
          <cell r="D3184" t="str">
            <v>4001</v>
          </cell>
          <cell r="E3184" t="str">
            <v>0593</v>
          </cell>
          <cell r="F3184" t="str">
            <v>C7</v>
          </cell>
          <cell r="G3184" t="str">
            <v>RS</v>
          </cell>
        </row>
        <row r="3185">
          <cell r="B3185">
            <v>5264512</v>
          </cell>
          <cell r="C3185" t="str">
            <v>BONJOUR PAO COMERCIO LTDA</v>
          </cell>
          <cell r="D3185" t="str">
            <v>7001</v>
          </cell>
          <cell r="E3185" t="str">
            <v>0749</v>
          </cell>
          <cell r="F3185" t="str">
            <v>C5</v>
          </cell>
          <cell r="G3185" t="str">
            <v>SP</v>
          </cell>
        </row>
        <row r="3186">
          <cell r="B3186">
            <v>5319220</v>
          </cell>
          <cell r="C3186" t="str">
            <v>MARIA LIDIA GONCALVES</v>
          </cell>
          <cell r="D3186" t="str">
            <v>7001</v>
          </cell>
          <cell r="E3186" t="str">
            <v>0749</v>
          </cell>
          <cell r="F3186" t="str">
            <v>C5</v>
          </cell>
          <cell r="G3186" t="str">
            <v>SP</v>
          </cell>
        </row>
        <row r="3187">
          <cell r="B3187">
            <v>5365100</v>
          </cell>
          <cell r="C3187" t="str">
            <v>DONA KIM CAFE E RESTAURANTE LTD</v>
          </cell>
          <cell r="D3187" t="str">
            <v>7001</v>
          </cell>
          <cell r="E3187" t="str">
            <v>0749</v>
          </cell>
          <cell r="F3187" t="str">
            <v>C5</v>
          </cell>
          <cell r="G3187" t="str">
            <v>SP</v>
          </cell>
        </row>
        <row r="3188">
          <cell r="B3188">
            <v>5365317</v>
          </cell>
          <cell r="C3188" t="str">
            <v>QUEBRA NOZES IND E COM DE AL LT</v>
          </cell>
          <cell r="D3188" t="str">
            <v>6001</v>
          </cell>
          <cell r="E3188" t="str">
            <v>6028</v>
          </cell>
          <cell r="F3188" t="str">
            <v>C1</v>
          </cell>
          <cell r="G3188" t="str">
            <v>RJ</v>
          </cell>
        </row>
        <row r="3189">
          <cell r="B3189">
            <v>5027209</v>
          </cell>
          <cell r="C3189" t="str">
            <v>GRANTERRA COMERCIO DE ALIMENTOS LTD</v>
          </cell>
          <cell r="D3189" t="str">
            <v>7001</v>
          </cell>
          <cell r="E3189" t="str">
            <v>0749</v>
          </cell>
          <cell r="F3189" t="str">
            <v>C5</v>
          </cell>
          <cell r="G3189" t="str">
            <v>SP</v>
          </cell>
        </row>
        <row r="3190">
          <cell r="B3190">
            <v>5168151</v>
          </cell>
          <cell r="C3190" t="str">
            <v>I S M GOMES DE MATTOS LTDA</v>
          </cell>
          <cell r="D3190" t="str">
            <v>6001</v>
          </cell>
          <cell r="E3190" t="str">
            <v>6127</v>
          </cell>
          <cell r="F3190" t="str">
            <v>C1</v>
          </cell>
          <cell r="G3190" t="str">
            <v>CE</v>
          </cell>
        </row>
        <row r="3191">
          <cell r="B3191">
            <v>5182808</v>
          </cell>
          <cell r="C3191" t="str">
            <v>KAPRICHO IND E COM DE ALIM LTDA</v>
          </cell>
          <cell r="D3191" t="str">
            <v>3001</v>
          </cell>
          <cell r="E3191" t="str">
            <v>0028</v>
          </cell>
          <cell r="F3191" t="str">
            <v>C1</v>
          </cell>
          <cell r="G3191" t="str">
            <v>SE</v>
          </cell>
        </row>
        <row r="3192">
          <cell r="B3192">
            <v>5107152</v>
          </cell>
          <cell r="C3192" t="str">
            <v>CALIFORNIA COM DE SORVETES LTDA</v>
          </cell>
          <cell r="D3192" t="str">
            <v>6001</v>
          </cell>
          <cell r="E3192" t="str">
            <v>6028</v>
          </cell>
          <cell r="F3192" t="str">
            <v>C1</v>
          </cell>
          <cell r="G3192" t="str">
            <v>RJ</v>
          </cell>
        </row>
        <row r="3193">
          <cell r="B3193">
            <v>5365501</v>
          </cell>
          <cell r="C3193" t="str">
            <v>SLIM HOTEL FREI CANECA LTDA</v>
          </cell>
          <cell r="D3193" t="str">
            <v>7001</v>
          </cell>
          <cell r="E3193" t="str">
            <v>0749</v>
          </cell>
          <cell r="F3193" t="str">
            <v>C5</v>
          </cell>
          <cell r="G3193" t="str">
            <v>SP</v>
          </cell>
        </row>
        <row r="3194">
          <cell r="B3194">
            <v>5172087</v>
          </cell>
          <cell r="C3194" t="str">
            <v>ASSOC CONGREG DE SANTA CATARINA</v>
          </cell>
          <cell r="D3194" t="str">
            <v>7001</v>
          </cell>
          <cell r="E3194" t="str">
            <v>0722</v>
          </cell>
          <cell r="F3194" t="str">
            <v>C1</v>
          </cell>
          <cell r="G3194" t="str">
            <v>SP</v>
          </cell>
        </row>
        <row r="3195">
          <cell r="B3195">
            <v>5176952</v>
          </cell>
          <cell r="C3195" t="str">
            <v>CLUBE DO CONFEITEIRO LTDA</v>
          </cell>
          <cell r="D3195" t="str">
            <v>6001</v>
          </cell>
          <cell r="E3195" t="str">
            <v>6028</v>
          </cell>
          <cell r="F3195" t="str">
            <v>C1</v>
          </cell>
          <cell r="G3195" t="str">
            <v>SP</v>
          </cell>
        </row>
        <row r="3196">
          <cell r="B3196">
            <v>5364391</v>
          </cell>
          <cell r="C3196" t="str">
            <v>M P V MAGESTI LTDA</v>
          </cell>
          <cell r="D3196" t="str">
            <v>3001</v>
          </cell>
          <cell r="E3196" t="str">
            <v>0028</v>
          </cell>
          <cell r="F3196" t="str">
            <v>C1</v>
          </cell>
          <cell r="G3196" t="str">
            <v>PR</v>
          </cell>
        </row>
        <row r="3197">
          <cell r="B3197">
            <v>5365316</v>
          </cell>
          <cell r="C3197" t="str">
            <v>62899176 VALMOR VALLE</v>
          </cell>
          <cell r="D3197" t="str">
            <v>3001</v>
          </cell>
          <cell r="E3197" t="str">
            <v>0028</v>
          </cell>
          <cell r="F3197" t="str">
            <v>C1</v>
          </cell>
          <cell r="G3197" t="str">
            <v>SC</v>
          </cell>
        </row>
        <row r="3198">
          <cell r="B3198">
            <v>5182718</v>
          </cell>
          <cell r="C3198" t="str">
            <v>BARAO DO ACAI COMERCIAL LTDA ME</v>
          </cell>
          <cell r="D3198" t="str">
            <v>6001</v>
          </cell>
          <cell r="E3198" t="str">
            <v>6169</v>
          </cell>
          <cell r="F3198" t="str">
            <v>C1</v>
          </cell>
          <cell r="G3198" t="str">
            <v>ES</v>
          </cell>
        </row>
        <row r="3199">
          <cell r="B3199">
            <v>5218349</v>
          </cell>
          <cell r="C3199" t="str">
            <v>DISTRIBUIDORA PRIMORDIAL FRIOS LTDA</v>
          </cell>
          <cell r="D3199" t="str">
            <v>7001</v>
          </cell>
          <cell r="E3199" t="str">
            <v>0749</v>
          </cell>
          <cell r="F3199" t="str">
            <v>C5</v>
          </cell>
          <cell r="G3199" t="str">
            <v>SP</v>
          </cell>
        </row>
        <row r="3200">
          <cell r="B3200">
            <v>5351071</v>
          </cell>
          <cell r="C3200" t="str">
            <v>ANA CLARA PEREIRA DA SILVA</v>
          </cell>
          <cell r="D3200" t="str">
            <v>4001</v>
          </cell>
          <cell r="E3200" t="str">
            <v>0458</v>
          </cell>
          <cell r="F3200" t="str">
            <v>C1</v>
          </cell>
          <cell r="G3200" t="str">
            <v>RJ</v>
          </cell>
        </row>
        <row r="3201">
          <cell r="B3201">
            <v>5164254</v>
          </cell>
          <cell r="C3201" t="str">
            <v>TRES CORACOES ALIMENTOS SA</v>
          </cell>
          <cell r="D3201" t="str">
            <v>4001</v>
          </cell>
          <cell r="E3201" t="str">
            <v>0437</v>
          </cell>
          <cell r="F3201" t="str">
            <v>C1</v>
          </cell>
          <cell r="G3201" t="str">
            <v>CE</v>
          </cell>
        </row>
        <row r="3202">
          <cell r="B3202">
            <v>5128517</v>
          </cell>
          <cell r="C3202" t="str">
            <v>LF FOOD S LTDA</v>
          </cell>
          <cell r="D3202" t="str">
            <v>6001</v>
          </cell>
          <cell r="E3202" t="str">
            <v>6127</v>
          </cell>
          <cell r="F3202" t="str">
            <v>C1</v>
          </cell>
          <cell r="G3202" t="str">
            <v>BA</v>
          </cell>
        </row>
        <row r="3203">
          <cell r="B3203">
            <v>5182808</v>
          </cell>
          <cell r="C3203" t="str">
            <v>KAPRICHO IND E COM DE ALIM LTDA</v>
          </cell>
          <cell r="D3203" t="str">
            <v>6001</v>
          </cell>
          <cell r="E3203" t="str">
            <v>6028</v>
          </cell>
          <cell r="F3203" t="str">
            <v>C1</v>
          </cell>
          <cell r="G3203" t="str">
            <v>SE</v>
          </cell>
        </row>
        <row r="3204">
          <cell r="B3204">
            <v>5226511</v>
          </cell>
          <cell r="C3204" t="str">
            <v>CHOCOLATES GAROTO LTDA</v>
          </cell>
          <cell r="D3204" t="str">
            <v>4001</v>
          </cell>
          <cell r="E3204" t="str">
            <v>0437</v>
          </cell>
          <cell r="F3204" t="str">
            <v>C1</v>
          </cell>
          <cell r="G3204" t="str">
            <v>ES</v>
          </cell>
        </row>
        <row r="3205">
          <cell r="B3205">
            <v>5253195</v>
          </cell>
          <cell r="C3205" t="str">
            <v>GALERIA DO QUEIJO LTDA</v>
          </cell>
          <cell r="D3205" t="str">
            <v>7001</v>
          </cell>
          <cell r="E3205" t="str">
            <v>0722</v>
          </cell>
          <cell r="F3205" t="str">
            <v>C1</v>
          </cell>
          <cell r="G3205" t="str">
            <v>SP</v>
          </cell>
        </row>
        <row r="3206">
          <cell r="B3206">
            <v>5255536</v>
          </cell>
          <cell r="C3206" t="str">
            <v>TORTA NO QUINTAL LANCHES LTDA M</v>
          </cell>
          <cell r="D3206" t="str">
            <v>7001</v>
          </cell>
          <cell r="E3206" t="str">
            <v>0749</v>
          </cell>
          <cell r="F3206" t="str">
            <v>C5</v>
          </cell>
          <cell r="G3206" t="str">
            <v>SP</v>
          </cell>
        </row>
        <row r="3207">
          <cell r="B3207">
            <v>5364391</v>
          </cell>
          <cell r="C3207" t="str">
            <v>M P V MAGESTI LTDA</v>
          </cell>
          <cell r="D3207" t="str">
            <v>4001</v>
          </cell>
          <cell r="E3207" t="str">
            <v>0455</v>
          </cell>
          <cell r="F3207" t="str">
            <v>C1</v>
          </cell>
          <cell r="G3207" t="str">
            <v>PR</v>
          </cell>
        </row>
        <row r="3208">
          <cell r="B3208">
            <v>5365710</v>
          </cell>
          <cell r="C3208" t="str">
            <v>CELSO CAVILHA</v>
          </cell>
          <cell r="D3208" t="str">
            <v>3001</v>
          </cell>
          <cell r="E3208" t="str">
            <v>0028</v>
          </cell>
          <cell r="F3208" t="str">
            <v>C1</v>
          </cell>
          <cell r="G3208" t="str">
            <v>SC</v>
          </cell>
        </row>
        <row r="3209">
          <cell r="B3209">
            <v>5365775</v>
          </cell>
          <cell r="C3209" t="str">
            <v>SORVETERIA NEVASKA LTDA</v>
          </cell>
          <cell r="D3209" t="str">
            <v>6001</v>
          </cell>
          <cell r="E3209" t="str">
            <v>6028</v>
          </cell>
          <cell r="F3209" t="str">
            <v>C1</v>
          </cell>
          <cell r="G3209" t="str">
            <v>MS</v>
          </cell>
        </row>
        <row r="3210">
          <cell r="B3210">
            <v>5033007</v>
          </cell>
          <cell r="C3210" t="str">
            <v>COMERCIAL NERES E ARAUO LTDA</v>
          </cell>
          <cell r="D3210" t="str">
            <v>6001</v>
          </cell>
          <cell r="E3210" t="str">
            <v>6169</v>
          </cell>
          <cell r="F3210" t="str">
            <v>C1</v>
          </cell>
          <cell r="G3210" t="str">
            <v>ES</v>
          </cell>
        </row>
        <row r="3211">
          <cell r="B3211">
            <v>5123062</v>
          </cell>
          <cell r="C3211" t="str">
            <v>COMERCIAL MILANO BRASIL LTDA</v>
          </cell>
          <cell r="D3211" t="str">
            <v>7001</v>
          </cell>
          <cell r="E3211" t="str">
            <v>0749</v>
          </cell>
          <cell r="F3211" t="str">
            <v>C5</v>
          </cell>
          <cell r="G3211" t="str">
            <v>SP</v>
          </cell>
        </row>
        <row r="3212">
          <cell r="B3212">
            <v>5365804</v>
          </cell>
          <cell r="C3212" t="str">
            <v>M P LAHAM</v>
          </cell>
          <cell r="D3212" t="str">
            <v>7001</v>
          </cell>
          <cell r="E3212" t="str">
            <v>0722</v>
          </cell>
          <cell r="F3212" t="str">
            <v>C1</v>
          </cell>
          <cell r="G3212" t="str">
            <v>SP</v>
          </cell>
        </row>
        <row r="3213">
          <cell r="B3213">
            <v>5365400</v>
          </cell>
          <cell r="C3213" t="str">
            <v>DIVINUS COM DE PR PARA FESTAS LTDA</v>
          </cell>
          <cell r="D3213" t="str">
            <v>7001</v>
          </cell>
          <cell r="E3213" t="str">
            <v>0722</v>
          </cell>
          <cell r="F3213" t="str">
            <v>C1</v>
          </cell>
          <cell r="G3213" t="str">
            <v>SP</v>
          </cell>
        </row>
        <row r="3214">
          <cell r="B3214">
            <v>5365405</v>
          </cell>
          <cell r="C3214" t="str">
            <v>ALMAH ALIMENTOS LTDA</v>
          </cell>
          <cell r="D3214" t="str">
            <v>7001</v>
          </cell>
          <cell r="E3214" t="str">
            <v>0749</v>
          </cell>
          <cell r="F3214" t="str">
            <v>C5</v>
          </cell>
          <cell r="G3214" t="str">
            <v>SP</v>
          </cell>
        </row>
        <row r="3215">
          <cell r="B3215">
            <v>5365725</v>
          </cell>
          <cell r="C3215" t="str">
            <v>35285088 GIOVANNA GAMA DE AZEVE</v>
          </cell>
          <cell r="D3215" t="str">
            <v>7001</v>
          </cell>
          <cell r="E3215" t="str">
            <v>0749</v>
          </cell>
          <cell r="F3215" t="str">
            <v>C5</v>
          </cell>
          <cell r="G3215" t="str">
            <v>SP</v>
          </cell>
        </row>
        <row r="3216">
          <cell r="B3216">
            <v>5365972</v>
          </cell>
          <cell r="C3216" t="str">
            <v>TAS BUFFET LTDA</v>
          </cell>
          <cell r="D3216" t="str">
            <v>7001</v>
          </cell>
          <cell r="E3216" t="str">
            <v>0749</v>
          </cell>
          <cell r="F3216" t="str">
            <v>C5</v>
          </cell>
          <cell r="G3216" t="str">
            <v>SP</v>
          </cell>
        </row>
        <row r="3217">
          <cell r="B3217">
            <v>5223419</v>
          </cell>
          <cell r="C3217" t="str">
            <v>OESA COMERCIO E REPRESENTACOES SA</v>
          </cell>
          <cell r="D3217" t="str">
            <v>7001</v>
          </cell>
          <cell r="E3217" t="str">
            <v>0560</v>
          </cell>
          <cell r="F3217" t="str">
            <v>C5</v>
          </cell>
          <cell r="G3217" t="str">
            <v>DF</v>
          </cell>
        </row>
        <row r="3218">
          <cell r="B3218">
            <v>5228956</v>
          </cell>
          <cell r="C3218" t="str">
            <v>MARTINS E SILVA COMERCIO LTDA</v>
          </cell>
          <cell r="D3218" t="str">
            <v>4001</v>
          </cell>
          <cell r="E3218" t="str">
            <v>0531</v>
          </cell>
          <cell r="F3218" t="str">
            <v>C5</v>
          </cell>
          <cell r="G3218" t="str">
            <v>RR</v>
          </cell>
        </row>
        <row r="3219">
          <cell r="B3219">
            <v>5365546</v>
          </cell>
          <cell r="C3219" t="str">
            <v>BULK SUPLEMENTOS ALIMENT LTDA</v>
          </cell>
          <cell r="D3219" t="str">
            <v>4001</v>
          </cell>
          <cell r="E3219" t="str">
            <v>0437</v>
          </cell>
          <cell r="F3219" t="str">
            <v>C1</v>
          </cell>
          <cell r="G3219" t="str">
            <v>SP</v>
          </cell>
        </row>
        <row r="3220">
          <cell r="B3220">
            <v>5366154</v>
          </cell>
          <cell r="C3220" t="str">
            <v>MONTEIRO RUFINO GELATOS LTDA</v>
          </cell>
          <cell r="D3220" t="str">
            <v>6001</v>
          </cell>
          <cell r="E3220" t="str">
            <v>6028</v>
          </cell>
          <cell r="F3220" t="str">
            <v>C1</v>
          </cell>
          <cell r="G3220" t="str">
            <v>RJ</v>
          </cell>
        </row>
        <row r="3221">
          <cell r="B3221">
            <v>5188918</v>
          </cell>
          <cell r="C3221" t="str">
            <v>H D HAMASAKI ARTIG PARA PANIF E CON</v>
          </cell>
          <cell r="D3221" t="str">
            <v>6001</v>
          </cell>
          <cell r="E3221" t="str">
            <v>6125</v>
          </cell>
          <cell r="F3221" t="str">
            <v>C1</v>
          </cell>
          <cell r="G3221" t="str">
            <v>SP</v>
          </cell>
        </row>
        <row r="3222">
          <cell r="B3222">
            <v>5225065</v>
          </cell>
          <cell r="C3222" t="str">
            <v>MACNA HOTEIS SPE 02 LTDA</v>
          </cell>
          <cell r="D3222" t="str">
            <v>3001</v>
          </cell>
          <cell r="E3222" t="str">
            <v>0122</v>
          </cell>
          <cell r="F3222" t="str">
            <v>C1</v>
          </cell>
          <cell r="G3222" t="str">
            <v>MG</v>
          </cell>
        </row>
        <row r="3223">
          <cell r="B3223">
            <v>5331778</v>
          </cell>
          <cell r="C3223" t="str">
            <v>CB RECIFE DERBY RESTAURANTE E A</v>
          </cell>
          <cell r="D3223" t="str">
            <v>3001</v>
          </cell>
          <cell r="E3223" t="str">
            <v>0127</v>
          </cell>
          <cell r="F3223" t="str">
            <v>C1</v>
          </cell>
          <cell r="G3223" t="str">
            <v>PE</v>
          </cell>
        </row>
        <row r="3224">
          <cell r="B3224">
            <v>5349567</v>
          </cell>
          <cell r="C3224" t="str">
            <v>SILVANIA CRUZ DE OLIVEIRA LTDA</v>
          </cell>
          <cell r="D3224" t="str">
            <v>7001</v>
          </cell>
          <cell r="E3224" t="str">
            <v>0749</v>
          </cell>
          <cell r="F3224" t="str">
            <v>C5</v>
          </cell>
          <cell r="G3224" t="str">
            <v>SP</v>
          </cell>
        </row>
        <row r="3225">
          <cell r="B3225">
            <v>5364909</v>
          </cell>
          <cell r="C3225" t="str">
            <v>SARA TELES CONFEITARIA LTDA</v>
          </cell>
          <cell r="D3225" t="str">
            <v>7001</v>
          </cell>
          <cell r="E3225" t="str">
            <v>0749</v>
          </cell>
          <cell r="F3225" t="str">
            <v>C5</v>
          </cell>
          <cell r="G3225" t="str">
            <v>SP</v>
          </cell>
        </row>
        <row r="3226">
          <cell r="B3226">
            <v>5227156</v>
          </cell>
          <cell r="C3226" t="str">
            <v>GELARTE ACAI MIX IND E COM DE S LTD</v>
          </cell>
          <cell r="D3226" t="str">
            <v>6001</v>
          </cell>
          <cell r="E3226" t="str">
            <v>6028</v>
          </cell>
          <cell r="F3226" t="str">
            <v>C1</v>
          </cell>
          <cell r="G3226" t="str">
            <v>RJ</v>
          </cell>
        </row>
        <row r="3227">
          <cell r="B3227">
            <v>5271657</v>
          </cell>
          <cell r="C3227" t="str">
            <v>ITAMARATY DISTRIB DE POLPAS LTD</v>
          </cell>
          <cell r="D3227" t="str">
            <v>7001</v>
          </cell>
          <cell r="E3227" t="str">
            <v>0749</v>
          </cell>
          <cell r="F3227" t="str">
            <v>C5</v>
          </cell>
          <cell r="G3227" t="str">
            <v>SP</v>
          </cell>
        </row>
        <row r="3228">
          <cell r="B3228">
            <v>5363592</v>
          </cell>
          <cell r="C3228" t="str">
            <v>CBAF COMERCIO DE ALIMENTOS LTDA</v>
          </cell>
          <cell r="D3228" t="str">
            <v>6001</v>
          </cell>
          <cell r="E3228" t="str">
            <v>6125</v>
          </cell>
          <cell r="F3228" t="str">
            <v>C1</v>
          </cell>
          <cell r="G3228" t="str">
            <v>SP</v>
          </cell>
        </row>
        <row r="3229">
          <cell r="B3229">
            <v>5363595</v>
          </cell>
          <cell r="C3229" t="str">
            <v>CBAF COMERCIO DE ALIMENTOS LTDA</v>
          </cell>
          <cell r="D3229" t="str">
            <v>6001</v>
          </cell>
          <cell r="E3229" t="str">
            <v>6125</v>
          </cell>
          <cell r="F3229" t="str">
            <v>C1</v>
          </cell>
          <cell r="G3229" t="str">
            <v>SP</v>
          </cell>
        </row>
        <row r="3230">
          <cell r="B3230">
            <v>5320439</v>
          </cell>
          <cell r="C3230" t="str">
            <v>CONFEITARIA DO NILO LTDA</v>
          </cell>
          <cell r="D3230" t="str">
            <v>7001</v>
          </cell>
          <cell r="E3230" t="str">
            <v>0749</v>
          </cell>
          <cell r="F3230" t="str">
            <v>C5</v>
          </cell>
          <cell r="G3230" t="str">
            <v>SP</v>
          </cell>
        </row>
        <row r="3231">
          <cell r="B3231">
            <v>5320440</v>
          </cell>
          <cell r="C3231" t="str">
            <v>CONFEITARIA GRANJA SWEET LTDA</v>
          </cell>
          <cell r="D3231" t="str">
            <v>7001</v>
          </cell>
          <cell r="E3231" t="str">
            <v>0749</v>
          </cell>
          <cell r="F3231" t="str">
            <v>C5</v>
          </cell>
          <cell r="G3231" t="str">
            <v>SP</v>
          </cell>
        </row>
        <row r="3232">
          <cell r="B3232">
            <v>5336831</v>
          </cell>
          <cell r="C3232" t="str">
            <v>COMERCIO VAREJISTA DE SORVETES</v>
          </cell>
          <cell r="D3232" t="str">
            <v>7001</v>
          </cell>
          <cell r="E3232" t="str">
            <v>0749</v>
          </cell>
          <cell r="F3232" t="str">
            <v>C5</v>
          </cell>
          <cell r="G3232" t="str">
            <v>SP</v>
          </cell>
        </row>
        <row r="3233">
          <cell r="B3233">
            <v>5364699</v>
          </cell>
          <cell r="C3233" t="str">
            <v>JOSE BRUNO DA SILVA RAMOS LTDA</v>
          </cell>
          <cell r="D3233" t="str">
            <v>3001</v>
          </cell>
          <cell r="E3233" t="str">
            <v>0028</v>
          </cell>
          <cell r="F3233" t="str">
            <v>C1</v>
          </cell>
          <cell r="G3233" t="str">
            <v>PE</v>
          </cell>
        </row>
        <row r="3234">
          <cell r="B3234">
            <v>5366133</v>
          </cell>
          <cell r="C3234" t="str">
            <v>PRIME C DE AL CONGEL E CREM LTD</v>
          </cell>
          <cell r="D3234" t="str">
            <v>3001</v>
          </cell>
          <cell r="E3234" t="str">
            <v>0028</v>
          </cell>
          <cell r="F3234" t="str">
            <v>C1</v>
          </cell>
          <cell r="G3234" t="str">
            <v>PE</v>
          </cell>
        </row>
        <row r="3235">
          <cell r="B3235">
            <v>5171558</v>
          </cell>
          <cell r="C3235" t="str">
            <v>CASCA E BOLA SORVETERIA LTDA</v>
          </cell>
          <cell r="D3235" t="str">
            <v>6001</v>
          </cell>
          <cell r="E3235" t="str">
            <v>6028</v>
          </cell>
          <cell r="F3235" t="str">
            <v>C1</v>
          </cell>
          <cell r="G3235" t="str">
            <v>RJ</v>
          </cell>
        </row>
        <row r="3236">
          <cell r="B3236">
            <v>5358152</v>
          </cell>
          <cell r="C3236" t="str">
            <v>VOOOPT COMERCIO DE ALIMENTOS LTDA</v>
          </cell>
          <cell r="D3236" t="str">
            <v>6001</v>
          </cell>
          <cell r="E3236" t="str">
            <v>6028</v>
          </cell>
          <cell r="F3236" t="str">
            <v>C1</v>
          </cell>
          <cell r="G3236" t="str">
            <v>SP</v>
          </cell>
        </row>
        <row r="3237">
          <cell r="B3237">
            <v>5364382</v>
          </cell>
          <cell r="C3237" t="str">
            <v>46706845 GISELI VIEIRA MOREIRA</v>
          </cell>
          <cell r="D3237" t="str">
            <v>3001</v>
          </cell>
          <cell r="E3237" t="str">
            <v>0028</v>
          </cell>
          <cell r="F3237" t="str">
            <v>C1</v>
          </cell>
          <cell r="G3237" t="str">
            <v>MG</v>
          </cell>
        </row>
        <row r="3238">
          <cell r="B3238">
            <v>5364622</v>
          </cell>
          <cell r="C3238" t="str">
            <v>DR LEVAIN LTDA</v>
          </cell>
          <cell r="D3238" t="str">
            <v>7001</v>
          </cell>
          <cell r="E3238" t="str">
            <v>0749</v>
          </cell>
          <cell r="F3238" t="str">
            <v>C5</v>
          </cell>
          <cell r="G3238" t="str">
            <v>SP</v>
          </cell>
        </row>
        <row r="3239">
          <cell r="B3239">
            <v>5340507</v>
          </cell>
          <cell r="C3239" t="str">
            <v>SUAVE SABOR DOCERIA LTDA</v>
          </cell>
          <cell r="D3239" t="str">
            <v>7001</v>
          </cell>
          <cell r="E3239" t="str">
            <v>0737</v>
          </cell>
          <cell r="F3239" t="str">
            <v>C1</v>
          </cell>
          <cell r="G3239" t="str">
            <v>SP</v>
          </cell>
        </row>
        <row r="3240">
          <cell r="B3240">
            <v>5191622</v>
          </cell>
          <cell r="C3240" t="str">
            <v>MACNA ADMINISTRADORA HOTELEIRA LTDA</v>
          </cell>
          <cell r="D3240" t="str">
            <v>3001</v>
          </cell>
          <cell r="E3240" t="str">
            <v>0122</v>
          </cell>
          <cell r="F3240" t="str">
            <v>C1</v>
          </cell>
          <cell r="G3240" t="str">
            <v>MG</v>
          </cell>
        </row>
        <row r="3241">
          <cell r="B3241">
            <v>5220627</v>
          </cell>
          <cell r="C3241" t="str">
            <v>JME RAUTA COMERCIAL DISTRIBUIDO</v>
          </cell>
          <cell r="D3241" t="str">
            <v>3001</v>
          </cell>
          <cell r="E3241" t="str">
            <v>6028</v>
          </cell>
          <cell r="F3241" t="str">
            <v>C1</v>
          </cell>
          <cell r="G3241" t="str">
            <v>RJ</v>
          </cell>
        </row>
        <row r="3242">
          <cell r="B3242">
            <v>5315382</v>
          </cell>
          <cell r="C3242" t="str">
            <v>MATILDA PAULISTA RESTAURANTE LT</v>
          </cell>
          <cell r="D3242" t="str">
            <v>7001</v>
          </cell>
          <cell r="E3242" t="str">
            <v>0749</v>
          </cell>
          <cell r="F3242" t="str">
            <v>C5</v>
          </cell>
          <cell r="G3242" t="str">
            <v>SP</v>
          </cell>
        </row>
        <row r="3243">
          <cell r="B3243">
            <v>5364935</v>
          </cell>
          <cell r="C3243" t="str">
            <v>SANTA BENEDICTA CAFE E REST LTD</v>
          </cell>
          <cell r="D3243" t="str">
            <v>7001</v>
          </cell>
          <cell r="E3243" t="str">
            <v>0749</v>
          </cell>
          <cell r="F3243" t="str">
            <v>C5</v>
          </cell>
          <cell r="G3243" t="str">
            <v>SP</v>
          </cell>
        </row>
        <row r="3244">
          <cell r="B3244">
            <v>5012007</v>
          </cell>
          <cell r="C3244" t="str">
            <v>VIENA COMERCIO DE ALIMENTOS LTD</v>
          </cell>
          <cell r="D3244" t="str">
            <v>6001</v>
          </cell>
          <cell r="E3244" t="str">
            <v>6127</v>
          </cell>
          <cell r="F3244" t="str">
            <v>C1</v>
          </cell>
          <cell r="G3244" t="str">
            <v>BA</v>
          </cell>
        </row>
        <row r="3245">
          <cell r="B3245">
            <v>5329106</v>
          </cell>
          <cell r="C3245" t="str">
            <v>MAGADU CAFE LTDA</v>
          </cell>
          <cell r="D3245" t="str">
            <v>7001</v>
          </cell>
          <cell r="E3245" t="str">
            <v>0749</v>
          </cell>
          <cell r="F3245" t="str">
            <v>C5</v>
          </cell>
          <cell r="G3245" t="str">
            <v>SP</v>
          </cell>
        </row>
        <row r="3246">
          <cell r="B3246">
            <v>5355972</v>
          </cell>
          <cell r="C3246" t="str">
            <v>BROWNIE DA MINHA MAE DOCERIA LT</v>
          </cell>
          <cell r="D3246" t="str">
            <v>6001</v>
          </cell>
          <cell r="E3246" t="str">
            <v>6125</v>
          </cell>
          <cell r="F3246" t="str">
            <v>C1</v>
          </cell>
          <cell r="G3246" t="str">
            <v>SP</v>
          </cell>
        </row>
        <row r="3247">
          <cell r="B3247">
            <v>5366272</v>
          </cell>
          <cell r="C3247" t="str">
            <v>CAFE MOEMA TIMES SQUARE LTDA</v>
          </cell>
          <cell r="D3247" t="str">
            <v>7001</v>
          </cell>
          <cell r="E3247" t="str">
            <v>0749</v>
          </cell>
          <cell r="F3247" t="str">
            <v>C5</v>
          </cell>
          <cell r="G3247" t="str">
            <v>SP</v>
          </cell>
        </row>
        <row r="3248">
          <cell r="B3248">
            <v>5302488</v>
          </cell>
          <cell r="C3248" t="str">
            <v>TSF REPRESENTACAO E COMERCIO LTDA</v>
          </cell>
          <cell r="D3248" t="str">
            <v>4001</v>
          </cell>
          <cell r="E3248" t="str">
            <v>0437</v>
          </cell>
          <cell r="F3248" t="str">
            <v>C1</v>
          </cell>
          <cell r="G3248" t="str">
            <v>SP</v>
          </cell>
        </row>
        <row r="3249">
          <cell r="B3249">
            <v>5366134</v>
          </cell>
          <cell r="C3249" t="str">
            <v>LARGO DO CAFE LANCHONETE LTDA</v>
          </cell>
          <cell r="D3249" t="str">
            <v>7001</v>
          </cell>
          <cell r="E3249" t="str">
            <v>0749</v>
          </cell>
          <cell r="F3249" t="str">
            <v>C5</v>
          </cell>
          <cell r="G3249" t="str">
            <v>SP</v>
          </cell>
        </row>
        <row r="3250">
          <cell r="B3250">
            <v>5366269</v>
          </cell>
          <cell r="C3250" t="str">
            <v>COFFEE BREAK MANDU LTDA</v>
          </cell>
          <cell r="D3250" t="str">
            <v>7001</v>
          </cell>
          <cell r="E3250" t="str">
            <v>0749</v>
          </cell>
          <cell r="F3250" t="str">
            <v>C5</v>
          </cell>
          <cell r="G3250" t="str">
            <v>SP</v>
          </cell>
        </row>
        <row r="3251">
          <cell r="B3251">
            <v>5026855</v>
          </cell>
          <cell r="C3251" t="str">
            <v>SIBELE ALIMENTOS LTDA</v>
          </cell>
          <cell r="D3251" t="str">
            <v>7001</v>
          </cell>
          <cell r="E3251" t="str">
            <v>0739</v>
          </cell>
          <cell r="F3251" t="str">
            <v>C1</v>
          </cell>
          <cell r="G3251" t="str">
            <v>MG</v>
          </cell>
        </row>
        <row r="3252">
          <cell r="B3252">
            <v>5224995</v>
          </cell>
          <cell r="C3252" t="str">
            <v>DISALLCON DIST DE DOCES LTDA</v>
          </cell>
          <cell r="D3252" t="str">
            <v>3001</v>
          </cell>
          <cell r="E3252" t="str">
            <v>0028</v>
          </cell>
          <cell r="F3252" t="str">
            <v>C1</v>
          </cell>
          <cell r="G3252" t="str">
            <v>PR</v>
          </cell>
        </row>
        <row r="3253">
          <cell r="B3253">
            <v>5295540</v>
          </cell>
          <cell r="C3253" t="str">
            <v>MARQUES E MIRANDA COMERCIAL E D</v>
          </cell>
          <cell r="D3253" t="str">
            <v>7001</v>
          </cell>
          <cell r="E3253" t="str">
            <v>0739</v>
          </cell>
          <cell r="F3253" t="str">
            <v>C1</v>
          </cell>
          <cell r="G3253" t="str">
            <v>SP</v>
          </cell>
        </row>
        <row r="3254">
          <cell r="B3254">
            <v>5319280</v>
          </cell>
          <cell r="C3254" t="str">
            <v>LATICINIO STEFANELLO LTDA</v>
          </cell>
          <cell r="D3254" t="str">
            <v>4001</v>
          </cell>
          <cell r="E3254" t="str">
            <v>0437</v>
          </cell>
          <cell r="F3254" t="str">
            <v>C1</v>
          </cell>
          <cell r="G3254" t="str">
            <v>RS</v>
          </cell>
        </row>
        <row r="3255">
          <cell r="B3255">
            <v>5334647</v>
          </cell>
          <cell r="C3255" t="str">
            <v>OGGI SORVETES  LTDA</v>
          </cell>
          <cell r="D3255" t="str">
            <v>3001</v>
          </cell>
          <cell r="E3255" t="str">
            <v>0028</v>
          </cell>
          <cell r="F3255" t="str">
            <v>C1</v>
          </cell>
          <cell r="G3255" t="str">
            <v>PE</v>
          </cell>
        </row>
        <row r="3256">
          <cell r="B3256">
            <v>5363127</v>
          </cell>
          <cell r="C3256" t="str">
            <v>FORTE COMERCIO E DISTRIBUIÇÃO</v>
          </cell>
          <cell r="D3256" t="str">
            <v>6001</v>
          </cell>
          <cell r="E3256" t="str">
            <v>6127</v>
          </cell>
          <cell r="F3256" t="str">
            <v>C1</v>
          </cell>
          <cell r="G3256" t="str">
            <v>BA</v>
          </cell>
        </row>
        <row r="3257">
          <cell r="B3257">
            <v>5366502</v>
          </cell>
          <cell r="C3257" t="str">
            <v>49396817 TELMA MARIA DE SOUZA</v>
          </cell>
          <cell r="D3257" t="str">
            <v>7001</v>
          </cell>
          <cell r="E3257" t="str">
            <v>0749</v>
          </cell>
          <cell r="F3257" t="str">
            <v>C5</v>
          </cell>
          <cell r="G3257" t="str">
            <v>SP</v>
          </cell>
        </row>
        <row r="3258">
          <cell r="B3258">
            <v>5366568</v>
          </cell>
          <cell r="C3258" t="str">
            <v>ASSOCIACAO CULT N SEN DE FATIMA</v>
          </cell>
          <cell r="D3258" t="str">
            <v>7001</v>
          </cell>
          <cell r="E3258" t="str">
            <v>0749</v>
          </cell>
          <cell r="F3258" t="str">
            <v>C5</v>
          </cell>
          <cell r="G3258" t="str">
            <v>SP</v>
          </cell>
        </row>
        <row r="3259">
          <cell r="B3259">
            <v>5083201</v>
          </cell>
          <cell r="C3259" t="str">
            <v>SILVA BRAGA COML DE ALIMENTOS LTDA</v>
          </cell>
          <cell r="D3259" t="str">
            <v>6001</v>
          </cell>
          <cell r="E3259" t="str">
            <v>6127</v>
          </cell>
          <cell r="F3259" t="str">
            <v>C1</v>
          </cell>
          <cell r="G3259" t="str">
            <v>CE</v>
          </cell>
        </row>
        <row r="3260">
          <cell r="B3260">
            <v>5110498</v>
          </cell>
          <cell r="C3260" t="str">
            <v>ZANEPAN COM ATAC DE GENEROS ALI</v>
          </cell>
          <cell r="D3260" t="str">
            <v>7001</v>
          </cell>
          <cell r="E3260" t="str">
            <v>0739</v>
          </cell>
          <cell r="F3260" t="str">
            <v>C1</v>
          </cell>
          <cell r="G3260" t="str">
            <v>ES</v>
          </cell>
        </row>
        <row r="3261">
          <cell r="B3261">
            <v>5182903</v>
          </cell>
          <cell r="C3261" t="str">
            <v>CERVINO E MARTINEZ LTDA</v>
          </cell>
          <cell r="D3261" t="str">
            <v>6001</v>
          </cell>
          <cell r="E3261" t="str">
            <v>6009</v>
          </cell>
          <cell r="F3261" t="str">
            <v>C1</v>
          </cell>
          <cell r="G3261" t="str">
            <v>BA</v>
          </cell>
        </row>
        <row r="3262">
          <cell r="B3262">
            <v>5366715</v>
          </cell>
          <cell r="C3262" t="str">
            <v>TRADICOES E INOV PAD ARTES LTDA</v>
          </cell>
          <cell r="D3262" t="str">
            <v>7001</v>
          </cell>
          <cell r="E3262" t="str">
            <v>0749</v>
          </cell>
          <cell r="F3262" t="str">
            <v>C5</v>
          </cell>
          <cell r="G3262" t="str">
            <v>SP</v>
          </cell>
        </row>
        <row r="3263">
          <cell r="B3263">
            <v>5017476</v>
          </cell>
          <cell r="C3263" t="str">
            <v>SANTA EDWIGES SUPERMERCADO LTDA</v>
          </cell>
          <cell r="D3263" t="str">
            <v>6001</v>
          </cell>
          <cell r="E3263" t="str">
            <v>6127</v>
          </cell>
          <cell r="F3263" t="str">
            <v>C1</v>
          </cell>
          <cell r="G3263" t="str">
            <v>CE</v>
          </cell>
        </row>
        <row r="3264">
          <cell r="B3264">
            <v>5192211</v>
          </cell>
          <cell r="C3264" t="str">
            <v>A I ALMEIDA DE MELO ME</v>
          </cell>
          <cell r="D3264" t="str">
            <v>6001</v>
          </cell>
          <cell r="E3264" t="str">
            <v>6127</v>
          </cell>
          <cell r="F3264" t="str">
            <v>C1</v>
          </cell>
          <cell r="G3264" t="str">
            <v>CE</v>
          </cell>
        </row>
        <row r="3265">
          <cell r="B3265">
            <v>5207977</v>
          </cell>
          <cell r="C3265" t="str">
            <v>JESSICA F S AGUIAR ME</v>
          </cell>
          <cell r="D3265" t="str">
            <v>6001</v>
          </cell>
          <cell r="E3265" t="str">
            <v>6127</v>
          </cell>
          <cell r="F3265" t="str">
            <v>C1</v>
          </cell>
          <cell r="G3265" t="str">
            <v>CE</v>
          </cell>
        </row>
        <row r="3266">
          <cell r="B3266">
            <v>5208889</v>
          </cell>
          <cell r="C3266" t="str">
            <v>ROYAL CESTA BASICA LTDA</v>
          </cell>
          <cell r="D3266" t="str">
            <v>7001</v>
          </cell>
          <cell r="E3266" t="str">
            <v>0749</v>
          </cell>
          <cell r="F3266" t="str">
            <v>C5</v>
          </cell>
          <cell r="G3266" t="str">
            <v>SP</v>
          </cell>
        </row>
        <row r="3267">
          <cell r="B3267">
            <v>5214902</v>
          </cell>
          <cell r="C3267" t="str">
            <v>ANDRESSA LIVIA SOUSA ME</v>
          </cell>
          <cell r="D3267" t="str">
            <v>6001</v>
          </cell>
          <cell r="E3267" t="str">
            <v>6127</v>
          </cell>
          <cell r="F3267" t="str">
            <v>C1</v>
          </cell>
          <cell r="G3267" t="str">
            <v>CE</v>
          </cell>
        </row>
        <row r="3268">
          <cell r="B3268">
            <v>5260901</v>
          </cell>
          <cell r="C3268" t="str">
            <v>NUTRI ALIMENTOS COMERCIO LTDA</v>
          </cell>
          <cell r="D3268" t="str">
            <v>7001</v>
          </cell>
          <cell r="E3268" t="str">
            <v>0722</v>
          </cell>
          <cell r="F3268" t="str">
            <v>C1</v>
          </cell>
          <cell r="G3268" t="str">
            <v>SP</v>
          </cell>
        </row>
        <row r="3269">
          <cell r="B3269">
            <v>5310515</v>
          </cell>
          <cell r="C3269" t="str">
            <v>P R M SERVICOS E MAO DE OBRA ES</v>
          </cell>
          <cell r="D3269" t="str">
            <v>6001</v>
          </cell>
          <cell r="E3269" t="str">
            <v>6125</v>
          </cell>
          <cell r="F3269" t="str">
            <v>C1</v>
          </cell>
          <cell r="G3269" t="str">
            <v>SP</v>
          </cell>
        </row>
        <row r="3270">
          <cell r="B3270">
            <v>5366894</v>
          </cell>
          <cell r="C3270" t="str">
            <v>SORVETES BAMBINO S IND E C DE G</v>
          </cell>
          <cell r="D3270" t="str">
            <v>6001</v>
          </cell>
          <cell r="E3270" t="str">
            <v>6028</v>
          </cell>
          <cell r="F3270" t="str">
            <v>C1</v>
          </cell>
          <cell r="G3270" t="str">
            <v>SP</v>
          </cell>
        </row>
        <row r="3271">
          <cell r="B3271">
            <v>5204235</v>
          </cell>
          <cell r="C3271" t="str">
            <v>NUTRIALIMENTAR INDUSTRIA LTDA</v>
          </cell>
          <cell r="D3271" t="str">
            <v>4001</v>
          </cell>
          <cell r="E3271" t="str">
            <v>0437</v>
          </cell>
          <cell r="F3271" t="str">
            <v>C1</v>
          </cell>
          <cell r="G3271" t="str">
            <v>SP</v>
          </cell>
        </row>
        <row r="3272">
          <cell r="B3272">
            <v>5319280</v>
          </cell>
          <cell r="C3272" t="str">
            <v>LATICINIO STEFANELLO LTDA</v>
          </cell>
          <cell r="D3272" t="str">
            <v>4001</v>
          </cell>
          <cell r="E3272" t="str">
            <v>0546</v>
          </cell>
          <cell r="F3272" t="str">
            <v>C1</v>
          </cell>
          <cell r="G3272" t="str">
            <v>RS</v>
          </cell>
        </row>
        <row r="3273">
          <cell r="B3273">
            <v>5366274</v>
          </cell>
          <cell r="C3273" t="str">
            <v>ORGANIZAC BRAZAL C DE PROD AL LTDA</v>
          </cell>
          <cell r="D3273" t="str">
            <v>3001</v>
          </cell>
          <cell r="E3273" t="str">
            <v>0122</v>
          </cell>
          <cell r="F3273" t="str">
            <v>C1</v>
          </cell>
          <cell r="G3273" t="str">
            <v>MG</v>
          </cell>
        </row>
        <row r="3274">
          <cell r="B3274">
            <v>5366611</v>
          </cell>
          <cell r="C3274" t="str">
            <v>FAS PAO PADARIA ARTESANAL LTDA</v>
          </cell>
          <cell r="D3274" t="str">
            <v>7001</v>
          </cell>
          <cell r="E3274" t="str">
            <v>0749</v>
          </cell>
          <cell r="F3274" t="str">
            <v>C5</v>
          </cell>
          <cell r="G3274" t="str">
            <v>SP</v>
          </cell>
        </row>
        <row r="3275">
          <cell r="B3275">
            <v>5045012</v>
          </cell>
          <cell r="C3275" t="str">
            <v>BEBIDAS NOVA ENGENHOCA EILERI</v>
          </cell>
          <cell r="D3275" t="str">
            <v>4001</v>
          </cell>
          <cell r="E3275" t="str">
            <v>0437</v>
          </cell>
          <cell r="F3275" t="str">
            <v>C1</v>
          </cell>
          <cell r="G3275" t="str">
            <v>SP</v>
          </cell>
        </row>
        <row r="3276">
          <cell r="B3276">
            <v>5188591</v>
          </cell>
          <cell r="C3276" t="str">
            <v>EMBALAGENS ITABIRA LTDA</v>
          </cell>
          <cell r="D3276" t="str">
            <v>3001</v>
          </cell>
          <cell r="E3276" t="str">
            <v>0028</v>
          </cell>
          <cell r="F3276" t="str">
            <v>C1</v>
          </cell>
          <cell r="G3276" t="str">
            <v>MG</v>
          </cell>
        </row>
        <row r="3277">
          <cell r="B3277">
            <v>5312393</v>
          </cell>
          <cell r="C3277" t="str">
            <v>DESCAMPADO COMERCIO DE ALIM LTD</v>
          </cell>
          <cell r="D3277" t="str">
            <v>7001</v>
          </cell>
          <cell r="E3277" t="str">
            <v>0749</v>
          </cell>
          <cell r="F3277" t="str">
            <v>C5</v>
          </cell>
          <cell r="G3277" t="str">
            <v>SP</v>
          </cell>
        </row>
        <row r="3278">
          <cell r="B3278">
            <v>5366017</v>
          </cell>
          <cell r="C3278" t="str">
            <v>O MARAVILHA CAFE E CONFEITARIA</v>
          </cell>
          <cell r="D3278" t="str">
            <v>7001</v>
          </cell>
          <cell r="E3278" t="str">
            <v>0749</v>
          </cell>
          <cell r="F3278" t="str">
            <v>C5</v>
          </cell>
          <cell r="G3278" t="str">
            <v>SP</v>
          </cell>
        </row>
        <row r="3279">
          <cell r="B3279">
            <v>5366348</v>
          </cell>
          <cell r="C3279" t="str">
            <v>LCG LANCHES LTDA</v>
          </cell>
          <cell r="D3279" t="str">
            <v>7001</v>
          </cell>
          <cell r="E3279" t="str">
            <v>0749</v>
          </cell>
          <cell r="F3279" t="str">
            <v>C5</v>
          </cell>
          <cell r="G3279" t="str">
            <v>SP</v>
          </cell>
        </row>
        <row r="3280">
          <cell r="B3280">
            <v>5280969</v>
          </cell>
          <cell r="C3280" t="str">
            <v>PAULISTANA CAFE PIZZARIA LTDA</v>
          </cell>
          <cell r="D3280" t="str">
            <v>7001</v>
          </cell>
          <cell r="E3280" t="str">
            <v>0749</v>
          </cell>
          <cell r="F3280" t="str">
            <v>C5</v>
          </cell>
          <cell r="G3280" t="str">
            <v>SP</v>
          </cell>
        </row>
        <row r="3281">
          <cell r="B3281">
            <v>5340398</v>
          </cell>
          <cell r="C3281" t="str">
            <v>TRATTORIA LELLIS LTDA</v>
          </cell>
          <cell r="D3281" t="str">
            <v>7001</v>
          </cell>
          <cell r="E3281" t="str">
            <v>0749</v>
          </cell>
          <cell r="F3281" t="str">
            <v>C5</v>
          </cell>
          <cell r="G3281" t="str">
            <v>SP</v>
          </cell>
        </row>
        <row r="3282">
          <cell r="B3282">
            <v>5367020</v>
          </cell>
          <cell r="C3282" t="str">
            <v>FRUTARIA GYM LTDA</v>
          </cell>
          <cell r="D3282" t="str">
            <v>7001</v>
          </cell>
          <cell r="E3282" t="str">
            <v>0749</v>
          </cell>
          <cell r="F3282" t="str">
            <v>C5</v>
          </cell>
          <cell r="G3282" t="str">
            <v>SP</v>
          </cell>
        </row>
        <row r="3283">
          <cell r="B3283">
            <v>5367033</v>
          </cell>
          <cell r="C3283" t="str">
            <v>IRIA MARIA RODRIGUES VELOSO</v>
          </cell>
          <cell r="D3283" t="str">
            <v>3001</v>
          </cell>
          <cell r="E3283" t="str">
            <v>0028</v>
          </cell>
          <cell r="F3283" t="str">
            <v>C1</v>
          </cell>
          <cell r="G3283" t="str">
            <v>PI</v>
          </cell>
        </row>
        <row r="3284">
          <cell r="B3284">
            <v>5088696</v>
          </cell>
          <cell r="C3284" t="str">
            <v>NUTRIMENTAL SA IND COM ALIMENTOS</v>
          </cell>
          <cell r="D3284" t="str">
            <v>4001</v>
          </cell>
          <cell r="E3284" t="str">
            <v>0455</v>
          </cell>
          <cell r="F3284" t="str">
            <v>C1</v>
          </cell>
          <cell r="G3284" t="str">
            <v>PR</v>
          </cell>
        </row>
        <row r="3285">
          <cell r="B3285">
            <v>5362524</v>
          </cell>
          <cell r="C3285" t="str">
            <v>VIVI BARROS BUFFET LTDA</v>
          </cell>
          <cell r="D3285" t="str">
            <v>7001</v>
          </cell>
          <cell r="E3285" t="str">
            <v>0749</v>
          </cell>
          <cell r="F3285" t="str">
            <v>C5</v>
          </cell>
          <cell r="G3285" t="str">
            <v>SP</v>
          </cell>
        </row>
        <row r="3286">
          <cell r="B3286">
            <v>5364392</v>
          </cell>
          <cell r="C3286" t="str">
            <v>EDUARDO DE SOUZA ABRANTES</v>
          </cell>
          <cell r="D3286" t="str">
            <v>3001</v>
          </cell>
          <cell r="E3286" t="str">
            <v>0028</v>
          </cell>
          <cell r="F3286" t="str">
            <v>C1</v>
          </cell>
          <cell r="G3286" t="str">
            <v>MG</v>
          </cell>
        </row>
        <row r="3287">
          <cell r="B3287">
            <v>5365444</v>
          </cell>
          <cell r="C3287" t="str">
            <v>MARESIA IND E COMERCIO DE ALIME</v>
          </cell>
          <cell r="D3287" t="str">
            <v>3001</v>
          </cell>
          <cell r="E3287" t="str">
            <v>0028</v>
          </cell>
          <cell r="F3287" t="str">
            <v>C1</v>
          </cell>
          <cell r="G3287" t="str">
            <v>SE</v>
          </cell>
        </row>
        <row r="3288">
          <cell r="B3288">
            <v>5358639</v>
          </cell>
          <cell r="C3288" t="str">
            <v>BERLIN FRANCHISING LTDA</v>
          </cell>
          <cell r="D3288" t="str">
            <v>7001</v>
          </cell>
          <cell r="E3288" t="str">
            <v>0749</v>
          </cell>
          <cell r="F3288" t="str">
            <v>C5</v>
          </cell>
          <cell r="G3288" t="str">
            <v>SP</v>
          </cell>
        </row>
        <row r="3289">
          <cell r="B3289">
            <v>5219000</v>
          </cell>
          <cell r="C3289" t="str">
            <v>FONTENELLE IND E COM DE ALIM LTDA</v>
          </cell>
          <cell r="D3289" t="str">
            <v>6001</v>
          </cell>
          <cell r="E3289" t="str">
            <v>6127</v>
          </cell>
          <cell r="F3289" t="str">
            <v>C1</v>
          </cell>
          <cell r="G3289" t="str">
            <v>CE</v>
          </cell>
        </row>
        <row r="3290">
          <cell r="B3290">
            <v>5367229</v>
          </cell>
          <cell r="C3290" t="str">
            <v>CB RIO BOTAFOGO COM DE ALIM LTD</v>
          </cell>
          <cell r="D3290" t="str">
            <v>6001</v>
          </cell>
          <cell r="E3290" t="str">
            <v>6169</v>
          </cell>
          <cell r="F3290" t="str">
            <v>C1</v>
          </cell>
          <cell r="G3290" t="str">
            <v>RJ</v>
          </cell>
        </row>
        <row r="3291">
          <cell r="B3291">
            <v>5172638</v>
          </cell>
          <cell r="C3291" t="str">
            <v>ESTANCORPORATE ADM DE REST LTDA ME</v>
          </cell>
          <cell r="D3291" t="str">
            <v>7001</v>
          </cell>
          <cell r="E3291" t="str">
            <v>0749</v>
          </cell>
          <cell r="F3291" t="str">
            <v>C5</v>
          </cell>
          <cell r="G3291" t="str">
            <v>SP</v>
          </cell>
        </row>
        <row r="3292">
          <cell r="B3292">
            <v>5205457</v>
          </cell>
          <cell r="C3292" t="str">
            <v>ACAI COM CHANTILLY E SORVETERIA</v>
          </cell>
          <cell r="D3292" t="str">
            <v>6001</v>
          </cell>
          <cell r="E3292" t="str">
            <v>6169</v>
          </cell>
          <cell r="F3292" t="str">
            <v>C1</v>
          </cell>
          <cell r="G3292" t="str">
            <v>RJ</v>
          </cell>
        </row>
        <row r="3293">
          <cell r="B3293">
            <v>5250417</v>
          </cell>
          <cell r="C3293" t="str">
            <v>DSG DISTRIBUIDORA DE ALIM LTDA</v>
          </cell>
          <cell r="D3293" t="str">
            <v>3001</v>
          </cell>
          <cell r="E3293" t="str">
            <v>0028</v>
          </cell>
          <cell r="F3293" t="str">
            <v>C1</v>
          </cell>
          <cell r="G3293" t="str">
            <v>PB</v>
          </cell>
        </row>
        <row r="3294">
          <cell r="B3294">
            <v>5367126</v>
          </cell>
          <cell r="C3294" t="str">
            <v>PRODUTOS ALIMENT KANASHIRO LTDA</v>
          </cell>
          <cell r="D3294" t="str">
            <v>7001</v>
          </cell>
          <cell r="E3294" t="str">
            <v>0749</v>
          </cell>
          <cell r="F3294" t="str">
            <v>C5</v>
          </cell>
          <cell r="G3294" t="str">
            <v>SP</v>
          </cell>
        </row>
        <row r="3295">
          <cell r="B3295">
            <v>5268680</v>
          </cell>
          <cell r="C3295" t="str">
            <v>RENATO CHABOLI LTDA</v>
          </cell>
          <cell r="D3295" t="str">
            <v>4001</v>
          </cell>
          <cell r="E3295" t="str">
            <v>0437</v>
          </cell>
          <cell r="F3295" t="str">
            <v>C1</v>
          </cell>
          <cell r="G3295" t="str">
            <v>SP</v>
          </cell>
        </row>
        <row r="3296">
          <cell r="B3296">
            <v>5366895</v>
          </cell>
          <cell r="C3296" t="str">
            <v>COMARY INDUSTRIA DE BEBIDAS LTDA</v>
          </cell>
          <cell r="D3296" t="str">
            <v>4001</v>
          </cell>
          <cell r="E3296" t="str">
            <v>0437</v>
          </cell>
          <cell r="F3296" t="str">
            <v>C1</v>
          </cell>
          <cell r="G3296" t="str">
            <v>RJ</v>
          </cell>
        </row>
        <row r="3297">
          <cell r="B3297">
            <v>5367272</v>
          </cell>
          <cell r="C3297" t="str">
            <v>ESPECIALI IND DE ALIMENTOS S A</v>
          </cell>
          <cell r="D3297" t="str">
            <v>4001</v>
          </cell>
          <cell r="E3297" t="str">
            <v>0458</v>
          </cell>
          <cell r="F3297" t="str">
            <v>C1</v>
          </cell>
          <cell r="G3297" t="str">
            <v>MG</v>
          </cell>
        </row>
        <row r="3298">
          <cell r="B3298">
            <v>5366306</v>
          </cell>
          <cell r="C3298" t="str">
            <v>ASSADOR RESTAURANTE SP LTDA</v>
          </cell>
          <cell r="D3298" t="str">
            <v>7001</v>
          </cell>
          <cell r="E3298" t="str">
            <v>0722</v>
          </cell>
          <cell r="F3298" t="str">
            <v>C1</v>
          </cell>
          <cell r="G3298" t="str">
            <v>SP</v>
          </cell>
        </row>
        <row r="3299">
          <cell r="B3299">
            <v>5367551</v>
          </cell>
          <cell r="C3299" t="str">
            <v>M FOODS LTDA</v>
          </cell>
          <cell r="D3299" t="str">
            <v>7001</v>
          </cell>
          <cell r="E3299" t="str">
            <v>0749</v>
          </cell>
          <cell r="F3299" t="str">
            <v>C5</v>
          </cell>
          <cell r="G3299" t="str">
            <v>SP</v>
          </cell>
        </row>
        <row r="3300">
          <cell r="B3300">
            <v>5220189</v>
          </cell>
          <cell r="C3300" t="str">
            <v>SORVETES CORONADO LTDA</v>
          </cell>
          <cell r="D3300" t="str">
            <v>6001</v>
          </cell>
          <cell r="E3300" t="str">
            <v>6009</v>
          </cell>
          <cell r="F3300" t="str">
            <v>C1</v>
          </cell>
          <cell r="G3300" t="str">
            <v>BA</v>
          </cell>
        </row>
        <row r="3301">
          <cell r="B3301">
            <v>5024620</v>
          </cell>
          <cell r="C3301" t="str">
            <v>CASA DI CONTI LTDA</v>
          </cell>
          <cell r="D3301" t="str">
            <v>4001</v>
          </cell>
          <cell r="E3301" t="str">
            <v>0437</v>
          </cell>
          <cell r="F3301" t="str">
            <v>C1</v>
          </cell>
          <cell r="G3301" t="str">
            <v>SP</v>
          </cell>
        </row>
        <row r="3302">
          <cell r="B3302">
            <v>5362875</v>
          </cell>
          <cell r="C3302" t="str">
            <v>GLACAI INDUSTRIA DE SORVETES LTDA</v>
          </cell>
          <cell r="D3302" t="str">
            <v>3001</v>
          </cell>
          <cell r="E3302" t="str">
            <v>0028</v>
          </cell>
          <cell r="F3302" t="str">
            <v>C1</v>
          </cell>
          <cell r="G3302" t="str">
            <v>PB</v>
          </cell>
        </row>
        <row r="3303">
          <cell r="B3303">
            <v>5367184</v>
          </cell>
          <cell r="C3303" t="str">
            <v>CLINICA INFANTIL DE ITAQUERA LTDA</v>
          </cell>
          <cell r="D3303" t="str">
            <v>7001</v>
          </cell>
          <cell r="E3303" t="str">
            <v>0749</v>
          </cell>
          <cell r="F3303" t="str">
            <v>C5</v>
          </cell>
          <cell r="G3303" t="str">
            <v>SP</v>
          </cell>
        </row>
        <row r="3304">
          <cell r="B3304">
            <v>5367650</v>
          </cell>
          <cell r="C3304" t="str">
            <v>GRAND SOROCABA HOSP E GASTR LTDA</v>
          </cell>
          <cell r="D3304" t="str">
            <v>7001</v>
          </cell>
          <cell r="E3304" t="str">
            <v>0749</v>
          </cell>
          <cell r="F3304" t="str">
            <v>C5</v>
          </cell>
          <cell r="G3304" t="str">
            <v>SP</v>
          </cell>
        </row>
        <row r="3305">
          <cell r="B3305">
            <v>5357293</v>
          </cell>
          <cell r="C3305" t="str">
            <v>BRAZIL BUSINESS MANAGEMENT LTDA</v>
          </cell>
          <cell r="D3305" t="str">
            <v>7001</v>
          </cell>
          <cell r="E3305" t="str">
            <v>0749</v>
          </cell>
          <cell r="F3305" t="str">
            <v>C5</v>
          </cell>
          <cell r="G3305" t="str">
            <v>SP</v>
          </cell>
        </row>
        <row r="3306">
          <cell r="B3306">
            <v>5086308</v>
          </cell>
          <cell r="C3306" t="str">
            <v>MELIA BRASIL ADM HOTELEIRA E COM LT</v>
          </cell>
          <cell r="D3306" t="str">
            <v>7001</v>
          </cell>
          <cell r="E3306" t="str">
            <v>0749</v>
          </cell>
          <cell r="F3306" t="str">
            <v>C5</v>
          </cell>
          <cell r="G3306" t="str">
            <v>SP</v>
          </cell>
        </row>
        <row r="3307">
          <cell r="B3307">
            <v>5367402</v>
          </cell>
          <cell r="C3307" t="str">
            <v>FAQUIR BROTHERS JIU JITSU LTDA</v>
          </cell>
          <cell r="D3307" t="str">
            <v>6001</v>
          </cell>
          <cell r="E3307" t="str">
            <v>6169</v>
          </cell>
          <cell r="F3307" t="str">
            <v>C1</v>
          </cell>
          <cell r="G3307" t="str">
            <v>RJ</v>
          </cell>
        </row>
        <row r="3308">
          <cell r="B3308">
            <v>5367756</v>
          </cell>
          <cell r="C3308" t="str">
            <v>ICEPAM COMERCIO E DISTRIB LTDA</v>
          </cell>
          <cell r="D3308" t="str">
            <v>6001</v>
          </cell>
          <cell r="E3308" t="str">
            <v>6028</v>
          </cell>
          <cell r="F3308" t="str">
            <v>C1</v>
          </cell>
          <cell r="G3308" t="str">
            <v>RJ</v>
          </cell>
        </row>
        <row r="3309">
          <cell r="B3309">
            <v>5107152</v>
          </cell>
          <cell r="C3309" t="str">
            <v>CALIFORNIA COM DE SORVETES LTDA ME</v>
          </cell>
          <cell r="D3309" t="str">
            <v>7001</v>
          </cell>
          <cell r="E3309" t="str">
            <v>0750</v>
          </cell>
          <cell r="F3309" t="str">
            <v>C5</v>
          </cell>
          <cell r="G3309" t="str">
            <v>RJ</v>
          </cell>
        </row>
        <row r="3310">
          <cell r="B3310">
            <v>5192482</v>
          </cell>
          <cell r="C3310" t="str">
            <v>CEPHEUS RESTAURANTES LTDA</v>
          </cell>
          <cell r="D3310" t="str">
            <v>7001</v>
          </cell>
          <cell r="E3310" t="str">
            <v>0722</v>
          </cell>
          <cell r="F3310" t="str">
            <v>C1</v>
          </cell>
          <cell r="G3310" t="str">
            <v>SP</v>
          </cell>
        </row>
        <row r="3311">
          <cell r="B3311">
            <v>5221699</v>
          </cell>
          <cell r="C3311" t="str">
            <v>TEXAS COMERCIO DE SORVETES LTDA</v>
          </cell>
          <cell r="D3311" t="str">
            <v>7001</v>
          </cell>
          <cell r="E3311" t="str">
            <v>0750</v>
          </cell>
          <cell r="F3311" t="str">
            <v>C5</v>
          </cell>
          <cell r="G3311" t="str">
            <v>RJ</v>
          </cell>
        </row>
        <row r="3312">
          <cell r="B3312">
            <v>5336848</v>
          </cell>
          <cell r="C3312" t="str">
            <v>MORUMBI COMERCIO DE SORVETES LTDA</v>
          </cell>
          <cell r="D3312" t="str">
            <v>7001</v>
          </cell>
          <cell r="E3312" t="str">
            <v>0749</v>
          </cell>
          <cell r="F3312" t="str">
            <v>C5</v>
          </cell>
          <cell r="G3312" t="str">
            <v>SP</v>
          </cell>
        </row>
        <row r="3313">
          <cell r="B3313">
            <v>5336849</v>
          </cell>
          <cell r="C3313" t="str">
            <v>ARIZONA COMERCIO DE SORVETES LTDA</v>
          </cell>
          <cell r="D3313" t="str">
            <v>6001</v>
          </cell>
          <cell r="E3313" t="str">
            <v>6125</v>
          </cell>
          <cell r="F3313" t="str">
            <v>C1</v>
          </cell>
          <cell r="G3313" t="str">
            <v>SP</v>
          </cell>
        </row>
        <row r="3314">
          <cell r="B3314">
            <v>5348824</v>
          </cell>
          <cell r="C3314" t="str">
            <v>MAJ COMERCIO DE ALIMENTOS E GELADOS LTDA</v>
          </cell>
          <cell r="D3314" t="str">
            <v>6001</v>
          </cell>
          <cell r="E3314" t="str">
            <v>6125</v>
          </cell>
          <cell r="F3314" t="str">
            <v>C1</v>
          </cell>
          <cell r="G3314" t="str">
            <v>SP</v>
          </cell>
        </row>
        <row r="3315">
          <cell r="B3315">
            <v>5367383</v>
          </cell>
          <cell r="C3315" t="str">
            <v>RCC SERVICOS DE ALIMENTACAO LTDA</v>
          </cell>
          <cell r="D3315" t="str">
            <v>7001</v>
          </cell>
          <cell r="E3315" t="str">
            <v>0749</v>
          </cell>
          <cell r="F3315" t="str">
            <v>C5</v>
          </cell>
          <cell r="G3315" t="str">
            <v>SP</v>
          </cell>
        </row>
        <row r="3316">
          <cell r="B3316">
            <v>5367626</v>
          </cell>
          <cell r="C3316" t="str">
            <v>J M SOUSA LTDA</v>
          </cell>
          <cell r="D3316" t="str">
            <v>6001</v>
          </cell>
          <cell r="E3316" t="str">
            <v>6127</v>
          </cell>
          <cell r="F3316" t="str">
            <v>C1</v>
          </cell>
          <cell r="G3316" t="str">
            <v>CE</v>
          </cell>
        </row>
        <row r="3317">
          <cell r="B3317">
            <v>5192474</v>
          </cell>
          <cell r="C3317" t="str">
            <v>RASCAL RESTAURANTES LTDA</v>
          </cell>
          <cell r="D3317" t="str">
            <v>7001</v>
          </cell>
          <cell r="E3317" t="str">
            <v>0722</v>
          </cell>
          <cell r="F3317" t="str">
            <v>C1</v>
          </cell>
          <cell r="G3317" t="str">
            <v>SP</v>
          </cell>
        </row>
        <row r="3318">
          <cell r="B3318">
            <v>5336848</v>
          </cell>
          <cell r="C3318" t="str">
            <v>MORUMBI COMERCIO DE SORVETES LTDA</v>
          </cell>
          <cell r="D3318" t="str">
            <v>6001</v>
          </cell>
          <cell r="E3318" t="str">
            <v>6125</v>
          </cell>
          <cell r="F3318" t="str">
            <v>C1</v>
          </cell>
          <cell r="G3318" t="str">
            <v>SP</v>
          </cell>
        </row>
        <row r="3319">
          <cell r="B3319">
            <v>5336849</v>
          </cell>
          <cell r="C3319" t="str">
            <v>ARIZONA COMERCIO DE SORVETES LTDA</v>
          </cell>
          <cell r="D3319" t="str">
            <v>7001</v>
          </cell>
          <cell r="E3319" t="str">
            <v>0749</v>
          </cell>
          <cell r="F3319" t="str">
            <v>C5</v>
          </cell>
          <cell r="G3319" t="str">
            <v>SP</v>
          </cell>
        </row>
        <row r="3320">
          <cell r="B3320">
            <v>5348824</v>
          </cell>
          <cell r="C3320" t="str">
            <v>MAJ COMERCIO DE ALIMENTOS E GELADOS LTDA</v>
          </cell>
          <cell r="D3320" t="str">
            <v>7001</v>
          </cell>
          <cell r="E3320" t="str">
            <v>0749</v>
          </cell>
          <cell r="F3320" t="str">
            <v>C5</v>
          </cell>
          <cell r="G3320" t="str">
            <v>SP</v>
          </cell>
        </row>
        <row r="3321">
          <cell r="B3321">
            <v>5024326</v>
          </cell>
          <cell r="C3321" t="str">
            <v>COMERCIAL PEREIRA NERES LTDA ME</v>
          </cell>
          <cell r="D3321" t="str">
            <v>6001</v>
          </cell>
          <cell r="E3321" t="str">
            <v>6169</v>
          </cell>
          <cell r="F3321" t="str">
            <v>C1</v>
          </cell>
          <cell r="G3321" t="str">
            <v>ES</v>
          </cell>
        </row>
        <row r="3322">
          <cell r="B3322">
            <v>5033007</v>
          </cell>
          <cell r="C3322" t="str">
            <v>COMERCIAL NERES E ARAUO LTDA</v>
          </cell>
          <cell r="D3322" t="str">
            <v>7001</v>
          </cell>
          <cell r="E3322" t="str">
            <v>0739</v>
          </cell>
          <cell r="F3322" t="str">
            <v>C1</v>
          </cell>
          <cell r="G3322" t="str">
            <v>ES</v>
          </cell>
        </row>
        <row r="3323">
          <cell r="B3323">
            <v>5040099</v>
          </cell>
          <cell r="C3323" t="str">
            <v>MA BARROSO LTDA</v>
          </cell>
          <cell r="D3323" t="str">
            <v>6001</v>
          </cell>
          <cell r="E3323" t="str">
            <v>6127</v>
          </cell>
          <cell r="F3323" t="str">
            <v>C1</v>
          </cell>
          <cell r="G3323" t="str">
            <v>CE</v>
          </cell>
        </row>
        <row r="3324">
          <cell r="B3324">
            <v>5192559</v>
          </cell>
          <cell r="C3324" t="str">
            <v>RILSTON RESTAURANTES LTDA</v>
          </cell>
          <cell r="D3324" t="str">
            <v>7001</v>
          </cell>
          <cell r="E3324" t="str">
            <v>0722</v>
          </cell>
          <cell r="F3324" t="str">
            <v>C1</v>
          </cell>
          <cell r="G3324" t="str">
            <v>SP</v>
          </cell>
        </row>
        <row r="3325">
          <cell r="B3325">
            <v>5221699</v>
          </cell>
          <cell r="C3325" t="str">
            <v>TEXAS COMERCIO DE SORVETES LTDA</v>
          </cell>
          <cell r="D3325" t="str">
            <v>6001</v>
          </cell>
          <cell r="E3325" t="str">
            <v>6169</v>
          </cell>
          <cell r="F3325" t="str">
            <v>C1</v>
          </cell>
          <cell r="G3325" t="str">
            <v>RJ</v>
          </cell>
        </row>
        <row r="3326">
          <cell r="B3326">
            <v>5366256</v>
          </cell>
          <cell r="C3326" t="str">
            <v>36658281 THATIANE HECHT ANDRADE</v>
          </cell>
          <cell r="D3326" t="str">
            <v>7001</v>
          </cell>
          <cell r="E3326" t="str">
            <v>0749</v>
          </cell>
          <cell r="F3326" t="str">
            <v>C5</v>
          </cell>
          <cell r="G3326" t="str">
            <v>SP</v>
          </cell>
        </row>
        <row r="3327">
          <cell r="B3327">
            <v>5247353</v>
          </cell>
          <cell r="C3327" t="str">
            <v>FINE LINEA PAES E DOCES LTDA</v>
          </cell>
          <cell r="D3327" t="str">
            <v>7001</v>
          </cell>
          <cell r="E3327" t="str">
            <v>0749</v>
          </cell>
          <cell r="F3327" t="str">
            <v>C5</v>
          </cell>
          <cell r="G3327" t="str">
            <v>SP</v>
          </cell>
        </row>
        <row r="3328">
          <cell r="B3328">
            <v>5311441</v>
          </cell>
          <cell r="C3328" t="str">
            <v>PIZ E CHUR TOMASELLI E MINICELLI LTDA</v>
          </cell>
          <cell r="D3328" t="str">
            <v>7001</v>
          </cell>
          <cell r="E3328" t="str">
            <v>0749</v>
          </cell>
          <cell r="F3328" t="str">
            <v>C5</v>
          </cell>
          <cell r="G3328" t="str">
            <v>SP</v>
          </cell>
        </row>
        <row r="3329">
          <cell r="B3329">
            <v>5367720</v>
          </cell>
          <cell r="C3329" t="str">
            <v>CENTRAL DO ACAI COM CHANTILLY LTDA</v>
          </cell>
          <cell r="D3329" t="str">
            <v>6001</v>
          </cell>
          <cell r="E3329" t="str">
            <v>6169</v>
          </cell>
          <cell r="F3329" t="str">
            <v>C1</v>
          </cell>
          <cell r="G3329" t="str">
            <v>RJ</v>
          </cell>
        </row>
        <row r="3330">
          <cell r="B3330">
            <v>5367828</v>
          </cell>
          <cell r="C3330" t="str">
            <v>SANTO GRAO LTDA</v>
          </cell>
          <cell r="D3330" t="str">
            <v>7001</v>
          </cell>
          <cell r="E3330" t="str">
            <v>0749</v>
          </cell>
          <cell r="F3330" t="str">
            <v>C5</v>
          </cell>
          <cell r="G3330" t="str">
            <v>SP</v>
          </cell>
        </row>
        <row r="3331">
          <cell r="B3331">
            <v>5166529</v>
          </cell>
          <cell r="C3331" t="str">
            <v>BONJARDIM PAULISTA COM DE ALIM LTDA</v>
          </cell>
          <cell r="D3331" t="str">
            <v>6001</v>
          </cell>
          <cell r="E3331" t="str">
            <v>6125</v>
          </cell>
          <cell r="F3331" t="str">
            <v>C1</v>
          </cell>
          <cell r="G3331" t="str">
            <v>SP</v>
          </cell>
        </row>
        <row r="3332">
          <cell r="B3332">
            <v>5203870</v>
          </cell>
          <cell r="C3332" t="str">
            <v>REDE DE DISTRIBUICAO ZEFERINO LTDA</v>
          </cell>
          <cell r="D3332" t="str">
            <v>3001</v>
          </cell>
          <cell r="E3332" t="str">
            <v>0125</v>
          </cell>
          <cell r="F3332" t="str">
            <v>C1</v>
          </cell>
          <cell r="G3332" t="str">
            <v>SP</v>
          </cell>
        </row>
        <row r="3333">
          <cell r="B3333">
            <v>5264357</v>
          </cell>
          <cell r="C3333" t="str">
            <v>CHILI PEPPERS IND DE ALIM LTDA</v>
          </cell>
          <cell r="D3333" t="str">
            <v>7001</v>
          </cell>
          <cell r="E3333" t="str">
            <v>0749</v>
          </cell>
          <cell r="F3333" t="str">
            <v>C5</v>
          </cell>
          <cell r="G3333" t="str">
            <v>SP</v>
          </cell>
        </row>
        <row r="3334">
          <cell r="B3334">
            <v>5336237</v>
          </cell>
          <cell r="C3334" t="str">
            <v>TRINITY SUPPLY LTDA</v>
          </cell>
          <cell r="D3334" t="str">
            <v>7001</v>
          </cell>
          <cell r="E3334" t="str">
            <v>0722</v>
          </cell>
          <cell r="F3334" t="str">
            <v>C1</v>
          </cell>
          <cell r="G3334" t="str">
            <v>SP</v>
          </cell>
        </row>
        <row r="3335">
          <cell r="B3335">
            <v>5357324</v>
          </cell>
          <cell r="C3335" t="str">
            <v>OESA COMERCIO E REPRESENTACOES S A</v>
          </cell>
          <cell r="D3335" t="str">
            <v>7001</v>
          </cell>
          <cell r="E3335" t="str">
            <v>0564</v>
          </cell>
          <cell r="F3335" t="str">
            <v>C5</v>
          </cell>
          <cell r="G3335" t="str">
            <v>MT</v>
          </cell>
        </row>
        <row r="3336">
          <cell r="B3336">
            <v>5192430</v>
          </cell>
          <cell r="C3336" t="str">
            <v>RAVLA RESTAURANTES LTDA</v>
          </cell>
          <cell r="D3336" t="str">
            <v>7001</v>
          </cell>
          <cell r="E3336" t="str">
            <v>0722</v>
          </cell>
          <cell r="F3336" t="str">
            <v>C1</v>
          </cell>
          <cell r="G3336" t="str">
            <v>SP</v>
          </cell>
        </row>
        <row r="3337">
          <cell r="B3337">
            <v>5367464</v>
          </cell>
          <cell r="C3337" t="str">
            <v>48510670 DANILO SILVA VIEIRA LIMA</v>
          </cell>
          <cell r="D3337" t="str">
            <v>7001</v>
          </cell>
          <cell r="E3337" t="str">
            <v>0749</v>
          </cell>
          <cell r="F3337" t="str">
            <v>C5</v>
          </cell>
          <cell r="G3337" t="str">
            <v>SP</v>
          </cell>
        </row>
        <row r="3338">
          <cell r="B3338">
            <v>5279462</v>
          </cell>
          <cell r="C3338" t="str">
            <v>RFG COMERCIO TRANSPORTES E SERVICOS</v>
          </cell>
          <cell r="D3338" t="str">
            <v>4001</v>
          </cell>
          <cell r="E3338" t="str">
            <v>0437</v>
          </cell>
          <cell r="F3338" t="str">
            <v>C1</v>
          </cell>
          <cell r="G3338" t="str">
            <v>SP</v>
          </cell>
        </row>
        <row r="3339">
          <cell r="B3339">
            <v>5263907</v>
          </cell>
          <cell r="C3339" t="str">
            <v>SPECIAL CATERING LTDA ME</v>
          </cell>
          <cell r="D3339" t="str">
            <v>7001</v>
          </cell>
          <cell r="E3339" t="str">
            <v>0749</v>
          </cell>
          <cell r="F3339" t="str">
            <v>C5</v>
          </cell>
          <cell r="G3339" t="str">
            <v>SP</v>
          </cell>
        </row>
        <row r="3340">
          <cell r="B3340">
            <v>5365090</v>
          </cell>
          <cell r="C3340" t="str">
            <v>NSA COMERCIO LTDA</v>
          </cell>
          <cell r="D3340" t="str">
            <v>7001</v>
          </cell>
          <cell r="E3340" t="str">
            <v>0749</v>
          </cell>
          <cell r="F3340" t="str">
            <v>C5</v>
          </cell>
          <cell r="G3340" t="str">
            <v>SP</v>
          </cell>
        </row>
        <row r="3341">
          <cell r="B3341">
            <v>5366370</v>
          </cell>
          <cell r="C3341" t="str">
            <v>COMERCIO AT E VAR DE AL NORMA LTDA</v>
          </cell>
          <cell r="D3341" t="str">
            <v>4001</v>
          </cell>
          <cell r="E3341" t="str">
            <v>0531</v>
          </cell>
          <cell r="F3341" t="str">
            <v>C5</v>
          </cell>
          <cell r="G3341" t="str">
            <v>AM</v>
          </cell>
        </row>
        <row r="3342">
          <cell r="B3342">
            <v>5366605</v>
          </cell>
          <cell r="C3342" t="str">
            <v>CURSINO COMERCIO DE ALIMENTOS LTDA</v>
          </cell>
          <cell r="D3342" t="str">
            <v>7001</v>
          </cell>
          <cell r="E3342" t="str">
            <v>0749</v>
          </cell>
          <cell r="F3342" t="str">
            <v>C5</v>
          </cell>
          <cell r="G3342" t="str">
            <v>SP</v>
          </cell>
        </row>
        <row r="3343">
          <cell r="B3343">
            <v>5036562</v>
          </cell>
          <cell r="C3343" t="str">
            <v>SUPER DOCES MARIGA LTDA</v>
          </cell>
          <cell r="D3343" t="str">
            <v>6001</v>
          </cell>
          <cell r="E3343" t="str">
            <v>6125</v>
          </cell>
          <cell r="F3343" t="str">
            <v>C1</v>
          </cell>
          <cell r="G3343" t="str">
            <v>SP</v>
          </cell>
        </row>
        <row r="3344">
          <cell r="B3344">
            <v>5343766</v>
          </cell>
          <cell r="C3344" t="str">
            <v>FONTENELLE INDUSTRIA E COM LTDA</v>
          </cell>
          <cell r="D3344" t="str">
            <v>6001</v>
          </cell>
          <cell r="E3344" t="str">
            <v>6127</v>
          </cell>
          <cell r="F3344" t="str">
            <v>C1</v>
          </cell>
          <cell r="G3344" t="str">
            <v>CE</v>
          </cell>
        </row>
        <row r="3345">
          <cell r="B3345">
            <v>5368028</v>
          </cell>
          <cell r="C3345" t="str">
            <v>CB JOINVILLE COMERCIO DE ALIMENTOS LTDA</v>
          </cell>
          <cell r="D3345" t="str">
            <v>3001</v>
          </cell>
          <cell r="E3345" t="str">
            <v>0126</v>
          </cell>
          <cell r="F3345" t="str">
            <v>C1</v>
          </cell>
          <cell r="G3345" t="str">
            <v>SC</v>
          </cell>
        </row>
        <row r="3346">
          <cell r="B3346">
            <v>5220345</v>
          </cell>
          <cell r="C3346" t="str">
            <v>MOREAL IND E COM LATICINIOS LTDA</v>
          </cell>
          <cell r="D3346" t="str">
            <v>4001</v>
          </cell>
          <cell r="E3346" t="str">
            <v>0437</v>
          </cell>
          <cell r="F3346" t="str">
            <v>C1</v>
          </cell>
          <cell r="G3346" t="str">
            <v>MG</v>
          </cell>
        </row>
        <row r="3347">
          <cell r="B3347">
            <v>5077852</v>
          </cell>
          <cell r="C3347" t="str">
            <v>RODRIGO FITZGERALD LUPIANHES LTDA</v>
          </cell>
          <cell r="D3347" t="str">
            <v>7001</v>
          </cell>
          <cell r="E3347" t="str">
            <v>0749</v>
          </cell>
          <cell r="F3347" t="str">
            <v>C5</v>
          </cell>
          <cell r="G3347" t="str">
            <v>SP</v>
          </cell>
        </row>
        <row r="3348">
          <cell r="B3348">
            <v>5165710</v>
          </cell>
          <cell r="C3348" t="str">
            <v>EMBALACENTER COM REP DE EMB PAPEL</v>
          </cell>
          <cell r="D3348" t="str">
            <v>6001</v>
          </cell>
          <cell r="E3348" t="str">
            <v>6028</v>
          </cell>
          <cell r="F3348" t="str">
            <v>C1</v>
          </cell>
          <cell r="G3348" t="str">
            <v>SE</v>
          </cell>
        </row>
        <row r="3349">
          <cell r="B3349">
            <v>5175512</v>
          </cell>
          <cell r="C3349" t="str">
            <v>STA RESTAURANTE E COM DE ALIM LTDA</v>
          </cell>
          <cell r="D3349" t="str">
            <v>6001</v>
          </cell>
          <cell r="E3349" t="str">
            <v>6125</v>
          </cell>
          <cell r="F3349" t="str">
            <v>C1</v>
          </cell>
          <cell r="G3349" t="str">
            <v>SP</v>
          </cell>
        </row>
        <row r="3350">
          <cell r="B3350">
            <v>5348247</v>
          </cell>
          <cell r="C3350" t="str">
            <v>UTAH COMERCIO DE SORVETES LTDA</v>
          </cell>
          <cell r="D3350" t="str">
            <v>7001</v>
          </cell>
          <cell r="E3350" t="str">
            <v>0722</v>
          </cell>
          <cell r="F3350" t="str">
            <v>C1</v>
          </cell>
          <cell r="G3350" t="str">
            <v>SP</v>
          </cell>
        </row>
        <row r="3351">
          <cell r="B3351">
            <v>5363521</v>
          </cell>
          <cell r="C3351" t="str">
            <v>RP COMERCIO DE ALIMENTOS LTDA</v>
          </cell>
          <cell r="D3351" t="str">
            <v>7001</v>
          </cell>
          <cell r="E3351" t="str">
            <v>0749</v>
          </cell>
          <cell r="F3351" t="str">
            <v>C5</v>
          </cell>
          <cell r="G3351" t="str">
            <v>SP</v>
          </cell>
        </row>
        <row r="3352">
          <cell r="B3352">
            <v>5364497</v>
          </cell>
          <cell r="C3352" t="str">
            <v>45708399 LORRAINE OLIVEIRA DE ANDRADE</v>
          </cell>
          <cell r="D3352" t="str">
            <v>3001</v>
          </cell>
          <cell r="E3352" t="str">
            <v>0028</v>
          </cell>
          <cell r="F3352" t="str">
            <v>C1</v>
          </cell>
          <cell r="G3352" t="str">
            <v>MG</v>
          </cell>
        </row>
        <row r="3353">
          <cell r="B3353">
            <v>5366503</v>
          </cell>
          <cell r="C3353" t="str">
            <v>MEGA CAFFE LTDA</v>
          </cell>
          <cell r="D3353" t="str">
            <v>7001</v>
          </cell>
          <cell r="E3353" t="str">
            <v>0749</v>
          </cell>
          <cell r="F3353" t="str">
            <v>C5</v>
          </cell>
          <cell r="G3353" t="str">
            <v>SP</v>
          </cell>
        </row>
        <row r="3354">
          <cell r="B3354">
            <v>5368220</v>
          </cell>
          <cell r="C3354" t="str">
            <v>PADRISERV COMERCIO E SERVICOS LTDA</v>
          </cell>
          <cell r="D3354" t="str">
            <v>7001</v>
          </cell>
          <cell r="E3354" t="str">
            <v>0749</v>
          </cell>
          <cell r="F3354" t="str">
            <v>C5</v>
          </cell>
          <cell r="G3354" t="str">
            <v>SP</v>
          </cell>
        </row>
        <row r="3355">
          <cell r="B3355">
            <v>5307722</v>
          </cell>
          <cell r="C3355" t="str">
            <v>SELECTO CACAU IND E COM PR ALIM LTD</v>
          </cell>
          <cell r="D3355" t="str">
            <v>7001</v>
          </cell>
          <cell r="E3355" t="str">
            <v>0737</v>
          </cell>
          <cell r="F3355" t="str">
            <v>C1</v>
          </cell>
          <cell r="G3355" t="str">
            <v>SP</v>
          </cell>
        </row>
        <row r="3356">
          <cell r="B3356">
            <v>5149070</v>
          </cell>
          <cell r="C3356" t="str">
            <v>FILIPINA DELI COMERCIO DE ALIMENTOS</v>
          </cell>
          <cell r="D3356" t="str">
            <v>7001</v>
          </cell>
          <cell r="E3356" t="str">
            <v>0739</v>
          </cell>
          <cell r="F3356" t="str">
            <v>C1</v>
          </cell>
          <cell r="G3356" t="str">
            <v>RJ</v>
          </cell>
        </row>
        <row r="3357">
          <cell r="B3357">
            <v>5233873</v>
          </cell>
          <cell r="C3357" t="str">
            <v>AMAZON SERV DE VAR DO BRASIL LT</v>
          </cell>
          <cell r="D3357" t="str">
            <v>7001</v>
          </cell>
          <cell r="E3357" t="str">
            <v>0588</v>
          </cell>
          <cell r="F3357" t="str">
            <v>C6</v>
          </cell>
          <cell r="G3357" t="str">
            <v>RJ</v>
          </cell>
        </row>
        <row r="3358">
          <cell r="B3358">
            <v>5313338</v>
          </cell>
          <cell r="C3358" t="str">
            <v>CLUBE DO CONFEITEIRO LTDA</v>
          </cell>
          <cell r="D3358" t="str">
            <v>6001</v>
          </cell>
          <cell r="E3358" t="str">
            <v>6125</v>
          </cell>
          <cell r="F3358" t="str">
            <v>C1</v>
          </cell>
          <cell r="G3358" t="str">
            <v>SP</v>
          </cell>
        </row>
        <row r="3359">
          <cell r="B3359">
            <v>5351160</v>
          </cell>
          <cell r="C3359" t="str">
            <v>EDUARDO DA COSTA M E CIA LTDA</v>
          </cell>
          <cell r="D3359" t="str">
            <v>7001</v>
          </cell>
          <cell r="E3359" t="str">
            <v>0737</v>
          </cell>
          <cell r="F3359" t="str">
            <v>C1</v>
          </cell>
          <cell r="G3359" t="str">
            <v>SP</v>
          </cell>
        </row>
        <row r="3360">
          <cell r="B3360">
            <v>5367187</v>
          </cell>
          <cell r="C3360" t="str">
            <v>CONFEITARIA ESTRELA CITY NORTH</v>
          </cell>
          <cell r="D3360" t="str">
            <v>7001</v>
          </cell>
          <cell r="E3360" t="str">
            <v>0749</v>
          </cell>
          <cell r="F3360" t="str">
            <v>C5</v>
          </cell>
          <cell r="G3360" t="str">
            <v>SP</v>
          </cell>
        </row>
        <row r="3361">
          <cell r="B3361">
            <v>5094302</v>
          </cell>
          <cell r="C3361" t="str">
            <v>TOURINHO ALIMENTOS LTDA</v>
          </cell>
          <cell r="D3361" t="str">
            <v>4001</v>
          </cell>
          <cell r="E3361" t="str">
            <v>0458</v>
          </cell>
          <cell r="F3361" t="str">
            <v>C1</v>
          </cell>
          <cell r="G3361" t="str">
            <v>MG</v>
          </cell>
        </row>
        <row r="3362">
          <cell r="B3362">
            <v>5367122</v>
          </cell>
          <cell r="C3362" t="str">
            <v>59296938 ELDA SILVERIO COSTA</v>
          </cell>
          <cell r="D3362" t="str">
            <v>7001</v>
          </cell>
          <cell r="E3362" t="str">
            <v>0749</v>
          </cell>
          <cell r="F3362" t="str">
            <v>C5</v>
          </cell>
          <cell r="G3362" t="str">
            <v>SP</v>
          </cell>
        </row>
        <row r="3363">
          <cell r="B3363">
            <v>5221443</v>
          </cell>
          <cell r="C3363" t="str">
            <v>TATHI C DE D E SALG P FES EM G LTDA</v>
          </cell>
          <cell r="D3363" t="str">
            <v>7001</v>
          </cell>
          <cell r="E3363" t="str">
            <v>0749</v>
          </cell>
          <cell r="F3363" t="str">
            <v>C5</v>
          </cell>
          <cell r="G3363" t="str">
            <v>SP</v>
          </cell>
        </row>
        <row r="3364">
          <cell r="B3364">
            <v>5278463</v>
          </cell>
          <cell r="C3364" t="str">
            <v>PANIFICADORA E CONFEITARIA SORA</v>
          </cell>
          <cell r="D3364" t="str">
            <v>7001</v>
          </cell>
          <cell r="E3364" t="str">
            <v>0749</v>
          </cell>
          <cell r="F3364" t="str">
            <v>C5</v>
          </cell>
          <cell r="G3364" t="str">
            <v>SP</v>
          </cell>
        </row>
        <row r="3365">
          <cell r="B3365">
            <v>5303069</v>
          </cell>
          <cell r="C3365" t="str">
            <v>LAGHETTO HOTEIS LTDA</v>
          </cell>
          <cell r="D3365" t="str">
            <v>6001</v>
          </cell>
          <cell r="E3365" t="str">
            <v>6125</v>
          </cell>
          <cell r="F3365" t="str">
            <v>C1</v>
          </cell>
          <cell r="G3365" t="str">
            <v>SP</v>
          </cell>
        </row>
        <row r="3366">
          <cell r="B3366">
            <v>5366835</v>
          </cell>
          <cell r="C3366" t="str">
            <v>ESPACO LILLO LTDA</v>
          </cell>
          <cell r="D3366" t="str">
            <v>7001</v>
          </cell>
          <cell r="E3366" t="str">
            <v>0749</v>
          </cell>
          <cell r="F3366" t="str">
            <v>C5</v>
          </cell>
          <cell r="G3366" t="str">
            <v>SP</v>
          </cell>
        </row>
        <row r="3367">
          <cell r="B3367">
            <v>5367394</v>
          </cell>
          <cell r="C3367" t="str">
            <v>NATALIA SALVE DAMASCENO 3256521</v>
          </cell>
          <cell r="D3367" t="str">
            <v>6001</v>
          </cell>
          <cell r="E3367" t="str">
            <v>6125</v>
          </cell>
          <cell r="F3367" t="str">
            <v>C1</v>
          </cell>
          <cell r="G3367" t="str">
            <v>SP</v>
          </cell>
        </row>
        <row r="3368">
          <cell r="B3368">
            <v>5337773</v>
          </cell>
          <cell r="C3368" t="str">
            <v>CAFE PACIFICO LTDA</v>
          </cell>
          <cell r="D3368" t="str">
            <v>4001</v>
          </cell>
          <cell r="E3368" t="str">
            <v>0546</v>
          </cell>
          <cell r="F3368" t="str">
            <v>C1</v>
          </cell>
          <cell r="G3368" t="str">
            <v>SP</v>
          </cell>
        </row>
        <row r="3369">
          <cell r="B3369">
            <v>5358671</v>
          </cell>
          <cell r="C3369" t="str">
            <v>CAFE PACIFICO SA</v>
          </cell>
          <cell r="D3369" t="str">
            <v>4001</v>
          </cell>
          <cell r="E3369" t="str">
            <v>0546</v>
          </cell>
          <cell r="F3369" t="str">
            <v>C1</v>
          </cell>
          <cell r="G3369" t="str">
            <v>SP</v>
          </cell>
        </row>
        <row r="3370">
          <cell r="B3370">
            <v>5368586</v>
          </cell>
          <cell r="C3370" t="str">
            <v>66165054 LUCAS GALVAO PINTO</v>
          </cell>
          <cell r="D3370" t="str">
            <v>7001</v>
          </cell>
          <cell r="E3370" t="str">
            <v>0749</v>
          </cell>
          <cell r="F3370" t="str">
            <v>C5</v>
          </cell>
          <cell r="G3370" t="str">
            <v>SP</v>
          </cell>
        </row>
        <row r="3371">
          <cell r="B3371">
            <v>5247948</v>
          </cell>
          <cell r="C3371" t="str">
            <v>GOLDEN TOWER HOTEIS E TURISMO L</v>
          </cell>
          <cell r="D3371" t="str">
            <v>7001</v>
          </cell>
          <cell r="E3371" t="str">
            <v>0749</v>
          </cell>
          <cell r="F3371" t="str">
            <v>C5</v>
          </cell>
          <cell r="G3371" t="str">
            <v>SP</v>
          </cell>
        </row>
        <row r="3372">
          <cell r="B3372">
            <v>5350936</v>
          </cell>
          <cell r="C3372" t="str">
            <v>SEARA ALIMENTOS LTDA</v>
          </cell>
          <cell r="D3372" t="str">
            <v>4001</v>
          </cell>
          <cell r="E3372" t="str">
            <v>0437</v>
          </cell>
          <cell r="F3372" t="str">
            <v>C1</v>
          </cell>
          <cell r="G3372" t="str">
            <v>MS</v>
          </cell>
        </row>
        <row r="3373">
          <cell r="B3373">
            <v>5368518</v>
          </cell>
          <cell r="C3373" t="str">
            <v>48603934 AMANDA FRANC DE OL AND</v>
          </cell>
          <cell r="D3373" t="str">
            <v>7001</v>
          </cell>
          <cell r="E3373" t="str">
            <v>0749</v>
          </cell>
          <cell r="F3373" t="str">
            <v>C5</v>
          </cell>
          <cell r="G3373" t="str">
            <v>SP</v>
          </cell>
        </row>
        <row r="3374">
          <cell r="B3374">
            <v>5368646</v>
          </cell>
          <cell r="C3374" t="str">
            <v>FISCALE PAES E ALIMENTOS LTDA</v>
          </cell>
          <cell r="D3374" t="str">
            <v>7001</v>
          </cell>
          <cell r="E3374" t="str">
            <v>0749</v>
          </cell>
          <cell r="F3374" t="str">
            <v>C5</v>
          </cell>
          <cell r="G3374" t="str">
            <v>SP</v>
          </cell>
        </row>
        <row r="3375">
          <cell r="B3375">
            <v>5194247</v>
          </cell>
          <cell r="C3375" t="str">
            <v>GRANBELLO ALIMENTOS LTDA</v>
          </cell>
          <cell r="D3375" t="str">
            <v>3001</v>
          </cell>
          <cell r="E3375" t="str">
            <v>0028</v>
          </cell>
          <cell r="F3375" t="str">
            <v>C1</v>
          </cell>
          <cell r="G3375" t="str">
            <v>SC</v>
          </cell>
        </row>
        <row r="3376">
          <cell r="B3376">
            <v>5355177</v>
          </cell>
          <cell r="C3376" t="str">
            <v>BUY MARKET MINIMERCADOS LTDA</v>
          </cell>
          <cell r="D3376" t="str">
            <v>7001</v>
          </cell>
          <cell r="E3376" t="str">
            <v>0749</v>
          </cell>
          <cell r="F3376" t="str">
            <v>C5</v>
          </cell>
          <cell r="G3376" t="str">
            <v>SP</v>
          </cell>
        </row>
        <row r="3377">
          <cell r="B3377">
            <v>5004685</v>
          </cell>
          <cell r="C3377" t="str">
            <v>DINIZ COM ATAC DE PROD ALIM LTDA</v>
          </cell>
          <cell r="D3377" t="str">
            <v>6001</v>
          </cell>
          <cell r="E3377" t="str">
            <v>0125</v>
          </cell>
          <cell r="F3377" t="str">
            <v>C1</v>
          </cell>
          <cell r="G3377" t="str">
            <v>SP</v>
          </cell>
        </row>
        <row r="3378">
          <cell r="B3378">
            <v>5006978</v>
          </cell>
          <cell r="C3378" t="str">
            <v>DISTRIBUIDORA E IMP IRMAOS AVELINO</v>
          </cell>
          <cell r="D3378" t="str">
            <v>6001</v>
          </cell>
          <cell r="E3378" t="str">
            <v>0125</v>
          </cell>
          <cell r="F3378" t="str">
            <v>C1</v>
          </cell>
          <cell r="G3378" t="str">
            <v>SP</v>
          </cell>
        </row>
        <row r="3379">
          <cell r="B3379">
            <v>5008636</v>
          </cell>
          <cell r="C3379" t="str">
            <v>GR SERVICOS E ALIMENTACAO LTDA</v>
          </cell>
          <cell r="D3379" t="str">
            <v>6001</v>
          </cell>
          <cell r="E3379" t="str">
            <v>0028</v>
          </cell>
          <cell r="F3379" t="str">
            <v>C1</v>
          </cell>
          <cell r="G3379" t="str">
            <v>RJ</v>
          </cell>
        </row>
        <row r="3380">
          <cell r="B3380">
            <v>5009420</v>
          </cell>
          <cell r="C3380" t="str">
            <v>BASF SA</v>
          </cell>
          <cell r="D3380" t="str">
            <v>6001</v>
          </cell>
          <cell r="E3380" t="str">
            <v>0028</v>
          </cell>
          <cell r="F3380" t="str">
            <v>C1</v>
          </cell>
          <cell r="G3380" t="str">
            <v>SP</v>
          </cell>
        </row>
        <row r="3381">
          <cell r="B3381">
            <v>5011698</v>
          </cell>
          <cell r="C3381" t="str">
            <v>CASA DO SACHET LTDA</v>
          </cell>
          <cell r="D3381" t="str">
            <v>6001</v>
          </cell>
          <cell r="E3381" t="str">
            <v>0123</v>
          </cell>
          <cell r="F3381" t="str">
            <v>C1</v>
          </cell>
          <cell r="G3381" t="str">
            <v>MS</v>
          </cell>
        </row>
        <row r="3382">
          <cell r="B3382">
            <v>5012641</v>
          </cell>
          <cell r="C3382" t="str">
            <v>COM LOURO DE FRIOS E SALGADOS LTDA</v>
          </cell>
          <cell r="D3382" t="str">
            <v>6001</v>
          </cell>
          <cell r="E3382" t="str">
            <v>0125</v>
          </cell>
          <cell r="F3382" t="str">
            <v>C1</v>
          </cell>
          <cell r="G3382" t="str">
            <v>SP</v>
          </cell>
        </row>
        <row r="3383">
          <cell r="B3383">
            <v>5017576</v>
          </cell>
          <cell r="C3383" t="str">
            <v>COMERCIAL DISKPAN LTDA</v>
          </cell>
          <cell r="D3383" t="str">
            <v>6001</v>
          </cell>
          <cell r="E3383" t="str">
            <v>0169</v>
          </cell>
          <cell r="F3383" t="str">
            <v>C1</v>
          </cell>
          <cell r="G3383" t="str">
            <v>ES</v>
          </cell>
        </row>
        <row r="3384">
          <cell r="B3384">
            <v>5019126</v>
          </cell>
          <cell r="C3384" t="str">
            <v>ROCHA PAN INDUSTRIA E COMERCIO LTDA</v>
          </cell>
          <cell r="D3384" t="str">
            <v>6001</v>
          </cell>
          <cell r="E3384" t="str">
            <v>0125</v>
          </cell>
          <cell r="F3384" t="str">
            <v>C1</v>
          </cell>
          <cell r="G3384" t="str">
            <v>SP</v>
          </cell>
        </row>
        <row r="3385">
          <cell r="B3385">
            <v>5019640</v>
          </cell>
          <cell r="C3385" t="str">
            <v>BIG CHURROS DE PIRACICABA LTDA</v>
          </cell>
          <cell r="D3385" t="str">
            <v>6001</v>
          </cell>
          <cell r="E3385" t="str">
            <v>0125</v>
          </cell>
          <cell r="F3385" t="str">
            <v>C1</v>
          </cell>
          <cell r="G3385" t="str">
            <v>SP</v>
          </cell>
        </row>
        <row r="3386">
          <cell r="B3386">
            <v>5020319</v>
          </cell>
          <cell r="C3386" t="str">
            <v>SOST IND E COM DE ALIMENTOS EIRELI</v>
          </cell>
          <cell r="D3386" t="str">
            <v>6001</v>
          </cell>
          <cell r="E3386" t="str">
            <v>0127</v>
          </cell>
          <cell r="F3386" t="str">
            <v>C1</v>
          </cell>
          <cell r="G3386" t="str">
            <v>BA</v>
          </cell>
        </row>
        <row r="3387">
          <cell r="B3387">
            <v>5020347</v>
          </cell>
          <cell r="C3387" t="str">
            <v>SVP COMERCIO DE ALIMENTOS LTDA</v>
          </cell>
          <cell r="D3387" t="str">
            <v>6001</v>
          </cell>
          <cell r="E3387" t="str">
            <v>0125</v>
          </cell>
          <cell r="F3387" t="str">
            <v>C1</v>
          </cell>
          <cell r="G3387" t="str">
            <v>SP</v>
          </cell>
        </row>
        <row r="3388">
          <cell r="B3388">
            <v>5020352</v>
          </cell>
          <cell r="C3388" t="str">
            <v>SPAN VALE COM DE PROD ALIM LTDA</v>
          </cell>
          <cell r="D3388" t="str">
            <v>6001</v>
          </cell>
          <cell r="E3388" t="str">
            <v>0125</v>
          </cell>
          <cell r="F3388" t="str">
            <v>C1</v>
          </cell>
          <cell r="G3388" t="str">
            <v>SP</v>
          </cell>
        </row>
        <row r="3389">
          <cell r="B3389">
            <v>5023334</v>
          </cell>
          <cell r="C3389" t="str">
            <v>S P PRODUTOS LTDA</v>
          </cell>
          <cell r="D3389" t="str">
            <v>6001</v>
          </cell>
          <cell r="E3389" t="str">
            <v>0169</v>
          </cell>
          <cell r="F3389" t="str">
            <v>C1</v>
          </cell>
          <cell r="G3389" t="str">
            <v>ES</v>
          </cell>
        </row>
        <row r="3390">
          <cell r="B3390">
            <v>5023770</v>
          </cell>
          <cell r="C3390" t="str">
            <v>SOLMAR DIST DE ALIMENTOS LTDA</v>
          </cell>
          <cell r="D3390" t="str">
            <v>6001</v>
          </cell>
          <cell r="E3390" t="str">
            <v>0127</v>
          </cell>
          <cell r="F3390" t="str">
            <v>C1</v>
          </cell>
          <cell r="G3390" t="str">
            <v>CE</v>
          </cell>
        </row>
        <row r="3391">
          <cell r="B3391">
            <v>5023831</v>
          </cell>
          <cell r="C3391" t="str">
            <v>DORIVALI COM DIST DE PROD ALIM LTDA</v>
          </cell>
          <cell r="D3391" t="str">
            <v>6001</v>
          </cell>
          <cell r="E3391" t="str">
            <v>0125</v>
          </cell>
          <cell r="F3391" t="str">
            <v>C1</v>
          </cell>
          <cell r="G3391" t="str">
            <v>SP</v>
          </cell>
        </row>
        <row r="3392">
          <cell r="B3392">
            <v>5024011</v>
          </cell>
          <cell r="C3392" t="str">
            <v>M C MORAES ME</v>
          </cell>
          <cell r="D3392" t="str">
            <v>6001</v>
          </cell>
          <cell r="E3392" t="str">
            <v>0169</v>
          </cell>
          <cell r="F3392" t="str">
            <v>C1</v>
          </cell>
          <cell r="G3392" t="str">
            <v>ES</v>
          </cell>
        </row>
        <row r="3393">
          <cell r="B3393">
            <v>5026399</v>
          </cell>
          <cell r="C3393" t="str">
            <v>RIO QUALITY COMERCIO DE ALIMENTOS</v>
          </cell>
          <cell r="D3393" t="str">
            <v>6001</v>
          </cell>
          <cell r="E3393" t="str">
            <v>0169</v>
          </cell>
          <cell r="F3393" t="str">
            <v>C1</v>
          </cell>
          <cell r="G3393" t="str">
            <v>RJ</v>
          </cell>
        </row>
        <row r="3394">
          <cell r="B3394">
            <v>5026768</v>
          </cell>
          <cell r="C3394" t="str">
            <v>FORTALI DIST DE ALIMENTOS LTDA</v>
          </cell>
          <cell r="D3394" t="str">
            <v>6001</v>
          </cell>
          <cell r="E3394" t="str">
            <v>0127</v>
          </cell>
          <cell r="F3394" t="str">
            <v>C1</v>
          </cell>
          <cell r="G3394" t="str">
            <v>CE</v>
          </cell>
        </row>
        <row r="3395">
          <cell r="B3395">
            <v>5028457</v>
          </cell>
          <cell r="C3395" t="str">
            <v>F L EMBALAGENS LTDA</v>
          </cell>
          <cell r="D3395" t="str">
            <v>6001</v>
          </cell>
          <cell r="E3395" t="str">
            <v>0169</v>
          </cell>
          <cell r="F3395" t="str">
            <v>C1</v>
          </cell>
          <cell r="G3395" t="str">
            <v>ES</v>
          </cell>
        </row>
        <row r="3396">
          <cell r="B3396">
            <v>5031156</v>
          </cell>
          <cell r="C3396" t="str">
            <v>SIRLEI MENDES DE OLIVEIRA</v>
          </cell>
          <cell r="D3396" t="str">
            <v>6001</v>
          </cell>
          <cell r="E3396" t="str">
            <v>0125</v>
          </cell>
          <cell r="F3396" t="str">
            <v>C1</v>
          </cell>
          <cell r="G3396" t="str">
            <v>SP</v>
          </cell>
        </row>
        <row r="3397">
          <cell r="B3397">
            <v>5032480</v>
          </cell>
          <cell r="C3397" t="str">
            <v>ATACADO E DISTRIBUIDORA MARITER</v>
          </cell>
          <cell r="D3397" t="str">
            <v>6001</v>
          </cell>
          <cell r="E3397" t="str">
            <v>0169</v>
          </cell>
          <cell r="F3397" t="str">
            <v>C1</v>
          </cell>
          <cell r="G3397" t="str">
            <v>ES</v>
          </cell>
        </row>
        <row r="3398">
          <cell r="B3398">
            <v>5033323</v>
          </cell>
          <cell r="C3398" t="str">
            <v>SORVESHOPES COMERCIAL LTDA</v>
          </cell>
          <cell r="D3398" t="str">
            <v>6001</v>
          </cell>
          <cell r="E3398" t="str">
            <v>0028</v>
          </cell>
          <cell r="F3398" t="str">
            <v>C1</v>
          </cell>
          <cell r="G3398" t="str">
            <v>ES</v>
          </cell>
        </row>
        <row r="3399">
          <cell r="B3399">
            <v>5038591</v>
          </cell>
          <cell r="C3399" t="str">
            <v>TRIGAL IMP EXP PROD ALIM LTDA</v>
          </cell>
          <cell r="D3399" t="str">
            <v>6001</v>
          </cell>
          <cell r="E3399" t="str">
            <v>0127</v>
          </cell>
          <cell r="F3399" t="str">
            <v>C1</v>
          </cell>
          <cell r="G3399" t="str">
            <v>BA</v>
          </cell>
        </row>
        <row r="3400">
          <cell r="B3400">
            <v>5040108</v>
          </cell>
          <cell r="C3400" t="str">
            <v>CCN COMERCIO CENTRO NORTE ALIM LTDA</v>
          </cell>
          <cell r="D3400" t="str">
            <v>6001</v>
          </cell>
          <cell r="E3400" t="str">
            <v>0169</v>
          </cell>
          <cell r="F3400" t="str">
            <v>C1</v>
          </cell>
          <cell r="G3400" t="str">
            <v>RJ</v>
          </cell>
        </row>
        <row r="3401">
          <cell r="B3401">
            <v>5045012</v>
          </cell>
          <cell r="C3401" t="str">
            <v>BEBIDAS NOVA ENGENHOCA EILERI</v>
          </cell>
          <cell r="D3401" t="str">
            <v>6001</v>
          </cell>
          <cell r="E3401" t="str">
            <v>0125</v>
          </cell>
          <cell r="F3401" t="str">
            <v>C1</v>
          </cell>
          <cell r="G3401" t="str">
            <v>SP</v>
          </cell>
        </row>
        <row r="3402">
          <cell r="B3402">
            <v>5058881</v>
          </cell>
          <cell r="C3402" t="str">
            <v>GR SERVICOS E ALIMENTACAO LTDA</v>
          </cell>
          <cell r="D3402" t="str">
            <v>6001</v>
          </cell>
          <cell r="E3402" t="str">
            <v>0028</v>
          </cell>
          <cell r="F3402" t="str">
            <v>C1</v>
          </cell>
          <cell r="G3402" t="str">
            <v>SP</v>
          </cell>
        </row>
        <row r="3403">
          <cell r="B3403">
            <v>5059971</v>
          </cell>
          <cell r="C3403" t="str">
            <v>GATE GOURMET LT</v>
          </cell>
          <cell r="D3403" t="str">
            <v>6001</v>
          </cell>
          <cell r="E3403" t="str">
            <v>0125</v>
          </cell>
          <cell r="F3403" t="str">
            <v>C1</v>
          </cell>
          <cell r="G3403" t="str">
            <v>SP</v>
          </cell>
        </row>
        <row r="3404">
          <cell r="B3404">
            <v>5070522</v>
          </cell>
          <cell r="C3404" t="str">
            <v>WEA COM DE PROD DE PANIF LTDA</v>
          </cell>
          <cell r="D3404" t="str">
            <v>6001</v>
          </cell>
          <cell r="E3404" t="str">
            <v>0125</v>
          </cell>
          <cell r="F3404" t="str">
            <v>C1</v>
          </cell>
          <cell r="G3404" t="str">
            <v>SP</v>
          </cell>
        </row>
        <row r="3405">
          <cell r="B3405">
            <v>5077852</v>
          </cell>
          <cell r="C3405" t="str">
            <v>RODRIGO FITZGERALD LUPIANHES</v>
          </cell>
          <cell r="D3405" t="str">
            <v>6001</v>
          </cell>
          <cell r="E3405" t="str">
            <v>0125</v>
          </cell>
          <cell r="F3405" t="str">
            <v>C1</v>
          </cell>
          <cell r="G3405" t="str">
            <v>SP</v>
          </cell>
        </row>
        <row r="3406">
          <cell r="B3406">
            <v>5083008</v>
          </cell>
          <cell r="C3406" t="str">
            <v>ADRIPAN PRODUTOS PARA PANIFICACAO L</v>
          </cell>
          <cell r="D3406" t="str">
            <v>6001</v>
          </cell>
          <cell r="E3406" t="str">
            <v>0125</v>
          </cell>
          <cell r="F3406" t="str">
            <v>C1</v>
          </cell>
          <cell r="G3406" t="str">
            <v>SP</v>
          </cell>
        </row>
        <row r="3407">
          <cell r="B3407">
            <v>5083201</v>
          </cell>
          <cell r="C3407" t="str">
            <v>SILVA BRAGA COML DE ALIMENTOS LTDA</v>
          </cell>
          <cell r="D3407" t="str">
            <v>6001</v>
          </cell>
          <cell r="E3407" t="str">
            <v>0127</v>
          </cell>
          <cell r="F3407" t="str">
            <v>C1</v>
          </cell>
          <cell r="G3407" t="str">
            <v>CE</v>
          </cell>
        </row>
        <row r="3408">
          <cell r="B3408">
            <v>5105392</v>
          </cell>
          <cell r="C3408" t="str">
            <v>PEC COM DE DOCES E ORG DE FESTAS LT</v>
          </cell>
          <cell r="D3408" t="str">
            <v>6001</v>
          </cell>
          <cell r="E3408" t="str">
            <v>0125</v>
          </cell>
          <cell r="F3408" t="str">
            <v>C1</v>
          </cell>
          <cell r="G3408" t="str">
            <v>SP</v>
          </cell>
        </row>
        <row r="3409">
          <cell r="B3409">
            <v>5105940</v>
          </cell>
          <cell r="C3409" t="str">
            <v>MERCANTIL PRIMAR LTDA</v>
          </cell>
          <cell r="D3409" t="str">
            <v>6001</v>
          </cell>
          <cell r="E3409" t="str">
            <v>0125</v>
          </cell>
          <cell r="F3409" t="str">
            <v>C1</v>
          </cell>
          <cell r="G3409" t="str">
            <v>SP</v>
          </cell>
        </row>
        <row r="3410">
          <cell r="B3410">
            <v>5107112</v>
          </cell>
          <cell r="C3410" t="str">
            <v>MACPAN COM E DIST DE PROD ALIM LT M</v>
          </cell>
          <cell r="D3410" t="str">
            <v>6001</v>
          </cell>
          <cell r="E3410" t="str">
            <v>0125</v>
          </cell>
          <cell r="F3410" t="str">
            <v>C1</v>
          </cell>
          <cell r="G3410" t="str">
            <v>SP</v>
          </cell>
        </row>
        <row r="3411">
          <cell r="B3411">
            <v>5109334</v>
          </cell>
          <cell r="C3411" t="str">
            <v>CENTRAL OSASCO DIST ALIM E BEBI</v>
          </cell>
          <cell r="D3411" t="str">
            <v>6001</v>
          </cell>
          <cell r="E3411" t="str">
            <v>0125</v>
          </cell>
          <cell r="F3411" t="str">
            <v>C1</v>
          </cell>
          <cell r="G3411" t="str">
            <v>SP</v>
          </cell>
        </row>
        <row r="3412">
          <cell r="B3412">
            <v>5109656</v>
          </cell>
          <cell r="C3412" t="str">
            <v>RIBERFOODS PRODUTOS ALIMENTICIOS LT</v>
          </cell>
          <cell r="D3412" t="str">
            <v>6001</v>
          </cell>
          <cell r="E3412" t="str">
            <v>0125</v>
          </cell>
          <cell r="F3412" t="str">
            <v>C1</v>
          </cell>
          <cell r="G3412" t="str">
            <v>SP</v>
          </cell>
        </row>
        <row r="3413">
          <cell r="B3413">
            <v>5109682</v>
          </cell>
          <cell r="C3413" t="str">
            <v>FERPEREZ COMERCIO DE ALIMENTOS</v>
          </cell>
          <cell r="D3413" t="str">
            <v>6001</v>
          </cell>
          <cell r="E3413" t="str">
            <v>0125</v>
          </cell>
          <cell r="F3413" t="str">
            <v>C1</v>
          </cell>
          <cell r="G3413" t="str">
            <v>SP</v>
          </cell>
        </row>
        <row r="3414">
          <cell r="B3414">
            <v>5110498</v>
          </cell>
          <cell r="C3414" t="str">
            <v>ZANEPAN COM ATAC DE GENEROS ALIM EI</v>
          </cell>
          <cell r="D3414" t="str">
            <v>6001</v>
          </cell>
          <cell r="E3414" t="str">
            <v>0169</v>
          </cell>
          <cell r="F3414" t="str">
            <v>C1</v>
          </cell>
          <cell r="G3414" t="str">
            <v>ES</v>
          </cell>
        </row>
        <row r="3415">
          <cell r="B3415">
            <v>5110662</v>
          </cell>
          <cell r="C3415" t="str">
            <v>CANELA E CIA RESTAURANTE LTDA</v>
          </cell>
          <cell r="D3415" t="str">
            <v>6001</v>
          </cell>
          <cell r="E3415" t="str">
            <v>0127</v>
          </cell>
          <cell r="F3415" t="str">
            <v>C1</v>
          </cell>
          <cell r="G3415" t="str">
            <v>BA</v>
          </cell>
        </row>
        <row r="3416">
          <cell r="B3416">
            <v>5111398</v>
          </cell>
          <cell r="C3416" t="str">
            <v>SCANIA LATIN AMERICA LTDA</v>
          </cell>
          <cell r="D3416" t="str">
            <v>6001</v>
          </cell>
          <cell r="E3416" t="str">
            <v>0125</v>
          </cell>
          <cell r="F3416" t="str">
            <v>C1</v>
          </cell>
          <cell r="G3416" t="str">
            <v>SP</v>
          </cell>
        </row>
        <row r="3417">
          <cell r="B3417">
            <v>5114387</v>
          </cell>
          <cell r="C3417" t="str">
            <v>JAQUELINI CARDOSO COSTA DA SILV</v>
          </cell>
          <cell r="D3417" t="str">
            <v>6001</v>
          </cell>
          <cell r="E3417" t="str">
            <v>0125</v>
          </cell>
          <cell r="F3417" t="str">
            <v>C1</v>
          </cell>
          <cell r="G3417" t="str">
            <v>SP</v>
          </cell>
        </row>
        <row r="3418">
          <cell r="B3418">
            <v>5114882</v>
          </cell>
          <cell r="C3418" t="str">
            <v>SORVEDOCES IND E COM DE PROD ALIM L</v>
          </cell>
          <cell r="D3418" t="str">
            <v>6001</v>
          </cell>
          <cell r="E3418" t="str">
            <v>0169</v>
          </cell>
          <cell r="F3418" t="str">
            <v>C1</v>
          </cell>
          <cell r="G3418" t="str">
            <v>ES</v>
          </cell>
        </row>
        <row r="3419">
          <cell r="B3419">
            <v>5115019</v>
          </cell>
          <cell r="C3419" t="str">
            <v>J ARAUJO DISTRIBUIDORA IMP E EXP SA</v>
          </cell>
          <cell r="D3419" t="str">
            <v>6001</v>
          </cell>
          <cell r="E3419" t="str">
            <v>0169</v>
          </cell>
          <cell r="F3419" t="str">
            <v>C1</v>
          </cell>
          <cell r="G3419" t="str">
            <v>RJ</v>
          </cell>
        </row>
        <row r="3420">
          <cell r="B3420">
            <v>5115814</v>
          </cell>
          <cell r="C3420" t="str">
            <v>HAND BAKER DIST DE PROD P PANIF EIR</v>
          </cell>
          <cell r="D3420" t="str">
            <v>6001</v>
          </cell>
          <cell r="E3420" t="str">
            <v>0169</v>
          </cell>
          <cell r="F3420" t="str">
            <v>C1</v>
          </cell>
          <cell r="G3420" t="str">
            <v>RJ</v>
          </cell>
        </row>
        <row r="3421">
          <cell r="B3421">
            <v>5118346</v>
          </cell>
          <cell r="C3421" t="str">
            <v>CONFESPAN COMERCIO E DISTRIBUICAO L</v>
          </cell>
          <cell r="D3421" t="str">
            <v>6001</v>
          </cell>
          <cell r="E3421" t="str">
            <v>0125</v>
          </cell>
          <cell r="F3421" t="str">
            <v>C1</v>
          </cell>
          <cell r="G3421" t="str">
            <v>SP</v>
          </cell>
        </row>
        <row r="3422">
          <cell r="B3422">
            <v>5122245</v>
          </cell>
          <cell r="C3422" t="str">
            <v>NOVAMIX FOOD SERVICE COM DE ALIM LT</v>
          </cell>
          <cell r="D3422" t="str">
            <v>6001</v>
          </cell>
          <cell r="E3422" t="str">
            <v>0169</v>
          </cell>
          <cell r="F3422" t="str">
            <v>C1</v>
          </cell>
          <cell r="G3422" t="str">
            <v>RJ</v>
          </cell>
        </row>
        <row r="3423">
          <cell r="B3423">
            <v>5127549</v>
          </cell>
          <cell r="C3423" t="str">
            <v>SECOMANDI IND E COM DE SORVETES LTD</v>
          </cell>
          <cell r="D3423" t="str">
            <v>6001</v>
          </cell>
          <cell r="E3423" t="str">
            <v>0122</v>
          </cell>
          <cell r="F3423" t="str">
            <v>C1</v>
          </cell>
          <cell r="G3423" t="str">
            <v>ES</v>
          </cell>
        </row>
        <row r="3424">
          <cell r="B3424">
            <v>5130343</v>
          </cell>
          <cell r="C3424" t="str">
            <v>CDI BARRA PROD IMP E EXPORTACAO LTD</v>
          </cell>
          <cell r="D3424" t="str">
            <v>6001</v>
          </cell>
          <cell r="E3424" t="str">
            <v>0125</v>
          </cell>
          <cell r="F3424" t="str">
            <v>C1</v>
          </cell>
          <cell r="G3424" t="str">
            <v>SP</v>
          </cell>
        </row>
        <row r="3425">
          <cell r="B3425">
            <v>5130738</v>
          </cell>
          <cell r="C3425" t="str">
            <v>ODAIR JOSE DA SILVA COUTO 882126105</v>
          </cell>
          <cell r="D3425" t="str">
            <v>6001</v>
          </cell>
          <cell r="E3425" t="str">
            <v>0127</v>
          </cell>
          <cell r="F3425" t="str">
            <v>C1</v>
          </cell>
          <cell r="G3425" t="str">
            <v>BA</v>
          </cell>
        </row>
        <row r="3426">
          <cell r="B3426">
            <v>5131101</v>
          </cell>
          <cell r="C3426" t="str">
            <v>GRANO NICOLETTI COM ALIM LTDA</v>
          </cell>
          <cell r="D3426" t="str">
            <v>6001</v>
          </cell>
          <cell r="E3426" t="str">
            <v>0125</v>
          </cell>
          <cell r="F3426" t="str">
            <v>C1</v>
          </cell>
          <cell r="G3426" t="str">
            <v>SP</v>
          </cell>
        </row>
        <row r="3427">
          <cell r="B3427">
            <v>5141420</v>
          </cell>
          <cell r="C3427" t="str">
            <v>UNIPAN COMERCIO DE PROD ALIM LT</v>
          </cell>
          <cell r="D3427" t="str">
            <v>6001</v>
          </cell>
          <cell r="E3427" t="str">
            <v>0123</v>
          </cell>
          <cell r="F3427" t="str">
            <v>C1</v>
          </cell>
          <cell r="G3427" t="str">
            <v>DF</v>
          </cell>
        </row>
        <row r="3428">
          <cell r="B3428">
            <v>5144654</v>
          </cell>
          <cell r="C3428" t="str">
            <v>SAUIPE SA</v>
          </cell>
          <cell r="D3428" t="str">
            <v>6001</v>
          </cell>
          <cell r="E3428" t="str">
            <v>0127</v>
          </cell>
          <cell r="F3428" t="str">
            <v>C1</v>
          </cell>
          <cell r="G3428" t="str">
            <v>BA</v>
          </cell>
        </row>
        <row r="3429">
          <cell r="B3429">
            <v>5147462</v>
          </cell>
          <cell r="C3429" t="str">
            <v>NOVAMIX FOOD SERV COM DE ALIM LTDA</v>
          </cell>
          <cell r="D3429" t="str">
            <v>6001</v>
          </cell>
          <cell r="E3429" t="str">
            <v>0169</v>
          </cell>
          <cell r="F3429" t="str">
            <v>C1</v>
          </cell>
          <cell r="G3429" t="str">
            <v>RJ</v>
          </cell>
        </row>
        <row r="3430">
          <cell r="B3430">
            <v>5147526</v>
          </cell>
          <cell r="C3430" t="str">
            <v>SAPORE SA</v>
          </cell>
          <cell r="D3430" t="str">
            <v>6001</v>
          </cell>
          <cell r="E3430" t="str">
            <v>0028</v>
          </cell>
          <cell r="F3430" t="str">
            <v>C1</v>
          </cell>
          <cell r="G3430" t="str">
            <v>RJ</v>
          </cell>
        </row>
        <row r="3431">
          <cell r="B3431">
            <v>5149985</v>
          </cell>
          <cell r="C3431" t="str">
            <v>AROUMAR DISTRIB DE PRODUTOS ALIM LT</v>
          </cell>
          <cell r="D3431" t="str">
            <v>6001</v>
          </cell>
          <cell r="E3431" t="str">
            <v>0125</v>
          </cell>
          <cell r="F3431" t="str">
            <v>C1</v>
          </cell>
          <cell r="G3431" t="str">
            <v>SP</v>
          </cell>
        </row>
        <row r="3432">
          <cell r="B3432">
            <v>5150495</v>
          </cell>
          <cell r="C3432" t="str">
            <v>CASA DE BOLOS DIST LTDA EPP</v>
          </cell>
          <cell r="D3432" t="str">
            <v>6001</v>
          </cell>
          <cell r="E3432" t="str">
            <v>0125</v>
          </cell>
          <cell r="F3432" t="str">
            <v>C1</v>
          </cell>
          <cell r="G3432" t="str">
            <v>SP</v>
          </cell>
        </row>
        <row r="3433">
          <cell r="B3433">
            <v>5157891</v>
          </cell>
          <cell r="C3433" t="str">
            <v>NOVA MEGA G ATACADISTA DE ALIM SA</v>
          </cell>
          <cell r="D3433" t="str">
            <v>6001</v>
          </cell>
          <cell r="E3433" t="str">
            <v>0169</v>
          </cell>
          <cell r="F3433" t="str">
            <v>C1</v>
          </cell>
          <cell r="G3433" t="str">
            <v>SP</v>
          </cell>
        </row>
        <row r="3434">
          <cell r="B3434">
            <v>5159289</v>
          </cell>
          <cell r="C3434" t="str">
            <v>FUNCHAL IND COM DE PAPEIS LT</v>
          </cell>
          <cell r="D3434" t="str">
            <v>6001</v>
          </cell>
          <cell r="E3434" t="str">
            <v>0125</v>
          </cell>
          <cell r="F3434" t="str">
            <v>C1</v>
          </cell>
          <cell r="G3434" t="str">
            <v>SP</v>
          </cell>
        </row>
        <row r="3435">
          <cell r="B3435">
            <v>5161386</v>
          </cell>
          <cell r="C3435" t="str">
            <v>TOP ALTO PARTICIPACOES E COM LTDA</v>
          </cell>
          <cell r="D3435" t="str">
            <v>6001</v>
          </cell>
          <cell r="E3435" t="str">
            <v>0169</v>
          </cell>
          <cell r="F3435" t="str">
            <v>C1</v>
          </cell>
          <cell r="G3435" t="str">
            <v>RJ</v>
          </cell>
        </row>
        <row r="3436">
          <cell r="B3436">
            <v>5161469</v>
          </cell>
          <cell r="C3436" t="str">
            <v>FORCA TOTAL DIST DE GENE ALIM L</v>
          </cell>
          <cell r="D3436" t="str">
            <v>6001</v>
          </cell>
          <cell r="E3436" t="str">
            <v>0169</v>
          </cell>
          <cell r="F3436" t="str">
            <v>C1</v>
          </cell>
          <cell r="G3436" t="str">
            <v>RJ</v>
          </cell>
        </row>
        <row r="3437">
          <cell r="B3437">
            <v>5161583</v>
          </cell>
          <cell r="C3437" t="str">
            <v>DOHLER AMERICA LATINA LTDA</v>
          </cell>
          <cell r="D3437" t="str">
            <v>6001</v>
          </cell>
          <cell r="E3437" t="str">
            <v>0125</v>
          </cell>
          <cell r="F3437" t="str">
            <v>C1</v>
          </cell>
          <cell r="G3437" t="str">
            <v>SP</v>
          </cell>
        </row>
        <row r="3438">
          <cell r="B3438">
            <v>5164717</v>
          </cell>
          <cell r="C3438" t="str">
            <v>HENDUPAN COM DE PROD CON LTDA</v>
          </cell>
          <cell r="D3438" t="str">
            <v>6001</v>
          </cell>
          <cell r="E3438" t="str">
            <v>0125</v>
          </cell>
          <cell r="F3438" t="str">
            <v>C1</v>
          </cell>
          <cell r="G3438" t="str">
            <v>SP</v>
          </cell>
        </row>
        <row r="3439">
          <cell r="B3439">
            <v>5166159</v>
          </cell>
          <cell r="C3439" t="str">
            <v>JME RAUTA COM DIST LTDA</v>
          </cell>
          <cell r="D3439" t="str">
            <v>6001</v>
          </cell>
          <cell r="E3439" t="str">
            <v>0028</v>
          </cell>
          <cell r="F3439" t="str">
            <v>C1</v>
          </cell>
          <cell r="G3439" t="str">
            <v>RJ</v>
          </cell>
        </row>
        <row r="3440">
          <cell r="B3440">
            <v>5168811</v>
          </cell>
          <cell r="C3440" t="str">
            <v>ESPACO CHEF COM PROD ALIM DOM LTDA</v>
          </cell>
          <cell r="D3440" t="str">
            <v>6001</v>
          </cell>
          <cell r="E3440" t="str">
            <v>0127</v>
          </cell>
          <cell r="F3440" t="str">
            <v>C1</v>
          </cell>
          <cell r="G3440" t="str">
            <v>CE</v>
          </cell>
        </row>
        <row r="3441">
          <cell r="B3441">
            <v>5168877</v>
          </cell>
          <cell r="C3441" t="str">
            <v>GILSON PIMENTEL DA SILVA SORVETERIA</v>
          </cell>
          <cell r="D3441" t="str">
            <v>6001</v>
          </cell>
          <cell r="E3441" t="str">
            <v>0028</v>
          </cell>
          <cell r="F3441" t="str">
            <v>C1</v>
          </cell>
          <cell r="G3441" t="str">
            <v>RJ</v>
          </cell>
        </row>
        <row r="3442">
          <cell r="B3442">
            <v>5169592</v>
          </cell>
          <cell r="C3442" t="str">
            <v>ESQUILOS ACAI LTDA ME</v>
          </cell>
          <cell r="D3442" t="str">
            <v>6001</v>
          </cell>
          <cell r="E3442" t="str">
            <v>0028</v>
          </cell>
          <cell r="F3442" t="str">
            <v>C1</v>
          </cell>
          <cell r="G3442" t="str">
            <v>SP</v>
          </cell>
        </row>
        <row r="3443">
          <cell r="B3443">
            <v>5169969</v>
          </cell>
          <cell r="C3443" t="str">
            <v>WCN COM E REPRESENTACAO DE ALIM LTD</v>
          </cell>
          <cell r="D3443" t="str">
            <v>6001</v>
          </cell>
          <cell r="E3443" t="str">
            <v>0127</v>
          </cell>
          <cell r="F3443" t="str">
            <v>C1</v>
          </cell>
          <cell r="G3443" t="str">
            <v>BA</v>
          </cell>
        </row>
        <row r="3444">
          <cell r="B3444">
            <v>5170033</v>
          </cell>
          <cell r="C3444" t="str">
            <v>SORVETERIA SANTIAGO LTDA</v>
          </cell>
          <cell r="D3444" t="str">
            <v>6001</v>
          </cell>
          <cell r="E3444" t="str">
            <v>0028</v>
          </cell>
          <cell r="F3444" t="str">
            <v>C1</v>
          </cell>
          <cell r="G3444" t="str">
            <v>BA</v>
          </cell>
        </row>
        <row r="3445">
          <cell r="B3445">
            <v>5170377</v>
          </cell>
          <cell r="C3445" t="str">
            <v>NUTRIBOM SORVETES EILRELI ME</v>
          </cell>
          <cell r="D3445" t="str">
            <v>6001</v>
          </cell>
          <cell r="E3445" t="str">
            <v>0028</v>
          </cell>
          <cell r="F3445" t="str">
            <v>C1</v>
          </cell>
          <cell r="G3445" t="str">
            <v>RJ</v>
          </cell>
        </row>
        <row r="3446">
          <cell r="B3446">
            <v>5171558</v>
          </cell>
          <cell r="C3446" t="str">
            <v>CASCA E BOLA SORVETERIA LTDA</v>
          </cell>
          <cell r="D3446" t="str">
            <v>6001</v>
          </cell>
          <cell r="E3446" t="str">
            <v>0169</v>
          </cell>
          <cell r="F3446" t="str">
            <v>C1</v>
          </cell>
          <cell r="G3446" t="str">
            <v>RJ</v>
          </cell>
        </row>
        <row r="3447">
          <cell r="B3447">
            <v>5172699</v>
          </cell>
          <cell r="C3447" t="str">
            <v>ATOS PAN COM DE PROD ALIM EIRELI</v>
          </cell>
          <cell r="D3447" t="str">
            <v>6001</v>
          </cell>
          <cell r="E3447" t="str">
            <v>0125</v>
          </cell>
          <cell r="F3447" t="str">
            <v>C1</v>
          </cell>
          <cell r="G3447" t="str">
            <v>SP</v>
          </cell>
        </row>
        <row r="3448">
          <cell r="B3448">
            <v>5174259</v>
          </cell>
          <cell r="C3448" t="str">
            <v>MIX TUDO COMERCIO E SERVICOS EI</v>
          </cell>
          <cell r="D3448" t="str">
            <v>6001</v>
          </cell>
          <cell r="E3448" t="str">
            <v>0169</v>
          </cell>
          <cell r="F3448" t="str">
            <v>C1</v>
          </cell>
          <cell r="G3448" t="str">
            <v>ES</v>
          </cell>
        </row>
        <row r="3449">
          <cell r="B3449">
            <v>5174274</v>
          </cell>
          <cell r="C3449" t="str">
            <v>PIMENTA VERDE ALIMENTOS LTDA</v>
          </cell>
          <cell r="D3449" t="str">
            <v>6001</v>
          </cell>
          <cell r="E3449" t="str">
            <v>0125</v>
          </cell>
          <cell r="F3449" t="str">
            <v>C1</v>
          </cell>
          <cell r="G3449" t="str">
            <v>SP</v>
          </cell>
        </row>
        <row r="3450">
          <cell r="B3450">
            <v>5174977</v>
          </cell>
          <cell r="C3450" t="str">
            <v>MARTINS DA COSTA E CIA LTDA</v>
          </cell>
          <cell r="D3450" t="str">
            <v>6001</v>
          </cell>
          <cell r="E3450" t="str">
            <v>0125</v>
          </cell>
          <cell r="F3450" t="str">
            <v>C1</v>
          </cell>
          <cell r="G3450" t="str">
            <v>SP</v>
          </cell>
        </row>
        <row r="3451">
          <cell r="B3451">
            <v>5175205</v>
          </cell>
          <cell r="C3451" t="str">
            <v>CANELA VERDE DIST E TRANSP LTDA ME</v>
          </cell>
          <cell r="D3451" t="str">
            <v>6001</v>
          </cell>
          <cell r="E3451" t="str">
            <v>0169</v>
          </cell>
          <cell r="F3451" t="str">
            <v>C1</v>
          </cell>
          <cell r="G3451" t="str">
            <v>ES</v>
          </cell>
        </row>
        <row r="3452">
          <cell r="B3452">
            <v>5175227</v>
          </cell>
          <cell r="C3452" t="str">
            <v>MASSIMA SOLUCOES EM ALIMENTACAO</v>
          </cell>
          <cell r="D3452" t="str">
            <v>6001</v>
          </cell>
          <cell r="E3452" t="str">
            <v>0125</v>
          </cell>
          <cell r="F3452" t="str">
            <v>C1</v>
          </cell>
          <cell r="G3452" t="str">
            <v>SP</v>
          </cell>
        </row>
        <row r="3453">
          <cell r="B3453">
            <v>5176053</v>
          </cell>
          <cell r="C3453" t="str">
            <v>BAKELS BRASIL INGREDIENT PARA P</v>
          </cell>
          <cell r="D3453" t="str">
            <v>6001</v>
          </cell>
          <cell r="E3453" t="str">
            <v>0125</v>
          </cell>
          <cell r="F3453" t="str">
            <v>C1</v>
          </cell>
          <cell r="G3453" t="str">
            <v>SP</v>
          </cell>
        </row>
        <row r="3454">
          <cell r="B3454">
            <v>5176952</v>
          </cell>
          <cell r="C3454" t="str">
            <v>CLUBE DO CONFEITEIRO LTDA</v>
          </cell>
          <cell r="D3454" t="str">
            <v>6001</v>
          </cell>
          <cell r="E3454" t="str">
            <v>0125</v>
          </cell>
          <cell r="F3454" t="str">
            <v>C1</v>
          </cell>
          <cell r="G3454" t="str">
            <v>SP</v>
          </cell>
        </row>
        <row r="3455">
          <cell r="B3455">
            <v>5177629</v>
          </cell>
          <cell r="C3455" t="str">
            <v>BFS DISTRIB DE PRODUT ALIMENTIC</v>
          </cell>
          <cell r="D3455" t="str">
            <v>6001</v>
          </cell>
          <cell r="E3455" t="str">
            <v>0127</v>
          </cell>
          <cell r="F3455" t="str">
            <v>C1</v>
          </cell>
          <cell r="G3455" t="str">
            <v>BA</v>
          </cell>
        </row>
        <row r="3456">
          <cell r="B3456">
            <v>5178518</v>
          </cell>
          <cell r="C3456" t="str">
            <v>NECHIO COMERCIO DISTRIB DE ALIMENT</v>
          </cell>
          <cell r="D3456" t="str">
            <v>6001</v>
          </cell>
          <cell r="E3456" t="str">
            <v>0169</v>
          </cell>
          <cell r="F3456" t="str">
            <v>C1</v>
          </cell>
          <cell r="G3456" t="str">
            <v>RJ</v>
          </cell>
        </row>
        <row r="3457">
          <cell r="B3457">
            <v>5179610</v>
          </cell>
          <cell r="C3457" t="str">
            <v>GP EMBALAGENS EIRELI EPP</v>
          </cell>
          <cell r="D3457" t="str">
            <v>6001</v>
          </cell>
          <cell r="E3457" t="str">
            <v>0123</v>
          </cell>
          <cell r="F3457" t="str">
            <v>C1</v>
          </cell>
          <cell r="G3457" t="str">
            <v>MS</v>
          </cell>
        </row>
        <row r="3458">
          <cell r="B3458">
            <v>5181722</v>
          </cell>
          <cell r="C3458" t="str">
            <v>CINDERELA SORVETES LTDA ME</v>
          </cell>
          <cell r="D3458" t="str">
            <v>6001</v>
          </cell>
          <cell r="E3458" t="str">
            <v>0028</v>
          </cell>
          <cell r="F3458" t="str">
            <v>C1</v>
          </cell>
          <cell r="G3458" t="str">
            <v>ES</v>
          </cell>
        </row>
        <row r="3459">
          <cell r="B3459">
            <v>5182195</v>
          </cell>
          <cell r="C3459" t="str">
            <v>VR BUZIM COMERCIO PROD ALIMENTICIOS</v>
          </cell>
          <cell r="D3459" t="str">
            <v>6001</v>
          </cell>
          <cell r="E3459" t="str">
            <v>0169</v>
          </cell>
          <cell r="F3459" t="str">
            <v>C1</v>
          </cell>
          <cell r="G3459" t="str">
            <v>ES</v>
          </cell>
        </row>
        <row r="3460">
          <cell r="B3460">
            <v>5182318</v>
          </cell>
          <cell r="C3460" t="str">
            <v>MARQUISE EMPREENDIMENTOS SA</v>
          </cell>
          <cell r="D3460" t="str">
            <v>6001</v>
          </cell>
          <cell r="E3460" t="str">
            <v>0127</v>
          </cell>
          <cell r="F3460" t="str">
            <v>C1</v>
          </cell>
          <cell r="G3460" t="str">
            <v>CE</v>
          </cell>
        </row>
        <row r="3461">
          <cell r="B3461">
            <v>5182435</v>
          </cell>
          <cell r="C3461" t="str">
            <v>NOVAMIX FOOD SERVICE COM DE ALIM LT</v>
          </cell>
          <cell r="D3461" t="str">
            <v>6001</v>
          </cell>
          <cell r="E3461" t="str">
            <v>0169</v>
          </cell>
          <cell r="F3461" t="str">
            <v>C1</v>
          </cell>
          <cell r="G3461" t="str">
            <v>RJ</v>
          </cell>
        </row>
        <row r="3462">
          <cell r="B3462">
            <v>5182512</v>
          </cell>
          <cell r="C3462" t="str">
            <v>DOCA COMERCIO DE PROD ALIM LTDA</v>
          </cell>
          <cell r="D3462" t="str">
            <v>6001</v>
          </cell>
          <cell r="E3462" t="str">
            <v>0127</v>
          </cell>
          <cell r="F3462" t="str">
            <v>C1</v>
          </cell>
          <cell r="G3462" t="str">
            <v>CE</v>
          </cell>
        </row>
        <row r="3463">
          <cell r="B3463">
            <v>5182718</v>
          </cell>
          <cell r="C3463" t="str">
            <v>BARAO DO ACAI COMERCIAL LTDA ME</v>
          </cell>
          <cell r="D3463" t="str">
            <v>6001</v>
          </cell>
          <cell r="E3463" t="str">
            <v>0122</v>
          </cell>
          <cell r="F3463" t="str">
            <v>C1</v>
          </cell>
          <cell r="G3463" t="str">
            <v>ES</v>
          </cell>
        </row>
        <row r="3464">
          <cell r="B3464">
            <v>5182903</v>
          </cell>
          <cell r="C3464" t="str">
            <v>CERVINO E MARTINEZ LTDA</v>
          </cell>
          <cell r="D3464" t="str">
            <v>6001</v>
          </cell>
          <cell r="E3464" t="str">
            <v>0127</v>
          </cell>
          <cell r="F3464" t="str">
            <v>C1</v>
          </cell>
          <cell r="G3464" t="str">
            <v>BA</v>
          </cell>
        </row>
        <row r="3465">
          <cell r="B3465">
            <v>5184715</v>
          </cell>
          <cell r="C3465" t="str">
            <v>CARLOS GEOVANE ALMEIDA DE PAULA LTDA</v>
          </cell>
          <cell r="D3465" t="str">
            <v>6001</v>
          </cell>
          <cell r="E3465" t="str">
            <v>0028</v>
          </cell>
          <cell r="F3465" t="str">
            <v>C1</v>
          </cell>
          <cell r="G3465" t="str">
            <v>MS</v>
          </cell>
        </row>
        <row r="3466">
          <cell r="B3466">
            <v>5184851</v>
          </cell>
          <cell r="C3466" t="str">
            <v>ALLPAN COM DE PROD ALIMENTICIOS</v>
          </cell>
          <cell r="D3466" t="str">
            <v>6001</v>
          </cell>
          <cell r="E3466" t="str">
            <v>0125</v>
          </cell>
          <cell r="F3466" t="str">
            <v>C1</v>
          </cell>
          <cell r="G3466" t="str">
            <v>SP</v>
          </cell>
        </row>
        <row r="3467">
          <cell r="B3467">
            <v>5184917</v>
          </cell>
          <cell r="C3467" t="str">
            <v>BARONIN IND E COM DE SORVETES LTDA</v>
          </cell>
          <cell r="D3467" t="str">
            <v>6001</v>
          </cell>
          <cell r="E3467" t="str">
            <v>0028</v>
          </cell>
          <cell r="F3467" t="str">
            <v>C1</v>
          </cell>
          <cell r="G3467" t="str">
            <v>SP</v>
          </cell>
        </row>
        <row r="3468">
          <cell r="B3468">
            <v>5185042</v>
          </cell>
          <cell r="C3468" t="str">
            <v>GA INDUSTRIA E COMERCIO DE ALIMENTO</v>
          </cell>
          <cell r="D3468" t="str">
            <v>6001</v>
          </cell>
          <cell r="E3468" t="str">
            <v>0127</v>
          </cell>
          <cell r="F3468" t="str">
            <v>C1</v>
          </cell>
          <cell r="G3468" t="str">
            <v>BA</v>
          </cell>
        </row>
        <row r="3469">
          <cell r="B3469">
            <v>5185642</v>
          </cell>
          <cell r="C3469" t="str">
            <v>CASA DO PADEIRO COM DE PROD ALIM LT</v>
          </cell>
          <cell r="D3469" t="str">
            <v>6001</v>
          </cell>
          <cell r="E3469" t="str">
            <v>0125</v>
          </cell>
          <cell r="F3469" t="str">
            <v>C1</v>
          </cell>
          <cell r="G3469" t="str">
            <v>SP</v>
          </cell>
        </row>
        <row r="3470">
          <cell r="B3470">
            <v>5186251</v>
          </cell>
          <cell r="C3470" t="str">
            <v>GABRIELA MACHADO MATOS</v>
          </cell>
          <cell r="D3470" t="str">
            <v>6001</v>
          </cell>
          <cell r="E3470" t="str">
            <v>0028</v>
          </cell>
          <cell r="F3470" t="str">
            <v>C1</v>
          </cell>
          <cell r="G3470" t="str">
            <v>MS</v>
          </cell>
        </row>
        <row r="3471">
          <cell r="B3471">
            <v>5188800</v>
          </cell>
          <cell r="C3471" t="str">
            <v>DIEGO CESAR GOMES DA SILVA</v>
          </cell>
          <cell r="D3471" t="str">
            <v>6001</v>
          </cell>
          <cell r="E3471" t="str">
            <v>0125</v>
          </cell>
          <cell r="F3471" t="str">
            <v>C1</v>
          </cell>
          <cell r="G3471" t="str">
            <v>SP</v>
          </cell>
        </row>
        <row r="3472">
          <cell r="B3472">
            <v>5191490</v>
          </cell>
          <cell r="C3472" t="str">
            <v>G S LIMA ALIMENTOS</v>
          </cell>
          <cell r="D3472" t="str">
            <v>6001</v>
          </cell>
          <cell r="E3472" t="str">
            <v>0127</v>
          </cell>
          <cell r="F3472" t="str">
            <v>C1</v>
          </cell>
          <cell r="G3472" t="str">
            <v>CE</v>
          </cell>
        </row>
        <row r="3473">
          <cell r="B3473">
            <v>5192611</v>
          </cell>
          <cell r="C3473" t="str">
            <v>VALENTE E CASTRO DIST DE ALIMENTOS</v>
          </cell>
          <cell r="D3473" t="str">
            <v>6001</v>
          </cell>
          <cell r="E3473" t="str">
            <v>0169</v>
          </cell>
          <cell r="F3473" t="str">
            <v>C1</v>
          </cell>
          <cell r="G3473" t="str">
            <v>RJ</v>
          </cell>
        </row>
        <row r="3474">
          <cell r="B3474">
            <v>5192822</v>
          </cell>
          <cell r="C3474" t="str">
            <v>T T F ALIMENTOS SOROCABA LTDA</v>
          </cell>
          <cell r="D3474" t="str">
            <v>6001</v>
          </cell>
          <cell r="E3474" t="str">
            <v>0125</v>
          </cell>
          <cell r="F3474" t="str">
            <v>C1</v>
          </cell>
          <cell r="G3474" t="str">
            <v>SP</v>
          </cell>
        </row>
        <row r="3475">
          <cell r="B3475">
            <v>5194018</v>
          </cell>
          <cell r="C3475" t="str">
            <v>GURIRI EMBALAGENS LTDA ME</v>
          </cell>
          <cell r="D3475" t="str">
            <v>6001</v>
          </cell>
          <cell r="E3475" t="str">
            <v>0169</v>
          </cell>
          <cell r="F3475" t="str">
            <v>C1</v>
          </cell>
          <cell r="G3475" t="str">
            <v>ES</v>
          </cell>
        </row>
        <row r="3476">
          <cell r="B3476">
            <v>5194319</v>
          </cell>
          <cell r="C3476" t="str">
            <v>PIMENTA VERDE ALIMENTOS LTDA</v>
          </cell>
          <cell r="D3476" t="str">
            <v>6001</v>
          </cell>
          <cell r="E3476" t="str">
            <v>0125</v>
          </cell>
          <cell r="F3476" t="str">
            <v>C1</v>
          </cell>
          <cell r="G3476" t="str">
            <v>SP</v>
          </cell>
        </row>
        <row r="3477">
          <cell r="B3477">
            <v>5194510</v>
          </cell>
          <cell r="C3477" t="str">
            <v>ALEGRO ALIMENTOS LTDA</v>
          </cell>
          <cell r="D3477" t="str">
            <v>6001</v>
          </cell>
          <cell r="E3477" t="str">
            <v>0127</v>
          </cell>
          <cell r="F3477" t="str">
            <v>C1</v>
          </cell>
          <cell r="G3477" t="str">
            <v>BA</v>
          </cell>
        </row>
        <row r="3478">
          <cell r="B3478">
            <v>5194644</v>
          </cell>
          <cell r="C3478" t="str">
            <v>L F S COM E IMP DE ALIM LTDA</v>
          </cell>
          <cell r="D3478" t="str">
            <v>6001</v>
          </cell>
          <cell r="E3478" t="str">
            <v>0127</v>
          </cell>
          <cell r="F3478" t="str">
            <v>C1</v>
          </cell>
          <cell r="G3478" t="str">
            <v>CE</v>
          </cell>
        </row>
        <row r="3479">
          <cell r="B3479">
            <v>5195605</v>
          </cell>
          <cell r="C3479" t="str">
            <v>PLANETA DOCES E ALIMENTICIOS EIRELI</v>
          </cell>
          <cell r="D3479" t="str">
            <v>6001</v>
          </cell>
          <cell r="E3479" t="str">
            <v>0125</v>
          </cell>
          <cell r="F3479" t="str">
            <v>C1</v>
          </cell>
          <cell r="G3479" t="str">
            <v>SP</v>
          </cell>
        </row>
        <row r="3480">
          <cell r="B3480">
            <v>5196867</v>
          </cell>
          <cell r="C3480" t="str">
            <v>DEPOSITO DE DOCES MALU LTDA</v>
          </cell>
          <cell r="D3480" t="str">
            <v>6001</v>
          </cell>
          <cell r="E3480" t="str">
            <v>0125</v>
          </cell>
          <cell r="F3480" t="str">
            <v>C1</v>
          </cell>
          <cell r="G3480" t="str">
            <v>SP</v>
          </cell>
        </row>
        <row r="3481">
          <cell r="B3481">
            <v>5196998</v>
          </cell>
          <cell r="C3481" t="str">
            <v>CROISSANT IND E COM DE SALGADOS LTD</v>
          </cell>
          <cell r="D3481" t="str">
            <v>6001</v>
          </cell>
          <cell r="E3481" t="str">
            <v>0125</v>
          </cell>
          <cell r="F3481" t="str">
            <v>C1</v>
          </cell>
          <cell r="G3481" t="str">
            <v>SP</v>
          </cell>
        </row>
        <row r="3482">
          <cell r="B3482">
            <v>5198698</v>
          </cell>
          <cell r="C3482" t="str">
            <v>PANDURATA ALIMENTOS LTDA</v>
          </cell>
          <cell r="D3482" t="str">
            <v>6001</v>
          </cell>
          <cell r="E3482" t="str">
            <v>0028</v>
          </cell>
          <cell r="F3482" t="str">
            <v>C1</v>
          </cell>
          <cell r="G3482" t="str">
            <v>SP</v>
          </cell>
        </row>
        <row r="3483">
          <cell r="B3483">
            <v>5200068</v>
          </cell>
          <cell r="C3483" t="str">
            <v>GULA COM DE REF E BEB LTDA</v>
          </cell>
          <cell r="D3483" t="str">
            <v>6001</v>
          </cell>
          <cell r="E3483" t="str">
            <v>0127</v>
          </cell>
          <cell r="F3483" t="str">
            <v>C1</v>
          </cell>
          <cell r="G3483" t="str">
            <v>CE</v>
          </cell>
        </row>
        <row r="3484">
          <cell r="B3484">
            <v>5200125</v>
          </cell>
          <cell r="C3484" t="str">
            <v>DOCA COM DE EMB LTDA</v>
          </cell>
          <cell r="D3484" t="str">
            <v>6001</v>
          </cell>
          <cell r="E3484" t="str">
            <v>0127</v>
          </cell>
          <cell r="F3484" t="str">
            <v>C1</v>
          </cell>
          <cell r="G3484" t="str">
            <v>CE</v>
          </cell>
        </row>
        <row r="3485">
          <cell r="B3485">
            <v>5201973</v>
          </cell>
          <cell r="C3485" t="str">
            <v>HARUS COM VAREJ DE COSM LTDA</v>
          </cell>
          <cell r="D3485" t="str">
            <v>6001</v>
          </cell>
          <cell r="E3485" t="str">
            <v>0127</v>
          </cell>
          <cell r="F3485" t="str">
            <v>C1</v>
          </cell>
          <cell r="G3485" t="str">
            <v>CE</v>
          </cell>
        </row>
        <row r="3486">
          <cell r="B3486">
            <v>5204180</v>
          </cell>
          <cell r="C3486" t="str">
            <v>E E MODOLO ME</v>
          </cell>
          <cell r="D3486" t="str">
            <v>6001</v>
          </cell>
          <cell r="E3486" t="str">
            <v>0169</v>
          </cell>
          <cell r="F3486" t="str">
            <v>C1</v>
          </cell>
          <cell r="G3486" t="str">
            <v>ES</v>
          </cell>
        </row>
        <row r="3487">
          <cell r="B3487">
            <v>5204235</v>
          </cell>
          <cell r="C3487" t="str">
            <v>NUTRIALIMENTAR INDUSTRIA LTDA</v>
          </cell>
          <cell r="D3487" t="str">
            <v>6001</v>
          </cell>
          <cell r="E3487" t="str">
            <v>0028</v>
          </cell>
          <cell r="F3487" t="str">
            <v>C1</v>
          </cell>
          <cell r="G3487" t="str">
            <v>SP</v>
          </cell>
        </row>
        <row r="3488">
          <cell r="B3488">
            <v>5206787</v>
          </cell>
          <cell r="C3488" t="str">
            <v>CS FABRICACAO DE ALIMENTOS</v>
          </cell>
          <cell r="D3488" t="str">
            <v>6001</v>
          </cell>
          <cell r="E3488" t="str">
            <v>0125</v>
          </cell>
          <cell r="F3488" t="str">
            <v>C1</v>
          </cell>
          <cell r="G3488" t="str">
            <v>SP</v>
          </cell>
        </row>
        <row r="3489">
          <cell r="B3489">
            <v>5207394</v>
          </cell>
          <cell r="C3489" t="str">
            <v>NEWREST BRASIL S A AO T AEREO LTDA</v>
          </cell>
          <cell r="D3489" t="str">
            <v>6001</v>
          </cell>
          <cell r="E3489" t="str">
            <v>0169</v>
          </cell>
          <cell r="F3489" t="str">
            <v>C1</v>
          </cell>
          <cell r="G3489" t="str">
            <v>RJ</v>
          </cell>
        </row>
        <row r="3490">
          <cell r="B3490">
            <v>5208028</v>
          </cell>
          <cell r="C3490" t="str">
            <v>MISTUREX COMERCIO ATACA DE ALIMENT</v>
          </cell>
          <cell r="D3490" t="str">
            <v>6001</v>
          </cell>
          <cell r="E3490" t="str">
            <v>0169</v>
          </cell>
          <cell r="F3490" t="str">
            <v>C1</v>
          </cell>
          <cell r="G3490" t="str">
            <v>ES</v>
          </cell>
        </row>
        <row r="3491">
          <cell r="B3491">
            <v>5209002</v>
          </cell>
          <cell r="C3491" t="str">
            <v>DOCA COME DE PROD ALIMEN LTDA</v>
          </cell>
          <cell r="D3491" t="str">
            <v>6001</v>
          </cell>
          <cell r="E3491" t="str">
            <v>0127</v>
          </cell>
          <cell r="F3491" t="str">
            <v>C1</v>
          </cell>
          <cell r="G3491" t="str">
            <v>CE</v>
          </cell>
        </row>
        <row r="3492">
          <cell r="B3492">
            <v>5210640</v>
          </cell>
          <cell r="C3492" t="str">
            <v>SALT PIE INDUSTRIA COMERCIO</v>
          </cell>
          <cell r="D3492" t="str">
            <v>6001</v>
          </cell>
          <cell r="E3492" t="str">
            <v>0125</v>
          </cell>
          <cell r="F3492" t="str">
            <v>C1</v>
          </cell>
          <cell r="G3492" t="str">
            <v>SP</v>
          </cell>
        </row>
        <row r="3493">
          <cell r="B3493">
            <v>5211344</v>
          </cell>
          <cell r="C3493" t="str">
            <v>DISTRIB E IMPORT IRMAOS AVELINO</v>
          </cell>
          <cell r="D3493" t="str">
            <v>6001</v>
          </cell>
          <cell r="E3493" t="str">
            <v>0125</v>
          </cell>
          <cell r="F3493" t="str">
            <v>C1</v>
          </cell>
          <cell r="G3493" t="str">
            <v>SP</v>
          </cell>
        </row>
        <row r="3494">
          <cell r="B3494">
            <v>5213484</v>
          </cell>
          <cell r="C3494" t="str">
            <v>HAVANA COMERCIO DE BEBIDAS LTDA</v>
          </cell>
          <cell r="D3494" t="str">
            <v>6001</v>
          </cell>
          <cell r="E3494" t="str">
            <v>0125</v>
          </cell>
          <cell r="F3494" t="str">
            <v>C1</v>
          </cell>
          <cell r="G3494" t="str">
            <v>SP</v>
          </cell>
        </row>
        <row r="3495">
          <cell r="B3495">
            <v>5213905</v>
          </cell>
          <cell r="C3495" t="str">
            <v>COLORADO FESTAS LTDA</v>
          </cell>
          <cell r="D3495" t="str">
            <v>6001</v>
          </cell>
          <cell r="E3495" t="str">
            <v>0169</v>
          </cell>
          <cell r="F3495" t="str">
            <v>C1</v>
          </cell>
          <cell r="G3495" t="str">
            <v>ES</v>
          </cell>
        </row>
        <row r="3496">
          <cell r="B3496">
            <v>5214670</v>
          </cell>
          <cell r="C3496" t="str">
            <v>LORENZ COMERCIO E DIST DE ALIM LTDA</v>
          </cell>
          <cell r="D3496" t="str">
            <v>6001</v>
          </cell>
          <cell r="E3496" t="str">
            <v>0123</v>
          </cell>
          <cell r="F3496" t="str">
            <v>C1</v>
          </cell>
          <cell r="G3496" t="str">
            <v>MS</v>
          </cell>
        </row>
        <row r="3497">
          <cell r="B3497">
            <v>5217293</v>
          </cell>
          <cell r="C3497" t="str">
            <v>OESA COMERCIO E REPRESENTACOES SA</v>
          </cell>
          <cell r="D3497" t="str">
            <v>6001</v>
          </cell>
          <cell r="E3497" t="str">
            <v>0125</v>
          </cell>
          <cell r="F3497" t="str">
            <v>C1</v>
          </cell>
          <cell r="G3497" t="str">
            <v>SP</v>
          </cell>
        </row>
        <row r="3498">
          <cell r="B3498">
            <v>5219741</v>
          </cell>
          <cell r="C3498" t="str">
            <v>CASABLANCA CAFES LTDA</v>
          </cell>
          <cell r="D3498" t="str">
            <v>6001</v>
          </cell>
          <cell r="E3498" t="str">
            <v>0169</v>
          </cell>
          <cell r="F3498" t="str">
            <v>C1</v>
          </cell>
          <cell r="G3498" t="str">
            <v>ES</v>
          </cell>
        </row>
        <row r="3499">
          <cell r="B3499">
            <v>5220627</v>
          </cell>
          <cell r="C3499" t="str">
            <v>JME RAUTA COMERCIAL DISTRIBUIDORA</v>
          </cell>
          <cell r="D3499" t="str">
            <v>6001</v>
          </cell>
          <cell r="E3499" t="str">
            <v>0028</v>
          </cell>
          <cell r="F3499" t="str">
            <v>C1</v>
          </cell>
          <cell r="G3499" t="str">
            <v>RJ</v>
          </cell>
        </row>
        <row r="3500">
          <cell r="B3500">
            <v>5220998</v>
          </cell>
          <cell r="C3500" t="str">
            <v>GELADOM SORVETES LTDA</v>
          </cell>
          <cell r="D3500" t="str">
            <v>6001</v>
          </cell>
          <cell r="E3500" t="str">
            <v>0127</v>
          </cell>
          <cell r="F3500" t="str">
            <v>C1</v>
          </cell>
          <cell r="G3500" t="str">
            <v>BA</v>
          </cell>
        </row>
        <row r="3501">
          <cell r="B3501">
            <v>5221391</v>
          </cell>
          <cell r="C3501" t="str">
            <v>LEONARDO RODRIGO SILVA SANTOS M</v>
          </cell>
          <cell r="D3501" t="str">
            <v>6001</v>
          </cell>
          <cell r="E3501" t="str">
            <v>0169</v>
          </cell>
          <cell r="F3501" t="str">
            <v>C1</v>
          </cell>
          <cell r="G3501" t="str">
            <v>RJ</v>
          </cell>
        </row>
        <row r="3502">
          <cell r="B3502">
            <v>5223419</v>
          </cell>
          <cell r="C3502" t="str">
            <v>OESA COMERCIO E REPRESENTACOES</v>
          </cell>
          <cell r="D3502" t="str">
            <v>6001</v>
          </cell>
          <cell r="E3502" t="str">
            <v>0123</v>
          </cell>
          <cell r="F3502" t="str">
            <v>C1</v>
          </cell>
          <cell r="G3502" t="str">
            <v>DF</v>
          </cell>
        </row>
        <row r="3503">
          <cell r="B3503">
            <v>5223996</v>
          </cell>
          <cell r="C3503" t="str">
            <v>PLASTIC DISTRIBUIDORA LTDA</v>
          </cell>
          <cell r="D3503" t="str">
            <v>6001</v>
          </cell>
          <cell r="E3503" t="str">
            <v>0028</v>
          </cell>
          <cell r="F3503" t="str">
            <v>C1</v>
          </cell>
          <cell r="G3503" t="str">
            <v>ES</v>
          </cell>
        </row>
        <row r="3504">
          <cell r="B3504">
            <v>5224070</v>
          </cell>
          <cell r="C3504" t="str">
            <v>DISTRIBUIDORA JJ DE ALIMENTOS</v>
          </cell>
          <cell r="D3504" t="str">
            <v>6001</v>
          </cell>
          <cell r="E3504" t="str">
            <v>0127</v>
          </cell>
          <cell r="F3504" t="str">
            <v>C1</v>
          </cell>
          <cell r="G3504" t="str">
            <v>CE</v>
          </cell>
        </row>
        <row r="3505">
          <cell r="B3505">
            <v>5226499</v>
          </cell>
          <cell r="C3505" t="str">
            <v>NEWREST BR SERV AUX AO TRANS AEREO</v>
          </cell>
          <cell r="D3505" t="str">
            <v>6001</v>
          </cell>
          <cell r="E3505" t="str">
            <v>0125</v>
          </cell>
          <cell r="F3505" t="str">
            <v>C1</v>
          </cell>
          <cell r="G3505" t="str">
            <v>SP</v>
          </cell>
        </row>
        <row r="3506">
          <cell r="B3506">
            <v>5226500</v>
          </cell>
          <cell r="C3506" t="str">
            <v>GARRA COMERCIO ATACADISTA DE ALIM L</v>
          </cell>
          <cell r="D3506" t="str">
            <v>6001</v>
          </cell>
          <cell r="E3506" t="str">
            <v>0123</v>
          </cell>
          <cell r="F3506" t="str">
            <v>C1</v>
          </cell>
          <cell r="G3506" t="str">
            <v>DF</v>
          </cell>
        </row>
        <row r="3507">
          <cell r="B3507">
            <v>5226531</v>
          </cell>
          <cell r="C3507" t="str">
            <v>NOBREDO COMERCIO E LOGISTICA LTDA</v>
          </cell>
          <cell r="D3507" t="str">
            <v>6001</v>
          </cell>
          <cell r="E3507" t="str">
            <v>0169</v>
          </cell>
          <cell r="F3507" t="str">
            <v>C1</v>
          </cell>
          <cell r="G3507" t="str">
            <v>RJ</v>
          </cell>
        </row>
        <row r="3508">
          <cell r="B3508">
            <v>5226643</v>
          </cell>
          <cell r="C3508" t="str">
            <v>HOSPITAL MATER DEI SA</v>
          </cell>
          <cell r="D3508" t="str">
            <v>6001</v>
          </cell>
          <cell r="E3508" t="str">
            <v>0127</v>
          </cell>
          <cell r="F3508" t="str">
            <v>C1</v>
          </cell>
          <cell r="G3508" t="str">
            <v>BA</v>
          </cell>
        </row>
        <row r="3509">
          <cell r="B3509">
            <v>5226985</v>
          </cell>
          <cell r="C3509" t="str">
            <v>DISTRIBUIDORA E IMP IRMAOS AVELINO</v>
          </cell>
          <cell r="D3509" t="str">
            <v>6001</v>
          </cell>
          <cell r="E3509" t="str">
            <v>0125</v>
          </cell>
          <cell r="F3509" t="str">
            <v>C1</v>
          </cell>
          <cell r="G3509" t="str">
            <v>SP</v>
          </cell>
        </row>
        <row r="3510">
          <cell r="B3510">
            <v>5227156</v>
          </cell>
          <cell r="C3510" t="str">
            <v>GELARTE ACAI MIX IND E COM DE S LTD</v>
          </cell>
          <cell r="D3510" t="str">
            <v>6001</v>
          </cell>
          <cell r="E3510" t="str">
            <v>0028</v>
          </cell>
          <cell r="F3510" t="str">
            <v>C1</v>
          </cell>
          <cell r="G3510" t="str">
            <v>RJ</v>
          </cell>
        </row>
        <row r="3511">
          <cell r="B3511">
            <v>5227253</v>
          </cell>
          <cell r="C3511" t="str">
            <v>PLATLOG IMPORTACAO LOG DIST LTDA</v>
          </cell>
          <cell r="D3511" t="str">
            <v>6001</v>
          </cell>
          <cell r="E3511" t="str">
            <v>0125</v>
          </cell>
          <cell r="F3511" t="str">
            <v>C1</v>
          </cell>
          <cell r="G3511" t="str">
            <v>SP</v>
          </cell>
        </row>
        <row r="3512">
          <cell r="B3512">
            <v>5228827</v>
          </cell>
          <cell r="C3512" t="str">
            <v>FABRICA ACAI MAGNIFICO LTDA</v>
          </cell>
          <cell r="D3512" t="str">
            <v>6001</v>
          </cell>
          <cell r="E3512" t="str">
            <v>0125</v>
          </cell>
          <cell r="F3512" t="str">
            <v>C1</v>
          </cell>
          <cell r="G3512" t="str">
            <v>SP</v>
          </cell>
        </row>
        <row r="3513">
          <cell r="B3513">
            <v>5229130</v>
          </cell>
          <cell r="C3513" t="str">
            <v>PLATLOG IMPORTACAO LOGISTICA E DIST</v>
          </cell>
          <cell r="D3513" t="str">
            <v>6001</v>
          </cell>
          <cell r="E3513" t="str">
            <v>0125</v>
          </cell>
          <cell r="F3513" t="str">
            <v>C1</v>
          </cell>
          <cell r="G3513" t="str">
            <v>SP</v>
          </cell>
        </row>
        <row r="3514">
          <cell r="B3514">
            <v>5229510</v>
          </cell>
          <cell r="C3514" t="str">
            <v>DLVA DISTRIB DE PROD ALIMEN LTD</v>
          </cell>
          <cell r="D3514" t="str">
            <v>6001</v>
          </cell>
          <cell r="E3514" t="str">
            <v>0028</v>
          </cell>
          <cell r="F3514" t="str">
            <v>C1</v>
          </cell>
          <cell r="G3514" t="str">
            <v>SP</v>
          </cell>
        </row>
        <row r="3515">
          <cell r="B3515">
            <v>5229985</v>
          </cell>
          <cell r="C3515" t="str">
            <v>FRANCISCO C LIMA DISTRIB DE ALI</v>
          </cell>
          <cell r="D3515" t="str">
            <v>6001</v>
          </cell>
          <cell r="E3515" t="str">
            <v>0127</v>
          </cell>
          <cell r="F3515" t="str">
            <v>C1</v>
          </cell>
          <cell r="G3515" t="str">
            <v>CE</v>
          </cell>
        </row>
        <row r="3516">
          <cell r="B3516">
            <v>5230141</v>
          </cell>
          <cell r="C3516" t="str">
            <v>DADALTO E SILVA LTDA</v>
          </cell>
          <cell r="D3516" t="str">
            <v>6001</v>
          </cell>
          <cell r="E3516" t="str">
            <v>0169</v>
          </cell>
          <cell r="F3516" t="str">
            <v>C1</v>
          </cell>
          <cell r="G3516" t="str">
            <v>ES</v>
          </cell>
        </row>
        <row r="3517">
          <cell r="B3517">
            <v>5231303</v>
          </cell>
          <cell r="C3517" t="str">
            <v>SUPER VINHOS DISTRIBUIDORA S A</v>
          </cell>
          <cell r="D3517" t="str">
            <v>6001</v>
          </cell>
          <cell r="E3517" t="str">
            <v>0169</v>
          </cell>
          <cell r="F3517" t="str">
            <v>C1</v>
          </cell>
          <cell r="G3517" t="str">
            <v>RJ</v>
          </cell>
        </row>
        <row r="3518">
          <cell r="B3518">
            <v>5232460</v>
          </cell>
          <cell r="C3518" t="str">
            <v>GELATO LUCE COMERCIO LTDA</v>
          </cell>
          <cell r="D3518" t="str">
            <v>6001</v>
          </cell>
          <cell r="E3518" t="str">
            <v>0127</v>
          </cell>
          <cell r="F3518" t="str">
            <v>C1</v>
          </cell>
          <cell r="G3518" t="str">
            <v>BA</v>
          </cell>
        </row>
        <row r="3519">
          <cell r="B3519">
            <v>5233833</v>
          </cell>
          <cell r="C3519" t="str">
            <v>CBAF COMERCIO DE ALIMENTOS LTDA</v>
          </cell>
          <cell r="D3519" t="str">
            <v>6001</v>
          </cell>
          <cell r="E3519" t="str">
            <v>0125</v>
          </cell>
          <cell r="F3519" t="str">
            <v>C1</v>
          </cell>
          <cell r="G3519" t="str">
            <v>SP</v>
          </cell>
        </row>
        <row r="3520">
          <cell r="B3520">
            <v>5255804</v>
          </cell>
          <cell r="C3520" t="str">
            <v>COMFRIO FOOD SERVICE LTDA</v>
          </cell>
          <cell r="D3520" t="str">
            <v>6001</v>
          </cell>
          <cell r="E3520" t="str">
            <v>0125</v>
          </cell>
          <cell r="F3520" t="str">
            <v>C1</v>
          </cell>
          <cell r="G3520" t="str">
            <v>SP</v>
          </cell>
        </row>
        <row r="3521">
          <cell r="B3521">
            <v>5256539</v>
          </cell>
          <cell r="C3521" t="str">
            <v>MAGAZZINO DIST DE ALIMENTOS LTD</v>
          </cell>
          <cell r="D3521" t="str">
            <v>6001</v>
          </cell>
          <cell r="E3521" t="str">
            <v>0169</v>
          </cell>
          <cell r="F3521" t="str">
            <v>C1</v>
          </cell>
          <cell r="G3521" t="str">
            <v>RJ</v>
          </cell>
        </row>
        <row r="3522">
          <cell r="B3522">
            <v>5259915</v>
          </cell>
          <cell r="C3522" t="str">
            <v>PAMA COM DE GENEROS ALIMENTICIOS LT</v>
          </cell>
          <cell r="D3522" t="str">
            <v>6001</v>
          </cell>
          <cell r="E3522" t="str">
            <v>0125</v>
          </cell>
          <cell r="F3522" t="str">
            <v>C1</v>
          </cell>
          <cell r="G3522" t="str">
            <v>SP</v>
          </cell>
        </row>
        <row r="3523">
          <cell r="B3523">
            <v>5261089</v>
          </cell>
          <cell r="C3523" t="str">
            <v>INTERFRIOS COM FRIOS LATCINIOS</v>
          </cell>
          <cell r="D3523" t="str">
            <v>6001</v>
          </cell>
          <cell r="E3523" t="str">
            <v>0125</v>
          </cell>
          <cell r="F3523" t="str">
            <v>C1</v>
          </cell>
          <cell r="G3523" t="str">
            <v>SP</v>
          </cell>
        </row>
        <row r="3524">
          <cell r="B3524">
            <v>5266097</v>
          </cell>
          <cell r="C3524" t="str">
            <v>CAPITAL DAS CESTAS LTDA</v>
          </cell>
          <cell r="D3524" t="str">
            <v>7001</v>
          </cell>
          <cell r="E3524" t="str">
            <v>0749</v>
          </cell>
          <cell r="F3524" t="str">
            <v>C5</v>
          </cell>
          <cell r="G3524" t="str">
            <v>SP</v>
          </cell>
        </row>
        <row r="3525">
          <cell r="B3525">
            <v>5271447</v>
          </cell>
          <cell r="C3525" t="str">
            <v>NOBREDO COMERCIO E LOGISTICA LT</v>
          </cell>
          <cell r="D3525" t="str">
            <v>6001</v>
          </cell>
          <cell r="E3525" t="str">
            <v>0169</v>
          </cell>
          <cell r="F3525" t="str">
            <v>C1</v>
          </cell>
          <cell r="G3525" t="str">
            <v>ES</v>
          </cell>
        </row>
        <row r="3526">
          <cell r="B3526">
            <v>5272524</v>
          </cell>
          <cell r="C3526" t="str">
            <v>ANDRE REGIANI</v>
          </cell>
          <cell r="D3526" t="str">
            <v>6001</v>
          </cell>
          <cell r="E3526" t="str">
            <v>0125</v>
          </cell>
          <cell r="F3526" t="str">
            <v>C1</v>
          </cell>
          <cell r="G3526" t="str">
            <v>SP</v>
          </cell>
        </row>
        <row r="3527">
          <cell r="B3527">
            <v>5307722</v>
          </cell>
          <cell r="C3527" t="str">
            <v>SELECTO CACAU IND E COM PR ALIM</v>
          </cell>
          <cell r="D3527" t="str">
            <v>6001</v>
          </cell>
          <cell r="E3527" t="str">
            <v>0125</v>
          </cell>
          <cell r="F3527" t="str">
            <v>C1</v>
          </cell>
          <cell r="G3527" t="str">
            <v>SP</v>
          </cell>
        </row>
        <row r="3528">
          <cell r="B3528">
            <v>5310560</v>
          </cell>
          <cell r="C3528" t="str">
            <v>ARTPAN COMERCIO DE ALIMENTOS LTDA</v>
          </cell>
          <cell r="D3528" t="str">
            <v>6001</v>
          </cell>
          <cell r="E3528" t="str">
            <v>0123</v>
          </cell>
          <cell r="F3528" t="str">
            <v>C1</v>
          </cell>
          <cell r="G3528" t="str">
            <v>MS</v>
          </cell>
        </row>
        <row r="3529">
          <cell r="B3529">
            <v>5313456</v>
          </cell>
          <cell r="C3529" t="str">
            <v>PORTEFRIO DISTRIBUIDORA DE GENEROS</v>
          </cell>
          <cell r="D3529" t="str">
            <v>6001</v>
          </cell>
          <cell r="E3529" t="str">
            <v>0169</v>
          </cell>
          <cell r="F3529" t="str">
            <v>C1</v>
          </cell>
          <cell r="G3529" t="str">
            <v>RJ</v>
          </cell>
        </row>
        <row r="3530">
          <cell r="B3530">
            <v>5315925</v>
          </cell>
          <cell r="C3530" t="str">
            <v>CB VITORIA COMERCIO DE ALIMENTO</v>
          </cell>
          <cell r="D3530" t="str">
            <v>6001</v>
          </cell>
          <cell r="E3530" t="str">
            <v>0169</v>
          </cell>
          <cell r="F3530" t="str">
            <v>C1</v>
          </cell>
          <cell r="G3530" t="str">
            <v>ES</v>
          </cell>
        </row>
        <row r="3531">
          <cell r="B3531">
            <v>5316223</v>
          </cell>
          <cell r="C3531" t="str">
            <v>DM MERCADO LTDA</v>
          </cell>
          <cell r="D3531" t="str">
            <v>6001</v>
          </cell>
          <cell r="E3531" t="str">
            <v>0125</v>
          </cell>
          <cell r="F3531" t="str">
            <v>C1</v>
          </cell>
          <cell r="G3531" t="str">
            <v>SP</v>
          </cell>
        </row>
        <row r="3532">
          <cell r="B3532">
            <v>5317846</v>
          </cell>
          <cell r="C3532" t="str">
            <v>ACAI GRUMARI AVARE LTDA</v>
          </cell>
          <cell r="D3532" t="str">
            <v>6001</v>
          </cell>
          <cell r="E3532" t="str">
            <v>0028</v>
          </cell>
          <cell r="F3532" t="str">
            <v>C1</v>
          </cell>
          <cell r="G3532" t="str">
            <v>RJ</v>
          </cell>
        </row>
        <row r="3533">
          <cell r="B3533">
            <v>5320070</v>
          </cell>
          <cell r="C3533" t="str">
            <v>MON CHOU COM IMPORTACAO E EXPOR</v>
          </cell>
          <cell r="D3533" t="str">
            <v>6001</v>
          </cell>
          <cell r="E3533" t="str">
            <v>0169</v>
          </cell>
          <cell r="F3533" t="str">
            <v>C1</v>
          </cell>
          <cell r="G3533" t="str">
            <v>RJ</v>
          </cell>
        </row>
        <row r="3534">
          <cell r="B3534">
            <v>5324461</v>
          </cell>
          <cell r="C3534" t="str">
            <v>RODOLUKI COMERCIO LOGISTICA</v>
          </cell>
          <cell r="D3534" t="str">
            <v>6001</v>
          </cell>
          <cell r="E3534" t="str">
            <v>0125</v>
          </cell>
          <cell r="F3534" t="str">
            <v>C1</v>
          </cell>
          <cell r="G3534" t="str">
            <v>SP</v>
          </cell>
        </row>
        <row r="3535">
          <cell r="B3535">
            <v>5330552</v>
          </cell>
          <cell r="C3535" t="str">
            <v>ML FLAVORS COMERCIO</v>
          </cell>
          <cell r="D3535" t="str">
            <v>6001</v>
          </cell>
          <cell r="E3535" t="str">
            <v>0127</v>
          </cell>
          <cell r="F3535" t="str">
            <v>C1</v>
          </cell>
          <cell r="G3535" t="str">
            <v>BA</v>
          </cell>
        </row>
        <row r="3536">
          <cell r="B3536">
            <v>5335635</v>
          </cell>
          <cell r="C3536" t="str">
            <v>SUSANA SALES SIQUEIRA 159179698</v>
          </cell>
          <cell r="D3536" t="str">
            <v>6001</v>
          </cell>
          <cell r="E3536" t="str">
            <v>0028</v>
          </cell>
          <cell r="F3536" t="str">
            <v>C1</v>
          </cell>
          <cell r="G3536" t="str">
            <v>BA</v>
          </cell>
        </row>
        <row r="3537">
          <cell r="B3537">
            <v>5336828</v>
          </cell>
          <cell r="C3537" t="str">
            <v>MILANO COMERCIO VAREJISTA DE ALIM SA</v>
          </cell>
          <cell r="D3537" t="str">
            <v>6001</v>
          </cell>
          <cell r="E3537" t="str">
            <v>0125</v>
          </cell>
          <cell r="F3537" t="str">
            <v>C1</v>
          </cell>
          <cell r="G3537" t="str">
            <v>SP</v>
          </cell>
        </row>
        <row r="3538">
          <cell r="B3538">
            <v>5336831</v>
          </cell>
          <cell r="C3538" t="str">
            <v>COMERCIO VAREJISTA DE SORVETES</v>
          </cell>
          <cell r="D3538" t="str">
            <v>6001</v>
          </cell>
          <cell r="E3538" t="str">
            <v>0125</v>
          </cell>
          <cell r="F3538" t="str">
            <v>C1</v>
          </cell>
          <cell r="G3538" t="str">
            <v>SP</v>
          </cell>
        </row>
        <row r="3539">
          <cell r="B3539">
            <v>5336832</v>
          </cell>
          <cell r="C3539" t="str">
            <v>COLORADO COMERCIO DE SORVETES LTDA</v>
          </cell>
          <cell r="D3539" t="str">
            <v>6001</v>
          </cell>
          <cell r="E3539" t="str">
            <v>0125</v>
          </cell>
          <cell r="F3539" t="str">
            <v>C1</v>
          </cell>
          <cell r="G3539" t="str">
            <v>SP</v>
          </cell>
        </row>
        <row r="3540">
          <cell r="B3540">
            <v>5337138</v>
          </cell>
          <cell r="C3540" t="str">
            <v>VSG DISTRIBUIDORA LTDA</v>
          </cell>
          <cell r="D3540" t="str">
            <v>3001</v>
          </cell>
          <cell r="E3540" t="str">
            <v>0028</v>
          </cell>
          <cell r="F3540" t="str">
            <v>C1</v>
          </cell>
          <cell r="G3540" t="str">
            <v>PR</v>
          </cell>
        </row>
        <row r="3541">
          <cell r="B3541">
            <v>5338003</v>
          </cell>
          <cell r="C3541" t="str">
            <v>WGS COMERCIO DE PROD ALIMENTICI</v>
          </cell>
          <cell r="D3541" t="str">
            <v>6001</v>
          </cell>
          <cell r="E3541" t="str">
            <v>0127</v>
          </cell>
          <cell r="F3541" t="str">
            <v>C1</v>
          </cell>
          <cell r="G3541" t="str">
            <v>BA</v>
          </cell>
        </row>
        <row r="3542">
          <cell r="B3542">
            <v>5338214</v>
          </cell>
          <cell r="C3542" t="str">
            <v>GAPEIXOTO DIST DE PROD ALIM LTD</v>
          </cell>
          <cell r="D3542" t="str">
            <v>6001</v>
          </cell>
          <cell r="E3542" t="str">
            <v>0125</v>
          </cell>
          <cell r="F3542" t="str">
            <v>C1</v>
          </cell>
          <cell r="G3542" t="str">
            <v>SP</v>
          </cell>
        </row>
        <row r="3543">
          <cell r="B3543">
            <v>5339140</v>
          </cell>
          <cell r="C3543" t="str">
            <v>SORVETERIA NORONHA LTDA</v>
          </cell>
          <cell r="D3543" t="str">
            <v>6001</v>
          </cell>
          <cell r="E3543" t="str">
            <v>0028</v>
          </cell>
          <cell r="F3543" t="str">
            <v>C1</v>
          </cell>
          <cell r="G3543" t="str">
            <v>MS</v>
          </cell>
        </row>
        <row r="3544">
          <cell r="B3544">
            <v>5339186</v>
          </cell>
          <cell r="C3544" t="str">
            <v>ISRAEL YAMANISHI DOS REIS</v>
          </cell>
          <cell r="D3544" t="str">
            <v>6001</v>
          </cell>
          <cell r="E3544" t="str">
            <v>0028</v>
          </cell>
          <cell r="F3544" t="str">
            <v>C1</v>
          </cell>
          <cell r="G3544" t="str">
            <v>SP</v>
          </cell>
        </row>
        <row r="3545">
          <cell r="B3545">
            <v>5339674</v>
          </cell>
          <cell r="C3545" t="str">
            <v>LANCH E REST BAMBARAS LTDA</v>
          </cell>
          <cell r="D3545" t="str">
            <v>6001</v>
          </cell>
          <cell r="E3545" t="str">
            <v>0125</v>
          </cell>
          <cell r="F3545" t="str">
            <v>C1</v>
          </cell>
          <cell r="G3545" t="str">
            <v>SP</v>
          </cell>
        </row>
        <row r="3546">
          <cell r="B3546">
            <v>5340507</v>
          </cell>
          <cell r="C3546" t="str">
            <v>SUAVE SABOR DOCERIA LTDA</v>
          </cell>
          <cell r="D3546" t="str">
            <v>6001</v>
          </cell>
          <cell r="E3546" t="str">
            <v>0028</v>
          </cell>
          <cell r="F3546" t="str">
            <v>C1</v>
          </cell>
          <cell r="G3546" t="str">
            <v>SP</v>
          </cell>
        </row>
        <row r="3547">
          <cell r="B3547">
            <v>5340656</v>
          </cell>
          <cell r="C3547" t="str">
            <v>ATRIA PRODUTOS ALIMENTICIOS LTD</v>
          </cell>
          <cell r="D3547" t="str">
            <v>6001</v>
          </cell>
          <cell r="E3547" t="str">
            <v>0125</v>
          </cell>
          <cell r="F3547" t="str">
            <v>C1</v>
          </cell>
          <cell r="G3547" t="str">
            <v>SP</v>
          </cell>
        </row>
        <row r="3548">
          <cell r="B3548">
            <v>5347237</v>
          </cell>
          <cell r="C3548" t="str">
            <v>MEXICALETTA SORVETES LTDA</v>
          </cell>
          <cell r="D3548" t="str">
            <v>6001</v>
          </cell>
          <cell r="E3548" t="str">
            <v>0028</v>
          </cell>
          <cell r="F3548" t="str">
            <v>C1</v>
          </cell>
          <cell r="G3548" t="str">
            <v>SP</v>
          </cell>
        </row>
        <row r="3549">
          <cell r="B3549">
            <v>5347568</v>
          </cell>
          <cell r="C3549" t="str">
            <v>VEP ALIMENTOS LTDA</v>
          </cell>
          <cell r="D3549" t="str">
            <v>6001</v>
          </cell>
          <cell r="E3549" t="str">
            <v>0028</v>
          </cell>
          <cell r="F3549" t="str">
            <v>C1</v>
          </cell>
          <cell r="G3549" t="str">
            <v>SP</v>
          </cell>
        </row>
        <row r="3550">
          <cell r="B3550">
            <v>5348324</v>
          </cell>
          <cell r="C3550" t="str">
            <v>DIST NORD DE CONFEIT E PANIF LT</v>
          </cell>
          <cell r="D3550" t="str">
            <v>6001</v>
          </cell>
          <cell r="E3550" t="str">
            <v>0127</v>
          </cell>
          <cell r="F3550" t="str">
            <v>C1</v>
          </cell>
          <cell r="G3550" t="str">
            <v>BA</v>
          </cell>
        </row>
        <row r="3551">
          <cell r="B3551">
            <v>5348916</v>
          </cell>
          <cell r="C3551" t="str">
            <v>TOTAL CREAM</v>
          </cell>
          <cell r="D3551" t="str">
            <v>6001</v>
          </cell>
          <cell r="E3551" t="str">
            <v>0028</v>
          </cell>
          <cell r="F3551" t="str">
            <v>C1</v>
          </cell>
          <cell r="G3551" t="str">
            <v>SP</v>
          </cell>
        </row>
        <row r="3552">
          <cell r="B3552">
            <v>5349074</v>
          </cell>
          <cell r="C3552" t="str">
            <v>FUNCHAL IND E COM DE PAPEIS LTD</v>
          </cell>
          <cell r="D3552" t="str">
            <v>6001</v>
          </cell>
          <cell r="E3552" t="str">
            <v>0125</v>
          </cell>
          <cell r="F3552" t="str">
            <v>C1</v>
          </cell>
          <cell r="G3552" t="str">
            <v>SP</v>
          </cell>
        </row>
        <row r="3553">
          <cell r="B3553">
            <v>5350654</v>
          </cell>
          <cell r="C3553" t="str">
            <v>CB ANHEMBI COMERCIO DE ALIMENTO</v>
          </cell>
          <cell r="D3553" t="str">
            <v>6001</v>
          </cell>
          <cell r="E3553" t="str">
            <v>0125</v>
          </cell>
          <cell r="F3553" t="str">
            <v>C1</v>
          </cell>
          <cell r="G3553" t="str">
            <v>SP</v>
          </cell>
        </row>
        <row r="3554">
          <cell r="B3554">
            <v>5350655</v>
          </cell>
          <cell r="C3554" t="str">
            <v>CB CAMPINAS COM DE ALIMEN LTDA</v>
          </cell>
          <cell r="D3554" t="str">
            <v>6001</v>
          </cell>
          <cell r="E3554" t="str">
            <v>0125</v>
          </cell>
          <cell r="F3554" t="str">
            <v>C1</v>
          </cell>
          <cell r="G3554" t="str">
            <v>SP</v>
          </cell>
        </row>
        <row r="3555">
          <cell r="B3555">
            <v>5350677</v>
          </cell>
          <cell r="C3555" t="str">
            <v>CB GUARULHOS COMER DE ALIMEN LT</v>
          </cell>
          <cell r="D3555" t="str">
            <v>6001</v>
          </cell>
          <cell r="E3555" t="str">
            <v>0125</v>
          </cell>
          <cell r="F3555" t="str">
            <v>C1</v>
          </cell>
          <cell r="G3555" t="str">
            <v>SP</v>
          </cell>
        </row>
        <row r="3556">
          <cell r="B3556">
            <v>5350695</v>
          </cell>
          <cell r="C3556" t="str">
            <v>CB JUNDIAI COMERCIO DE ALIMEN L</v>
          </cell>
          <cell r="D3556" t="str">
            <v>6001</v>
          </cell>
          <cell r="E3556" t="str">
            <v>0125</v>
          </cell>
          <cell r="F3556" t="str">
            <v>C1</v>
          </cell>
          <cell r="G3556" t="str">
            <v>SP</v>
          </cell>
        </row>
        <row r="3557">
          <cell r="B3557">
            <v>5350696</v>
          </cell>
          <cell r="C3557" t="str">
            <v>CB JUNDIAI COMERCIO DE ALIMEN L</v>
          </cell>
          <cell r="D3557" t="str">
            <v>6001</v>
          </cell>
          <cell r="E3557" t="str">
            <v>0125</v>
          </cell>
          <cell r="F3557" t="str">
            <v>C1</v>
          </cell>
          <cell r="G3557" t="str">
            <v>SP</v>
          </cell>
        </row>
        <row r="3558">
          <cell r="B3558">
            <v>5350697</v>
          </cell>
          <cell r="C3558" t="str">
            <v>CB MARKET PLACE COM DE ALI LTDA</v>
          </cell>
          <cell r="D3558" t="str">
            <v>6001</v>
          </cell>
          <cell r="E3558" t="str">
            <v>0125</v>
          </cell>
          <cell r="F3558" t="str">
            <v>C1</v>
          </cell>
          <cell r="G3558" t="str">
            <v>SP</v>
          </cell>
        </row>
        <row r="3559">
          <cell r="B3559">
            <v>5350699</v>
          </cell>
          <cell r="C3559" t="str">
            <v>CB OSASCO COMERCIO DE ALIMENTOS</v>
          </cell>
          <cell r="D3559" t="str">
            <v>6001</v>
          </cell>
          <cell r="E3559" t="str">
            <v>0125</v>
          </cell>
          <cell r="F3559" t="str">
            <v>C1</v>
          </cell>
          <cell r="G3559" t="str">
            <v>SP</v>
          </cell>
        </row>
        <row r="3560">
          <cell r="B3560">
            <v>5350701</v>
          </cell>
          <cell r="C3560" t="str">
            <v>CB SANTO ANDRE COMERCIO DE ALIM</v>
          </cell>
          <cell r="D3560" t="str">
            <v>6001</v>
          </cell>
          <cell r="E3560" t="str">
            <v>0125</v>
          </cell>
          <cell r="F3560" t="str">
            <v>C1</v>
          </cell>
          <cell r="G3560" t="str">
            <v>SP</v>
          </cell>
        </row>
        <row r="3561">
          <cell r="B3561">
            <v>5350702</v>
          </cell>
          <cell r="C3561" t="str">
            <v>CB SAO JOSE DO RIO PRETO COM DE</v>
          </cell>
          <cell r="D3561" t="str">
            <v>6001</v>
          </cell>
          <cell r="E3561" t="str">
            <v>0125</v>
          </cell>
          <cell r="F3561" t="str">
            <v>C1</v>
          </cell>
          <cell r="G3561" t="str">
            <v>SP</v>
          </cell>
        </row>
        <row r="3562">
          <cell r="B3562">
            <v>5350703</v>
          </cell>
          <cell r="C3562" t="str">
            <v>CB S JOSE DOS CAMPOS COM DE AL</v>
          </cell>
          <cell r="D3562" t="str">
            <v>6001</v>
          </cell>
          <cell r="E3562" t="str">
            <v>0125</v>
          </cell>
          <cell r="F3562" t="str">
            <v>C1</v>
          </cell>
          <cell r="G3562" t="str">
            <v>SP</v>
          </cell>
        </row>
        <row r="3563">
          <cell r="B3563">
            <v>5350704</v>
          </cell>
          <cell r="C3563" t="str">
            <v>CB SOROCABA COMERCIO DE ALIMENT</v>
          </cell>
          <cell r="D3563" t="str">
            <v>6001</v>
          </cell>
          <cell r="E3563" t="str">
            <v>0125</v>
          </cell>
          <cell r="F3563" t="str">
            <v>C1</v>
          </cell>
          <cell r="G3563" t="str">
            <v>SP</v>
          </cell>
        </row>
        <row r="3564">
          <cell r="B3564">
            <v>5350705</v>
          </cell>
          <cell r="C3564" t="str">
            <v>CB SP MARKET COMERCIO DE ALIMEN</v>
          </cell>
          <cell r="D3564" t="str">
            <v>6001</v>
          </cell>
          <cell r="E3564" t="str">
            <v>0125</v>
          </cell>
          <cell r="F3564" t="str">
            <v>C1</v>
          </cell>
          <cell r="G3564" t="str">
            <v>SP</v>
          </cell>
        </row>
        <row r="3565">
          <cell r="B3565">
            <v>5350810</v>
          </cell>
          <cell r="C3565" t="str">
            <v>COMERCIO DE ALIM NOVA PITOKO LT</v>
          </cell>
          <cell r="D3565" t="str">
            <v>6001</v>
          </cell>
          <cell r="E3565" t="str">
            <v>0169</v>
          </cell>
          <cell r="F3565" t="str">
            <v>C1</v>
          </cell>
          <cell r="G3565" t="str">
            <v>RJ</v>
          </cell>
        </row>
        <row r="3566">
          <cell r="B3566">
            <v>5351160</v>
          </cell>
          <cell r="C3566" t="str">
            <v>EDUARDO DA COSTA M E CIA LTDA</v>
          </cell>
          <cell r="D3566" t="str">
            <v>6001</v>
          </cell>
          <cell r="E3566" t="str">
            <v>0028</v>
          </cell>
          <cell r="F3566" t="str">
            <v>C1</v>
          </cell>
          <cell r="G3566" t="str">
            <v>SP</v>
          </cell>
        </row>
        <row r="3567">
          <cell r="B3567">
            <v>5351261</v>
          </cell>
          <cell r="C3567" t="str">
            <v>NOVAMIX F SERVICE COM DE AL L</v>
          </cell>
          <cell r="D3567" t="str">
            <v>6001</v>
          </cell>
          <cell r="E3567" t="str">
            <v>0169</v>
          </cell>
          <cell r="F3567" t="str">
            <v>C1</v>
          </cell>
          <cell r="G3567" t="str">
            <v>RJ</v>
          </cell>
        </row>
        <row r="3568">
          <cell r="B3568">
            <v>5351708</v>
          </cell>
          <cell r="C3568" t="str">
            <v>CB RIO NORTE SHOP COM DE ALI LT</v>
          </cell>
          <cell r="D3568" t="str">
            <v>6001</v>
          </cell>
          <cell r="E3568" t="str">
            <v>0169</v>
          </cell>
          <cell r="F3568" t="str">
            <v>C1</v>
          </cell>
          <cell r="G3568" t="str">
            <v>RJ</v>
          </cell>
        </row>
        <row r="3569">
          <cell r="B3569">
            <v>5351894</v>
          </cell>
          <cell r="C3569" t="str">
            <v>CB RIO NITEROI COMER DE ALIM LT</v>
          </cell>
          <cell r="D3569" t="str">
            <v>6001</v>
          </cell>
          <cell r="E3569" t="str">
            <v>0169</v>
          </cell>
          <cell r="F3569" t="str">
            <v>C1</v>
          </cell>
          <cell r="G3569" t="str">
            <v>RJ</v>
          </cell>
        </row>
        <row r="3570">
          <cell r="B3570">
            <v>5351895</v>
          </cell>
          <cell r="C3570" t="str">
            <v>CB RIO NORTE SHOP COM DE ALI LT</v>
          </cell>
          <cell r="D3570" t="str">
            <v>6001</v>
          </cell>
          <cell r="E3570" t="str">
            <v>0169</v>
          </cell>
          <cell r="F3570" t="str">
            <v>C1</v>
          </cell>
          <cell r="G3570" t="str">
            <v>RJ</v>
          </cell>
        </row>
        <row r="3571">
          <cell r="B3571">
            <v>5352110</v>
          </cell>
          <cell r="C3571" t="str">
            <v>COCO BAMBU F DO M COM DE AL LTD</v>
          </cell>
          <cell r="D3571" t="str">
            <v>6001</v>
          </cell>
          <cell r="E3571" t="str">
            <v>0127</v>
          </cell>
          <cell r="F3571" t="str">
            <v>C1</v>
          </cell>
          <cell r="G3571" t="str">
            <v>CE</v>
          </cell>
        </row>
        <row r="3572">
          <cell r="B3572">
            <v>5352111</v>
          </cell>
          <cell r="C3572" t="str">
            <v>COCO BAMBU PIZZARIA LTDA</v>
          </cell>
          <cell r="D3572" t="str">
            <v>6001</v>
          </cell>
          <cell r="E3572" t="str">
            <v>0127</v>
          </cell>
          <cell r="F3572" t="str">
            <v>C1</v>
          </cell>
          <cell r="G3572" t="str">
            <v>CE</v>
          </cell>
        </row>
        <row r="3573">
          <cell r="B3573">
            <v>5352113</v>
          </cell>
          <cell r="C3573" t="str">
            <v>VUPI ALIMENTOS LTDA</v>
          </cell>
          <cell r="D3573" t="str">
            <v>6001</v>
          </cell>
          <cell r="E3573" t="str">
            <v>0125</v>
          </cell>
          <cell r="F3573" t="str">
            <v>C1</v>
          </cell>
          <cell r="G3573" t="str">
            <v>SP</v>
          </cell>
        </row>
        <row r="3574">
          <cell r="B3574">
            <v>5352254</v>
          </cell>
          <cell r="C3574" t="str">
            <v>COCO BAMBU SUL PIZZARIA LTDA</v>
          </cell>
          <cell r="D3574" t="str">
            <v>6001</v>
          </cell>
          <cell r="E3574" t="str">
            <v>0127</v>
          </cell>
          <cell r="F3574" t="str">
            <v>C1</v>
          </cell>
          <cell r="G3574" t="str">
            <v>CE</v>
          </cell>
        </row>
        <row r="3575">
          <cell r="B3575">
            <v>5352264</v>
          </cell>
          <cell r="C3575" t="str">
            <v>DOM PASTEL ALIMENTOS LTDA</v>
          </cell>
          <cell r="D3575" t="str">
            <v>6001</v>
          </cell>
          <cell r="E3575" t="str">
            <v>0127</v>
          </cell>
          <cell r="F3575" t="str">
            <v>C1</v>
          </cell>
          <cell r="G3575" t="str">
            <v>CE</v>
          </cell>
        </row>
        <row r="3576">
          <cell r="B3576">
            <v>5352345</v>
          </cell>
          <cell r="C3576" t="str">
            <v>CB CUIABA COMERCIO DE ALIMENT L</v>
          </cell>
          <cell r="D3576" t="str">
            <v>6001</v>
          </cell>
          <cell r="E3576" t="str">
            <v>0123</v>
          </cell>
          <cell r="F3576" t="str">
            <v>C1</v>
          </cell>
          <cell r="G3576" t="str">
            <v>MT</v>
          </cell>
        </row>
        <row r="3577">
          <cell r="B3577">
            <v>5352346</v>
          </cell>
          <cell r="C3577" t="str">
            <v>FGF ALIMENTOS LTDA</v>
          </cell>
          <cell r="D3577" t="str">
            <v>6001</v>
          </cell>
          <cell r="E3577" t="str">
            <v>0127</v>
          </cell>
          <cell r="F3577" t="str">
            <v>C1</v>
          </cell>
          <cell r="G3577" t="str">
            <v>BA</v>
          </cell>
        </row>
        <row r="3578">
          <cell r="B3578">
            <v>5352420</v>
          </cell>
          <cell r="C3578" t="str">
            <v>CB AGUAS CLARAS COM DE ALIM LTDA</v>
          </cell>
          <cell r="D3578" t="str">
            <v>6001</v>
          </cell>
          <cell r="E3578" t="str">
            <v>0123</v>
          </cell>
          <cell r="F3578" t="str">
            <v>C1</v>
          </cell>
          <cell r="G3578" t="str">
            <v>DF</v>
          </cell>
        </row>
        <row r="3579">
          <cell r="B3579">
            <v>5352421</v>
          </cell>
          <cell r="C3579" t="str">
            <v>CB AGUAS CLARAS COM DE ALIMENTO</v>
          </cell>
          <cell r="D3579" t="str">
            <v>6001</v>
          </cell>
          <cell r="E3579" t="str">
            <v>0123</v>
          </cell>
          <cell r="F3579" t="str">
            <v>C1</v>
          </cell>
          <cell r="G3579" t="str">
            <v>DF</v>
          </cell>
        </row>
        <row r="3580">
          <cell r="B3580">
            <v>5352422</v>
          </cell>
          <cell r="C3580" t="str">
            <v>CB LAGO NORTE COM DE ALIM LTDA</v>
          </cell>
          <cell r="D3580" t="str">
            <v>6001</v>
          </cell>
          <cell r="E3580" t="str">
            <v>0123</v>
          </cell>
          <cell r="F3580" t="str">
            <v>C1</v>
          </cell>
          <cell r="G3580" t="str">
            <v>DF</v>
          </cell>
        </row>
        <row r="3581">
          <cell r="B3581">
            <v>5352423</v>
          </cell>
          <cell r="C3581" t="str">
            <v>CB LAGO SUL COMERCIO DE ALIMEN</v>
          </cell>
          <cell r="D3581" t="str">
            <v>6001</v>
          </cell>
          <cell r="E3581" t="str">
            <v>0123</v>
          </cell>
          <cell r="F3581" t="str">
            <v>C1</v>
          </cell>
          <cell r="G3581" t="str">
            <v>DF</v>
          </cell>
        </row>
        <row r="3582">
          <cell r="B3582">
            <v>5352459</v>
          </cell>
          <cell r="C3582" t="str">
            <v>CB PARK SHOPPING COMER DE ALIM</v>
          </cell>
          <cell r="D3582" t="str">
            <v>6001</v>
          </cell>
          <cell r="E3582" t="str">
            <v>0123</v>
          </cell>
          <cell r="F3582" t="str">
            <v>C1</v>
          </cell>
          <cell r="G3582" t="str">
            <v>DF</v>
          </cell>
        </row>
        <row r="3583">
          <cell r="B3583">
            <v>5353685</v>
          </cell>
          <cell r="C3583" t="str">
            <v>GANTE COMERCIO DE DOCES LTDA</v>
          </cell>
          <cell r="D3583" t="str">
            <v>6001</v>
          </cell>
          <cell r="E3583" t="str">
            <v>0028</v>
          </cell>
          <cell r="F3583" t="str">
            <v>C1</v>
          </cell>
          <cell r="G3583" t="str">
            <v>SP</v>
          </cell>
        </row>
        <row r="3584">
          <cell r="B3584">
            <v>5355986</v>
          </cell>
          <cell r="C3584" t="str">
            <v>FUNCHAL IND E COM DE PAPEIS LTD</v>
          </cell>
          <cell r="D3584" t="str">
            <v>6001</v>
          </cell>
          <cell r="E3584" t="str">
            <v>0125</v>
          </cell>
          <cell r="F3584" t="str">
            <v>C1</v>
          </cell>
          <cell r="G3584" t="str">
            <v>SP</v>
          </cell>
        </row>
        <row r="3585">
          <cell r="B3585">
            <v>5357614</v>
          </cell>
          <cell r="C3585" t="str">
            <v>ACAI ISLAND COMERCIO E DISTRIBU</v>
          </cell>
          <cell r="D3585" t="str">
            <v>6001</v>
          </cell>
          <cell r="E3585" t="str">
            <v>0028</v>
          </cell>
          <cell r="F3585" t="str">
            <v>C1</v>
          </cell>
          <cell r="G3585" t="str">
            <v>SP</v>
          </cell>
        </row>
        <row r="3586">
          <cell r="B3586">
            <v>5357700</v>
          </cell>
          <cell r="C3586" t="str">
            <v>NOVA ERA COMERCIAL DE ALIMEN LTDA</v>
          </cell>
          <cell r="D3586" t="str">
            <v>6001</v>
          </cell>
          <cell r="E3586" t="str">
            <v>0127</v>
          </cell>
          <cell r="F3586" t="str">
            <v>C1</v>
          </cell>
          <cell r="G3586" t="str">
            <v>BA</v>
          </cell>
        </row>
        <row r="3587">
          <cell r="B3587">
            <v>5358195</v>
          </cell>
          <cell r="C3587" t="str">
            <v>BELLA COMERCIO DE EMBALAGENS LT</v>
          </cell>
          <cell r="D3587" t="str">
            <v>6001</v>
          </cell>
          <cell r="E3587" t="str">
            <v>0169</v>
          </cell>
          <cell r="F3587" t="str">
            <v>C1</v>
          </cell>
          <cell r="G3587" t="str">
            <v>ES</v>
          </cell>
        </row>
        <row r="3588">
          <cell r="B3588">
            <v>5359869</v>
          </cell>
          <cell r="C3588" t="str">
            <v>BIG CHURROS KENNEDY LTDA</v>
          </cell>
          <cell r="D3588" t="str">
            <v>6001</v>
          </cell>
          <cell r="E3588" t="str">
            <v>0028</v>
          </cell>
          <cell r="F3588" t="str">
            <v>C1</v>
          </cell>
          <cell r="G3588" t="str">
            <v>SP</v>
          </cell>
        </row>
        <row r="3589">
          <cell r="B3589">
            <v>5361020</v>
          </cell>
          <cell r="C3589" t="str">
            <v>CASA DO SORVETEIRO LTDA</v>
          </cell>
          <cell r="D3589" t="str">
            <v>6001</v>
          </cell>
          <cell r="E3589" t="str">
            <v>0169</v>
          </cell>
          <cell r="F3589" t="str">
            <v>C1</v>
          </cell>
          <cell r="G3589" t="str">
            <v>ES</v>
          </cell>
        </row>
        <row r="3590">
          <cell r="B3590">
            <v>5363590</v>
          </cell>
          <cell r="C3590" t="str">
            <v>CB RIO BARRA DA TIJ COM D ALIM</v>
          </cell>
          <cell r="D3590" t="str">
            <v>6001</v>
          </cell>
          <cell r="E3590" t="str">
            <v>0169</v>
          </cell>
          <cell r="F3590" t="str">
            <v>C1</v>
          </cell>
          <cell r="G3590" t="str">
            <v>RJ</v>
          </cell>
        </row>
        <row r="3591">
          <cell r="B3591">
            <v>5363592</v>
          </cell>
          <cell r="C3591" t="str">
            <v>CBAF COMERCIO DE ALIMENTOS LTDA</v>
          </cell>
          <cell r="D3591" t="str">
            <v>6001</v>
          </cell>
          <cell r="E3591" t="str">
            <v>0125</v>
          </cell>
          <cell r="F3591" t="str">
            <v>C1</v>
          </cell>
          <cell r="G3591" t="str">
            <v>SP</v>
          </cell>
        </row>
        <row r="3592">
          <cell r="B3592">
            <v>5363595</v>
          </cell>
          <cell r="C3592" t="str">
            <v>CBAF COMERCIO DE ALIMENTOS LTDA</v>
          </cell>
          <cell r="D3592" t="str">
            <v>6001</v>
          </cell>
          <cell r="E3592" t="str">
            <v>0125</v>
          </cell>
          <cell r="F3592" t="str">
            <v>C1</v>
          </cell>
          <cell r="G3592" t="str">
            <v>SP</v>
          </cell>
        </row>
        <row r="3593">
          <cell r="B3593">
            <v>5363598</v>
          </cell>
          <cell r="C3593" t="str">
            <v>CB RIO VOLTA REDONDA COM DE AL</v>
          </cell>
          <cell r="D3593" t="str">
            <v>6001</v>
          </cell>
          <cell r="E3593" t="str">
            <v>0169</v>
          </cell>
          <cell r="F3593" t="str">
            <v>C1</v>
          </cell>
          <cell r="G3593" t="str">
            <v>RJ</v>
          </cell>
        </row>
        <row r="3594">
          <cell r="B3594">
            <v>5363949</v>
          </cell>
          <cell r="C3594" t="str">
            <v>FUNCHAL INDUSTRIA E COMERC DE P</v>
          </cell>
          <cell r="D3594" t="str">
            <v>6001</v>
          </cell>
          <cell r="E3594" t="str">
            <v>0125</v>
          </cell>
          <cell r="F3594" t="str">
            <v>C1</v>
          </cell>
          <cell r="G3594" t="str">
            <v>SP</v>
          </cell>
        </row>
        <row r="3595">
          <cell r="B3595">
            <v>5363950</v>
          </cell>
          <cell r="C3595" t="str">
            <v>FUNCHAL INDUSTRIA E COMERCIO DE PAP</v>
          </cell>
          <cell r="D3595" t="str">
            <v>6001</v>
          </cell>
          <cell r="E3595" t="str">
            <v>0125</v>
          </cell>
          <cell r="F3595" t="str">
            <v>C1</v>
          </cell>
          <cell r="G3595" t="str">
            <v>SP</v>
          </cell>
        </row>
        <row r="3596">
          <cell r="B3596">
            <v>5364495</v>
          </cell>
          <cell r="C3596" t="str">
            <v>3D SALGADOS LTDA</v>
          </cell>
          <cell r="D3596" t="str">
            <v>6001</v>
          </cell>
          <cell r="E3596" t="str">
            <v>0028</v>
          </cell>
          <cell r="F3596" t="str">
            <v>C1</v>
          </cell>
          <cell r="G3596" t="str">
            <v>RJ</v>
          </cell>
        </row>
        <row r="3597">
          <cell r="B3597">
            <v>5364496</v>
          </cell>
          <cell r="C3597" t="str">
            <v>CONVENIENCIA DABELA DE COELH DA</v>
          </cell>
          <cell r="D3597" t="str">
            <v>6001</v>
          </cell>
          <cell r="E3597" t="str">
            <v>0028</v>
          </cell>
          <cell r="F3597" t="str">
            <v>C1</v>
          </cell>
          <cell r="G3597" t="str">
            <v>RJ</v>
          </cell>
        </row>
        <row r="3598">
          <cell r="B3598">
            <v>5364697</v>
          </cell>
          <cell r="C3598" t="str">
            <v>REI DOS GELADOS LTDA</v>
          </cell>
          <cell r="D3598" t="str">
            <v>6001</v>
          </cell>
          <cell r="E3598" t="str">
            <v>0028</v>
          </cell>
          <cell r="F3598" t="str">
            <v>C1</v>
          </cell>
          <cell r="G3598" t="str">
            <v>RJ</v>
          </cell>
        </row>
        <row r="3599">
          <cell r="B3599">
            <v>5300879</v>
          </cell>
          <cell r="C3599" t="str">
            <v>HOTELARIA ACCORINVEST BRASIL S A</v>
          </cell>
          <cell r="D3599" t="str">
            <v>7001</v>
          </cell>
          <cell r="E3599" t="str">
            <v>0749</v>
          </cell>
          <cell r="F3599" t="str">
            <v>C5</v>
          </cell>
          <cell r="G3599" t="str">
            <v>SP</v>
          </cell>
        </row>
        <row r="3600">
          <cell r="B3600">
            <v>5368301</v>
          </cell>
          <cell r="C3600" t="str">
            <v>SUDARIO TRANSP COM E DIST LTDA</v>
          </cell>
          <cell r="D3600" t="str">
            <v>7001</v>
          </cell>
          <cell r="E3600" t="str">
            <v>0722</v>
          </cell>
          <cell r="F3600" t="str">
            <v>C1</v>
          </cell>
          <cell r="G3600" t="str">
            <v>SP</v>
          </cell>
        </row>
        <row r="3601">
          <cell r="B3601">
            <v>5013236</v>
          </cell>
          <cell r="C3601" t="str">
            <v>CLUBE DO CONFEITEIRO LTDA</v>
          </cell>
          <cell r="D3601" t="str">
            <v>6001</v>
          </cell>
          <cell r="E3601" t="str">
            <v>6125</v>
          </cell>
          <cell r="F3601" t="str">
            <v>C1</v>
          </cell>
          <cell r="G3601" t="str">
            <v>SP</v>
          </cell>
        </row>
        <row r="3602">
          <cell r="B3602">
            <v>5181144</v>
          </cell>
          <cell r="C3602" t="str">
            <v>INDUSTRIA DE SORVETES CAMAGIVA</v>
          </cell>
          <cell r="D3602" t="str">
            <v>7001</v>
          </cell>
          <cell r="E3602" t="str">
            <v>0722</v>
          </cell>
          <cell r="F3602" t="str">
            <v>C1</v>
          </cell>
          <cell r="G3602" t="str">
            <v>SP</v>
          </cell>
        </row>
        <row r="3603">
          <cell r="B3603">
            <v>5181766</v>
          </cell>
          <cell r="C3603" t="str">
            <v>BRASIL NUTRI AMBIENTAL LTDA</v>
          </cell>
          <cell r="D3603" t="str">
            <v>4001</v>
          </cell>
          <cell r="E3603" t="str">
            <v>0454</v>
          </cell>
          <cell r="F3603" t="str">
            <v>C1</v>
          </cell>
          <cell r="G3603" t="str">
            <v>BA</v>
          </cell>
        </row>
        <row r="3604">
          <cell r="B3604">
            <v>5369097</v>
          </cell>
          <cell r="C3604" t="str">
            <v>FARES GROUP LTDA</v>
          </cell>
          <cell r="D3604" t="str">
            <v>7001</v>
          </cell>
          <cell r="E3604" t="str">
            <v>0749</v>
          </cell>
          <cell r="F3604" t="str">
            <v>C5</v>
          </cell>
          <cell r="G3604" t="str">
            <v>SP</v>
          </cell>
        </row>
        <row r="3605">
          <cell r="B3605">
            <v>5130343</v>
          </cell>
          <cell r="C3605" t="str">
            <v>CDI BARRA PROD IMP E EXPORTACAO LTD</v>
          </cell>
          <cell r="D3605" t="str">
            <v>7001</v>
          </cell>
          <cell r="E3605" t="str">
            <v>0722</v>
          </cell>
          <cell r="F3605" t="str">
            <v>C1</v>
          </cell>
          <cell r="G3605" t="str">
            <v>SP</v>
          </cell>
        </row>
        <row r="3606">
          <cell r="B3606">
            <v>5369001</v>
          </cell>
          <cell r="C3606" t="str">
            <v>46805736 EDUARDO ANTONIO DA SILVA</v>
          </cell>
          <cell r="D3606" t="str">
            <v>7001</v>
          </cell>
          <cell r="E3606" t="str">
            <v>0749</v>
          </cell>
          <cell r="F3606" t="str">
            <v>C5</v>
          </cell>
          <cell r="G3606" t="str">
            <v>SP</v>
          </cell>
        </row>
        <row r="3607">
          <cell r="B3607">
            <v>5354705</v>
          </cell>
          <cell r="C3607" t="str">
            <v>DR IND E COM IMP E EXP DE AL LTDA</v>
          </cell>
          <cell r="D3607" t="str">
            <v>6001</v>
          </cell>
          <cell r="E3607" t="str">
            <v>6028</v>
          </cell>
          <cell r="F3607" t="str">
            <v>C1</v>
          </cell>
          <cell r="G3607" t="str">
            <v>MS</v>
          </cell>
        </row>
        <row r="3608">
          <cell r="B3608">
            <v>5367921</v>
          </cell>
          <cell r="C3608" t="str">
            <v>60574443 WILLIAM F DE SOUZA</v>
          </cell>
          <cell r="D3608" t="str">
            <v>7001</v>
          </cell>
          <cell r="E3608" t="str">
            <v>0749</v>
          </cell>
          <cell r="F3608" t="str">
            <v>C5</v>
          </cell>
          <cell r="G3608" t="str">
            <v>SP</v>
          </cell>
        </row>
        <row r="3609">
          <cell r="B3609">
            <v>5368988</v>
          </cell>
          <cell r="C3609" t="str">
            <v>JB DISTRIBUIDORA LTDA</v>
          </cell>
          <cell r="D3609" t="str">
            <v>3001</v>
          </cell>
          <cell r="E3609" t="str">
            <v>0028</v>
          </cell>
          <cell r="F3609" t="str">
            <v>C1</v>
          </cell>
          <cell r="G3609" t="str">
            <v>SC</v>
          </cell>
        </row>
        <row r="3610">
          <cell r="B3610">
            <v>5213905</v>
          </cell>
          <cell r="C3610" t="str">
            <v>COLORADO FESTAS LTDA</v>
          </cell>
          <cell r="D3610" t="str">
            <v>7001</v>
          </cell>
          <cell r="E3610" t="str">
            <v>0739</v>
          </cell>
          <cell r="F3610" t="str">
            <v>C1</v>
          </cell>
          <cell r="G3610" t="str">
            <v>ES</v>
          </cell>
        </row>
        <row r="3611">
          <cell r="B3611">
            <v>5254009</v>
          </cell>
          <cell r="C3611" t="str">
            <v>DAOCA IND E COM DE ALIM LTDA</v>
          </cell>
          <cell r="D3611" t="str">
            <v>7001</v>
          </cell>
          <cell r="E3611" t="str">
            <v>0749</v>
          </cell>
          <cell r="F3611" t="str">
            <v>C5</v>
          </cell>
          <cell r="G3611" t="str">
            <v>SP</v>
          </cell>
        </row>
        <row r="3612">
          <cell r="B3612">
            <v>5369249</v>
          </cell>
          <cell r="C3612" t="str">
            <v>BRUXELAS DOCES LTDA</v>
          </cell>
          <cell r="D3612" t="str">
            <v>6001</v>
          </cell>
          <cell r="E3612" t="str">
            <v>6028</v>
          </cell>
          <cell r="F3612" t="str">
            <v>C1</v>
          </cell>
          <cell r="G3612" t="str">
            <v>SP</v>
          </cell>
        </row>
        <row r="3613">
          <cell r="B3613">
            <v>5366906</v>
          </cell>
          <cell r="C3613" t="str">
            <v>LATICINIOS BELA VISTA SA</v>
          </cell>
          <cell r="D3613" t="str">
            <v>3001</v>
          </cell>
          <cell r="E3613" t="str">
            <v>0028</v>
          </cell>
          <cell r="F3613" t="str">
            <v>C1</v>
          </cell>
          <cell r="G3613" t="str">
            <v>MG</v>
          </cell>
        </row>
        <row r="3614">
          <cell r="B3614">
            <v>5369376</v>
          </cell>
          <cell r="C3614" t="str">
            <v>DELICATESSEN PARAISO LTDA</v>
          </cell>
          <cell r="D3614" t="str">
            <v>7001</v>
          </cell>
          <cell r="E3614" t="str">
            <v>0749</v>
          </cell>
          <cell r="F3614" t="str">
            <v>C5</v>
          </cell>
          <cell r="G3614" t="str">
            <v>SP</v>
          </cell>
        </row>
        <row r="3615">
          <cell r="B3615">
            <v>5181144</v>
          </cell>
          <cell r="C3615" t="str">
            <v>INDUSTRIA DE SORVETES CAMAGIVA</v>
          </cell>
          <cell r="D3615" t="str">
            <v>6001</v>
          </cell>
          <cell r="E3615" t="str">
            <v>6125</v>
          </cell>
          <cell r="F3615" t="str">
            <v>C1</v>
          </cell>
          <cell r="G3615" t="str">
            <v>SP</v>
          </cell>
        </row>
        <row r="3616">
          <cell r="B3616">
            <v>5188355</v>
          </cell>
          <cell r="C3616" t="str">
            <v>TUDOBOM COMERCIAL LTDA</v>
          </cell>
          <cell r="D3616" t="str">
            <v>3001</v>
          </cell>
          <cell r="E3616" t="str">
            <v>0122</v>
          </cell>
          <cell r="F3616" t="str">
            <v>C1</v>
          </cell>
          <cell r="G3616" t="str">
            <v>MG</v>
          </cell>
        </row>
        <row r="3617">
          <cell r="B3617">
            <v>5356221</v>
          </cell>
          <cell r="C3617" t="str">
            <v>AFFARE GESTAO DE NEGOCIOS LTDA</v>
          </cell>
          <cell r="D3617" t="str">
            <v>7001</v>
          </cell>
          <cell r="E3617" t="str">
            <v>0749</v>
          </cell>
          <cell r="F3617" t="str">
            <v>C5</v>
          </cell>
          <cell r="G3617" t="str">
            <v>SP</v>
          </cell>
        </row>
        <row r="3618">
          <cell r="B3618">
            <v>5369416</v>
          </cell>
          <cell r="C3618" t="str">
            <v>NUTRIDORO REFEICOES LTDA</v>
          </cell>
          <cell r="D3618" t="str">
            <v>7001</v>
          </cell>
          <cell r="E3618" t="str">
            <v>0749</v>
          </cell>
          <cell r="F3618" t="str">
            <v>C5</v>
          </cell>
          <cell r="G3618" t="str">
            <v>SP</v>
          </cell>
        </row>
        <row r="3619">
          <cell r="B3619">
            <v>5021546</v>
          </cell>
          <cell r="C3619" t="str">
            <v>SUPERMERCADO GEN LTDA</v>
          </cell>
          <cell r="D3619" t="str">
            <v>6001</v>
          </cell>
          <cell r="E3619" t="str">
            <v>6127</v>
          </cell>
          <cell r="F3619" t="str">
            <v>C1</v>
          </cell>
          <cell r="G3619" t="str">
            <v>CE</v>
          </cell>
        </row>
        <row r="3620">
          <cell r="B3620">
            <v>5024813</v>
          </cell>
          <cell r="C3620" t="str">
            <v>PORTELA SUPERMERCADO LTDA</v>
          </cell>
          <cell r="D3620" t="str">
            <v>6001</v>
          </cell>
          <cell r="E3620" t="str">
            <v>6127</v>
          </cell>
          <cell r="F3620" t="str">
            <v>C1</v>
          </cell>
          <cell r="G3620" t="str">
            <v>CE</v>
          </cell>
        </row>
        <row r="3621">
          <cell r="B3621">
            <v>5173438</v>
          </cell>
          <cell r="C3621" t="str">
            <v>MERCANTIL FONSECA LTDA</v>
          </cell>
          <cell r="D3621" t="str">
            <v>6001</v>
          </cell>
          <cell r="E3621" t="str">
            <v>6127</v>
          </cell>
          <cell r="F3621" t="str">
            <v>C1</v>
          </cell>
          <cell r="G3621" t="str">
            <v>CE</v>
          </cell>
        </row>
        <row r="3622">
          <cell r="B3622">
            <v>5184634</v>
          </cell>
          <cell r="C3622" t="str">
            <v>G E N SUPREMERCADO LTDA ME</v>
          </cell>
          <cell r="D3622" t="str">
            <v>6001</v>
          </cell>
          <cell r="E3622" t="str">
            <v>6127</v>
          </cell>
          <cell r="F3622" t="str">
            <v>C1</v>
          </cell>
          <cell r="G3622" t="str">
            <v>CE</v>
          </cell>
        </row>
        <row r="3623">
          <cell r="B3623">
            <v>5323240</v>
          </cell>
          <cell r="C3623" t="str">
            <v>SUPER G N SUPERMERCADO LTDA</v>
          </cell>
          <cell r="D3623" t="str">
            <v>6001</v>
          </cell>
          <cell r="E3623" t="str">
            <v>6127</v>
          </cell>
          <cell r="F3623" t="str">
            <v>C1</v>
          </cell>
          <cell r="G3623" t="str">
            <v>CE</v>
          </cell>
        </row>
        <row r="3624">
          <cell r="B3624">
            <v>5369003</v>
          </cell>
          <cell r="C3624" t="str">
            <v>FORNADA PAES E REFEICOES LTDA</v>
          </cell>
          <cell r="D3624" t="str">
            <v>7001</v>
          </cell>
          <cell r="E3624" t="str">
            <v>0749</v>
          </cell>
          <cell r="F3624" t="str">
            <v>C5</v>
          </cell>
          <cell r="G3624" t="str">
            <v>SP</v>
          </cell>
        </row>
        <row r="3625">
          <cell r="B3625">
            <v>5369404</v>
          </cell>
          <cell r="C3625" t="str">
            <v>AK PHARMA LTDA</v>
          </cell>
          <cell r="D3625" t="str">
            <v>7001</v>
          </cell>
          <cell r="E3625" t="str">
            <v>0749</v>
          </cell>
          <cell r="F3625" t="str">
            <v>C5</v>
          </cell>
          <cell r="G3625" t="str">
            <v>SP</v>
          </cell>
        </row>
        <row r="3626">
          <cell r="B3626">
            <v>5167791</v>
          </cell>
          <cell r="C3626" t="str">
            <v>DAN VIGOR IND E COM DE LATICINIOS L</v>
          </cell>
          <cell r="D3626" t="str">
            <v>4001</v>
          </cell>
          <cell r="E3626" t="str">
            <v>0437</v>
          </cell>
          <cell r="F3626" t="str">
            <v>C1</v>
          </cell>
          <cell r="G3626" t="str">
            <v>SP</v>
          </cell>
        </row>
        <row r="3627">
          <cell r="B3627">
            <v>5369334</v>
          </cell>
          <cell r="C3627" t="str">
            <v>SORVMAIS LTDA</v>
          </cell>
          <cell r="D3627" t="str">
            <v>3001</v>
          </cell>
          <cell r="E3627" t="str">
            <v>0028</v>
          </cell>
          <cell r="F3627" t="str">
            <v>C1</v>
          </cell>
          <cell r="G3627" t="str">
            <v>AL</v>
          </cell>
        </row>
        <row r="3628">
          <cell r="B3628">
            <v>5369569</v>
          </cell>
          <cell r="C3628" t="str">
            <v>COMERCIAL E DISTRIB BITENCO LTD</v>
          </cell>
          <cell r="D3628" t="str">
            <v>7001</v>
          </cell>
          <cell r="E3628" t="str">
            <v>0749</v>
          </cell>
          <cell r="F3628" t="str">
            <v>C5</v>
          </cell>
          <cell r="G3628" t="str">
            <v>SP</v>
          </cell>
        </row>
        <row r="3629">
          <cell r="B3629">
            <v>5367989</v>
          </cell>
          <cell r="C3629" t="str">
            <v>ROALD RESTAURANTE E ALIMENTOS LTDA</v>
          </cell>
          <cell r="D3629" t="str">
            <v>7001</v>
          </cell>
          <cell r="E3629" t="str">
            <v>0749</v>
          </cell>
          <cell r="F3629" t="str">
            <v>C5</v>
          </cell>
          <cell r="G3629" t="str">
            <v>SP</v>
          </cell>
        </row>
        <row r="3630">
          <cell r="B3630">
            <v>5369700</v>
          </cell>
          <cell r="C3630" t="str">
            <v>INDUSTRIA DE ALIMENTOS GURY LTDA</v>
          </cell>
          <cell r="D3630" t="str">
            <v>4001</v>
          </cell>
          <cell r="E3630" t="str">
            <v>0423</v>
          </cell>
          <cell r="F3630" t="str">
            <v>C5</v>
          </cell>
          <cell r="G3630" t="str">
            <v>ES</v>
          </cell>
        </row>
        <row r="3631">
          <cell r="B3631">
            <v>5128707</v>
          </cell>
          <cell r="C3631" t="str">
            <v>ARMAZEM TOP ALTO LTDA</v>
          </cell>
          <cell r="D3631" t="str">
            <v>6001</v>
          </cell>
          <cell r="E3631" t="str">
            <v>6009</v>
          </cell>
          <cell r="F3631" t="str">
            <v>C1</v>
          </cell>
          <cell r="G3631" t="str">
            <v>BA</v>
          </cell>
        </row>
        <row r="3632">
          <cell r="B3632">
            <v>5369250</v>
          </cell>
          <cell r="C3632" t="str">
            <v>WE PROTEIN OPERACOES LTDA</v>
          </cell>
          <cell r="D3632" t="str">
            <v>7001</v>
          </cell>
          <cell r="E3632" t="str">
            <v>0722</v>
          </cell>
          <cell r="F3632" t="str">
            <v>C1</v>
          </cell>
          <cell r="G3632" t="str">
            <v>SP</v>
          </cell>
        </row>
        <row r="3633">
          <cell r="B3633">
            <v>5369251</v>
          </cell>
          <cell r="C3633" t="str">
            <v>WE PROTEIN OPERACOES LTDA</v>
          </cell>
          <cell r="D3633" t="str">
            <v>7001</v>
          </cell>
          <cell r="E3633" t="str">
            <v>0722</v>
          </cell>
          <cell r="F3633" t="str">
            <v>C1</v>
          </cell>
          <cell r="G3633" t="str">
            <v>SP</v>
          </cell>
        </row>
        <row r="3634">
          <cell r="B3634">
            <v>5369708</v>
          </cell>
          <cell r="C3634" t="str">
            <v>SIGTELY RESTA E FORN DE REF LTD</v>
          </cell>
          <cell r="D3634" t="str">
            <v>7001</v>
          </cell>
          <cell r="E3634" t="str">
            <v>0749</v>
          </cell>
          <cell r="F3634" t="str">
            <v>C5</v>
          </cell>
          <cell r="G3634" t="str">
            <v>SP</v>
          </cell>
        </row>
        <row r="3635">
          <cell r="B3635">
            <v>5369565</v>
          </cell>
          <cell r="C3635" t="str">
            <v>ALLPAN COM DE PROD ALIMEN LTDA</v>
          </cell>
          <cell r="D3635" t="str">
            <v>6001</v>
          </cell>
          <cell r="E3635" t="str">
            <v>6125</v>
          </cell>
          <cell r="F3635" t="str">
            <v>C1</v>
          </cell>
          <cell r="G3635" t="str">
            <v>SP</v>
          </cell>
        </row>
        <row r="3636">
          <cell r="B3636">
            <v>5354784</v>
          </cell>
          <cell r="C3636" t="str">
            <v>BENDU INDUSTRIA E COMERCIO DE ALIM</v>
          </cell>
          <cell r="D3636" t="str">
            <v>6001</v>
          </cell>
          <cell r="E3636" t="str">
            <v>6125</v>
          </cell>
          <cell r="F3636" t="str">
            <v>C1</v>
          </cell>
          <cell r="G3636" t="str">
            <v>SP</v>
          </cell>
        </row>
        <row r="3637">
          <cell r="B3637">
            <v>5369859</v>
          </cell>
          <cell r="C3637" t="str">
            <v>SORMEL INDUSTRIA DE SORVETES LTDA</v>
          </cell>
          <cell r="D3637" t="str">
            <v>3001</v>
          </cell>
          <cell r="E3637" t="str">
            <v>0028</v>
          </cell>
          <cell r="F3637" t="str">
            <v>C1</v>
          </cell>
          <cell r="G3637" t="str">
            <v>AL</v>
          </cell>
        </row>
        <row r="3638">
          <cell r="B3638">
            <v>5329930</v>
          </cell>
          <cell r="C3638" t="str">
            <v>FITISSIMO INDUSTRIA DE ALIMENTOS LT</v>
          </cell>
          <cell r="D3638" t="str">
            <v>3001</v>
          </cell>
          <cell r="E3638" t="str">
            <v>0028</v>
          </cell>
          <cell r="F3638" t="str">
            <v>C1</v>
          </cell>
          <cell r="G3638" t="str">
            <v>MG</v>
          </cell>
        </row>
        <row r="3639">
          <cell r="B3639">
            <v>5352460</v>
          </cell>
          <cell r="C3639" t="str">
            <v>CB LAGO SUL COMERCIO DE ALIME L</v>
          </cell>
          <cell r="D3639" t="str">
            <v>6001</v>
          </cell>
          <cell r="E3639" t="str">
            <v>6123</v>
          </cell>
          <cell r="F3639" t="str">
            <v>C1</v>
          </cell>
          <cell r="G3639" t="str">
            <v>DF</v>
          </cell>
        </row>
        <row r="3640">
          <cell r="B3640">
            <v>5364446</v>
          </cell>
          <cell r="C3640" t="str">
            <v>KEZ BAGEL 4 REST E LANCHON LTDA</v>
          </cell>
          <cell r="D3640" t="str">
            <v>7001</v>
          </cell>
          <cell r="E3640" t="str">
            <v>0749</v>
          </cell>
          <cell r="F3640" t="str">
            <v>C5</v>
          </cell>
          <cell r="G3640" t="str">
            <v>SP</v>
          </cell>
        </row>
        <row r="3641">
          <cell r="B3641">
            <v>5369627</v>
          </cell>
          <cell r="C3641" t="str">
            <v>WE PROTEIN OPERACOES LTDA</v>
          </cell>
          <cell r="D3641" t="str">
            <v>7001</v>
          </cell>
          <cell r="E3641" t="str">
            <v>0722</v>
          </cell>
          <cell r="F3641" t="str">
            <v>C1</v>
          </cell>
          <cell r="G3641" t="str">
            <v>SP</v>
          </cell>
        </row>
        <row r="3642">
          <cell r="B3642">
            <v>5023870</v>
          </cell>
          <cell r="C3642" t="str">
            <v>GOLD INDUSTRIA E COMERCIO LTDA</v>
          </cell>
          <cell r="D3642" t="str">
            <v>7001</v>
          </cell>
          <cell r="E3642" t="str">
            <v>0752</v>
          </cell>
          <cell r="F3642" t="str">
            <v>C5</v>
          </cell>
          <cell r="G3642" t="str">
            <v>PR</v>
          </cell>
        </row>
        <row r="3643">
          <cell r="B3643">
            <v>5317668</v>
          </cell>
          <cell r="C3643" t="str">
            <v>JESSICA CRISTINA DO NASCIMENTO</v>
          </cell>
          <cell r="D3643" t="str">
            <v>6001</v>
          </cell>
          <cell r="E3643" t="str">
            <v>6028</v>
          </cell>
          <cell r="F3643" t="str">
            <v>C1</v>
          </cell>
          <cell r="G3643" t="str">
            <v>RJ</v>
          </cell>
        </row>
        <row r="3644">
          <cell r="B3644">
            <v>5320718</v>
          </cell>
          <cell r="C3644" t="str">
            <v>ALFA FERMENTACAO NATURAL LTDA</v>
          </cell>
          <cell r="D3644" t="str">
            <v>3001</v>
          </cell>
          <cell r="E3644" t="str">
            <v>0126</v>
          </cell>
          <cell r="F3644" t="str">
            <v>C1</v>
          </cell>
          <cell r="G3644" t="str">
            <v>SC</v>
          </cell>
        </row>
        <row r="3645">
          <cell r="B3645">
            <v>5341225</v>
          </cell>
          <cell r="C3645" t="str">
            <v>CAPODIFOGLIO E CIA LTDA</v>
          </cell>
          <cell r="D3645" t="str">
            <v>4001</v>
          </cell>
          <cell r="E3645" t="str">
            <v>0437</v>
          </cell>
          <cell r="F3645" t="str">
            <v>C1</v>
          </cell>
          <cell r="G3645" t="str">
            <v>SP</v>
          </cell>
        </row>
        <row r="3646">
          <cell r="B3646">
            <v>5355844</v>
          </cell>
          <cell r="C3646" t="str">
            <v>RICARDO DE SOUSA DAS NEVES</v>
          </cell>
          <cell r="D3646" t="str">
            <v>6001</v>
          </cell>
          <cell r="E3646" t="str">
            <v>6127</v>
          </cell>
          <cell r="F3646" t="str">
            <v>C1</v>
          </cell>
          <cell r="G3646" t="str">
            <v>BA</v>
          </cell>
        </row>
        <row r="3647">
          <cell r="B3647">
            <v>5369595</v>
          </cell>
          <cell r="C3647" t="str">
            <v>KI SORVETAO LTDA</v>
          </cell>
          <cell r="D3647" t="str">
            <v>3001</v>
          </cell>
          <cell r="E3647" t="str">
            <v>0028</v>
          </cell>
          <cell r="F3647" t="str">
            <v>C1</v>
          </cell>
          <cell r="G3647" t="str">
            <v>SC</v>
          </cell>
        </row>
        <row r="3648">
          <cell r="B3648">
            <v>5162285</v>
          </cell>
          <cell r="C3648" t="str">
            <v>KOB COMERCIAL LTDA</v>
          </cell>
          <cell r="D3648" t="str">
            <v>7001</v>
          </cell>
          <cell r="E3648" t="str">
            <v>0752</v>
          </cell>
          <cell r="F3648" t="str">
            <v>C5</v>
          </cell>
          <cell r="G3648" t="str">
            <v>PR</v>
          </cell>
        </row>
        <row r="3649">
          <cell r="B3649">
            <v>5178343</v>
          </cell>
          <cell r="C3649" t="str">
            <v>NT IND E COM DE PANIFICACAO LTD</v>
          </cell>
          <cell r="D3649" t="str">
            <v>7001</v>
          </cell>
          <cell r="E3649" t="str">
            <v>0580</v>
          </cell>
          <cell r="F3649" t="str">
            <v>C5</v>
          </cell>
          <cell r="G3649" t="str">
            <v>AM</v>
          </cell>
        </row>
        <row r="3650">
          <cell r="B3650">
            <v>5370031</v>
          </cell>
          <cell r="C3650" t="str">
            <v>D RIBEIRO LTDA</v>
          </cell>
          <cell r="D3650" t="str">
            <v>3001</v>
          </cell>
          <cell r="E3650" t="str">
            <v>0028</v>
          </cell>
          <cell r="F3650" t="str">
            <v>C1</v>
          </cell>
          <cell r="G3650" t="str">
            <v>MA</v>
          </cell>
        </row>
        <row r="3651">
          <cell r="B3651">
            <v>5368992</v>
          </cell>
          <cell r="C3651" t="str">
            <v>NOTTE ALIMENTOS LTDA</v>
          </cell>
          <cell r="D3651" t="str">
            <v>7001</v>
          </cell>
          <cell r="E3651" t="str">
            <v>0749</v>
          </cell>
          <cell r="F3651" t="str">
            <v>C5</v>
          </cell>
          <cell r="G3651" t="str">
            <v>SP</v>
          </cell>
        </row>
        <row r="3652">
          <cell r="B3652">
            <v>5369486</v>
          </cell>
          <cell r="C3652" t="str">
            <v>PICOLE E SORVETE CAICOR LTDA</v>
          </cell>
          <cell r="D3652" t="str">
            <v>3001</v>
          </cell>
          <cell r="E3652" t="str">
            <v>0028</v>
          </cell>
          <cell r="F3652" t="str">
            <v>C1</v>
          </cell>
          <cell r="G3652" t="str">
            <v>AL</v>
          </cell>
        </row>
        <row r="3653">
          <cell r="B3653">
            <v>5135352</v>
          </cell>
          <cell r="C3653" t="str">
            <v>M C R COML DE BEBIDAS E CONSERVAS L</v>
          </cell>
          <cell r="D3653" t="str">
            <v>6001</v>
          </cell>
          <cell r="E3653" t="str">
            <v>6127</v>
          </cell>
          <cell r="F3653" t="str">
            <v>C1</v>
          </cell>
          <cell r="G3653" t="str">
            <v>BA</v>
          </cell>
        </row>
        <row r="3654">
          <cell r="B3654">
            <v>5166804</v>
          </cell>
          <cell r="C3654" t="str">
            <v>SKINABON ALIMENTOS LTDA</v>
          </cell>
          <cell r="D3654" t="str">
            <v>3001</v>
          </cell>
          <cell r="E3654" t="str">
            <v>0028</v>
          </cell>
          <cell r="F3654" t="str">
            <v>C1</v>
          </cell>
          <cell r="G3654" t="str">
            <v>RS</v>
          </cell>
        </row>
        <row r="3655">
          <cell r="B3655">
            <v>5173617</v>
          </cell>
          <cell r="C3655" t="str">
            <v>SORV ITALIA GELATO IND E COM LTDA</v>
          </cell>
          <cell r="D3655" t="str">
            <v>3001</v>
          </cell>
          <cell r="E3655" t="str">
            <v>0028</v>
          </cell>
          <cell r="F3655" t="str">
            <v>C1</v>
          </cell>
          <cell r="G3655" t="str">
            <v>PR</v>
          </cell>
        </row>
        <row r="3656">
          <cell r="B3656">
            <v>5183645</v>
          </cell>
          <cell r="C3656" t="str">
            <v>LIGA COM DE PRODUTOS PARA SORV</v>
          </cell>
          <cell r="D3656" t="str">
            <v>6001</v>
          </cell>
          <cell r="E3656" t="str">
            <v>6125</v>
          </cell>
          <cell r="F3656" t="str">
            <v>C1</v>
          </cell>
          <cell r="G3656" t="str">
            <v>SP</v>
          </cell>
        </row>
        <row r="3657">
          <cell r="B3657">
            <v>5211582</v>
          </cell>
          <cell r="C3657" t="str">
            <v>DAN VIGOR IND E COM LATICINIOS</v>
          </cell>
          <cell r="D3657" t="str">
            <v>4001</v>
          </cell>
          <cell r="E3657" t="str">
            <v>0437</v>
          </cell>
          <cell r="F3657" t="str">
            <v>C1</v>
          </cell>
          <cell r="G3657" t="str">
            <v>SP</v>
          </cell>
        </row>
        <row r="3658">
          <cell r="B3658">
            <v>5254009</v>
          </cell>
          <cell r="C3658" t="str">
            <v>DAOCA IND E COM DE ALIM LTDA</v>
          </cell>
          <cell r="D3658" t="str">
            <v>6001</v>
          </cell>
          <cell r="E3658" t="str">
            <v>6125</v>
          </cell>
          <cell r="F3658" t="str">
            <v>C1</v>
          </cell>
          <cell r="G3658" t="str">
            <v>SP</v>
          </cell>
        </row>
        <row r="3659">
          <cell r="B3659">
            <v>5366370</v>
          </cell>
          <cell r="C3659" t="str">
            <v>COMERCIO AT E VAR DE AL NORMA L</v>
          </cell>
          <cell r="D3659" t="str">
            <v>7001</v>
          </cell>
          <cell r="E3659" t="str">
            <v>0580</v>
          </cell>
          <cell r="F3659" t="str">
            <v>C5</v>
          </cell>
          <cell r="G3659" t="str">
            <v>AM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Dias"/>
      <sheetName val="Painel"/>
      <sheetName val="DINÂMICA PAINEL"/>
      <sheetName val="DEPARA FOOD"/>
      <sheetName val="Visão_Carteira_FOOD"/>
      <sheetName val="Planilha1"/>
      <sheetName val="Planilha2"/>
      <sheetName val="Análise PM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  <cell r="H1" t="str">
            <v>Segmento antigo</v>
          </cell>
          <cell r="I1" t="str">
            <v>Segmento</v>
          </cell>
          <cell r="J1" t="str">
            <v>Vendedor</v>
          </cell>
          <cell r="K1" t="str">
            <v>Empresa</v>
          </cell>
          <cell r="L1" t="str">
            <v>GERENTE</v>
          </cell>
          <cell r="M1" t="str">
            <v>COORDENAÇÃO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  <cell r="H2" t="str">
            <v>INGREDIENTS</v>
          </cell>
          <cell r="I2" t="str">
            <v>INGREDIENTS</v>
          </cell>
          <cell r="J2" t="str">
            <v>MARCELO RODRIGUES</v>
          </cell>
          <cell r="K2" t="str">
            <v>LACTALIS</v>
          </cell>
          <cell r="L2" t="str">
            <v>MAURICIO</v>
          </cell>
          <cell r="M2" t="str">
            <v>MARCELO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  <cell r="H3" t="str">
            <v>DISTRIBUIÇÃO</v>
          </cell>
          <cell r="I3" t="str">
            <v>FOOD SERVICE</v>
          </cell>
          <cell r="J3" t="str">
            <v>FLAC 4</v>
          </cell>
          <cell r="K3" t="str">
            <v>LACTALIS</v>
          </cell>
          <cell r="L3" t="str">
            <v>RODRIGO</v>
          </cell>
          <cell r="M3" t="str">
            <v>RAQUEL BARBOSA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  <cell r="H4" t="str">
            <v>DISTRIBUIÇÃO</v>
          </cell>
          <cell r="I4" t="str">
            <v>FOOD SERVICE</v>
          </cell>
          <cell r="J4" t="str">
            <v>FLAC 4</v>
          </cell>
          <cell r="K4" t="str">
            <v>LACTALIS</v>
          </cell>
          <cell r="L4" t="str">
            <v>RODRIGO</v>
          </cell>
          <cell r="M4" t="str">
            <v>RAQUEL BARBOSA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  <cell r="H5" t="str">
            <v>DISTRIBUIÇÃO</v>
          </cell>
          <cell r="I5" t="str">
            <v>FOOD SERVICE</v>
          </cell>
          <cell r="J5" t="str">
            <v>FLAC 5</v>
          </cell>
          <cell r="K5" t="str">
            <v>LACTALIS</v>
          </cell>
          <cell r="L5" t="str">
            <v>RODRIGO</v>
          </cell>
          <cell r="M5" t="str">
            <v>RAQUEL BARBOSA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  <cell r="H6" t="str">
            <v>DISTRIBUIÇÃO</v>
          </cell>
          <cell r="I6" t="str">
            <v>FOOD SERVICE</v>
          </cell>
          <cell r="J6" t="str">
            <v>FLAC 4</v>
          </cell>
          <cell r="K6" t="str">
            <v>LACTALIS</v>
          </cell>
          <cell r="L6" t="str">
            <v>RODRIGO</v>
          </cell>
          <cell r="M6" t="str">
            <v>RAQUEL BARBOSA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  <cell r="H7" t="str">
            <v>DISTRIBUIÇÃO</v>
          </cell>
          <cell r="I7" t="str">
            <v>FOOD SERVICE</v>
          </cell>
          <cell r="J7" t="str">
            <v>FLAC 4</v>
          </cell>
          <cell r="K7" t="str">
            <v>LACTALIS</v>
          </cell>
          <cell r="L7" t="str">
            <v>RODRIGO</v>
          </cell>
          <cell r="M7" t="str">
            <v>RAQUEL BARBOSA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  <cell r="H8" t="str">
            <v>DISTRIBUIÇÃO</v>
          </cell>
          <cell r="I8" t="str">
            <v>FOOD SERVICE</v>
          </cell>
          <cell r="J8" t="str">
            <v>FLAC 6</v>
          </cell>
          <cell r="K8" t="str">
            <v>LACTALIS</v>
          </cell>
          <cell r="L8" t="str">
            <v>RODRIGO</v>
          </cell>
          <cell r="M8" t="str">
            <v>RAQUEL BARBOSA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  <cell r="H9" t="str">
            <v>DISTRIBUIÇÃO</v>
          </cell>
          <cell r="I9" t="str">
            <v>FOOD SERVICE</v>
          </cell>
          <cell r="J9" t="str">
            <v>FLAC 8</v>
          </cell>
          <cell r="K9" t="str">
            <v>LACTALIS</v>
          </cell>
          <cell r="L9" t="str">
            <v>RODRIGO</v>
          </cell>
          <cell r="M9" t="str">
            <v>RAQUEL BARBOSA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  <cell r="H10" t="str">
            <v>DISTRIBUIÇÃO</v>
          </cell>
          <cell r="I10" t="str">
            <v>FOOD SERVICE</v>
          </cell>
          <cell r="J10" t="str">
            <v>VAGO SP</v>
          </cell>
          <cell r="K10" t="str">
            <v>LACTALIS</v>
          </cell>
          <cell r="L10" t="str">
            <v>RODRIGO</v>
          </cell>
          <cell r="M10" t="str">
            <v>RAQUEL BARBOSA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  <cell r="H11" t="str">
            <v>DISTRIBUIÇÃO</v>
          </cell>
          <cell r="I11" t="str">
            <v>FOOD SERVICE</v>
          </cell>
          <cell r="J11" t="str">
            <v>FLAC 6</v>
          </cell>
          <cell r="K11" t="str">
            <v>LACTALIS</v>
          </cell>
          <cell r="L11" t="str">
            <v>RODRIGO</v>
          </cell>
          <cell r="M11" t="str">
            <v>RAQUEL BARBOSA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  <cell r="H12" t="str">
            <v>DISTRIBUIÇÃO</v>
          </cell>
          <cell r="I12" t="str">
            <v>FOOD SERVICE</v>
          </cell>
          <cell r="J12" t="str">
            <v>FLAC 5</v>
          </cell>
          <cell r="K12" t="str">
            <v>LACTALIS</v>
          </cell>
          <cell r="L12" t="str">
            <v>RODRIGO</v>
          </cell>
          <cell r="M12" t="str">
            <v>RAQUEL BARBOSA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  <cell r="H13" t="str">
            <v>DISTRIBUIÇÃO</v>
          </cell>
          <cell r="I13" t="str">
            <v>FOOD SERVICE</v>
          </cell>
          <cell r="J13" t="str">
            <v>FLAC 2</v>
          </cell>
          <cell r="K13" t="str">
            <v>LACTALIS</v>
          </cell>
          <cell r="L13" t="str">
            <v>RODRIGO</v>
          </cell>
          <cell r="M13" t="str">
            <v>RAQUEL BARBOSA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  <cell r="H14" t="str">
            <v>DISTRIBUIÇÃO</v>
          </cell>
          <cell r="I14" t="str">
            <v>FOOD SERVICE</v>
          </cell>
          <cell r="J14" t="str">
            <v>FLAC 2</v>
          </cell>
          <cell r="K14" t="str">
            <v>LACTALIS</v>
          </cell>
          <cell r="L14" t="str">
            <v>RODRIGO</v>
          </cell>
          <cell r="M14" t="str">
            <v>RAQUEL BARBOSA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  <cell r="H15" t="str">
            <v>DISTRIBUIÇÃO</v>
          </cell>
          <cell r="I15" t="str">
            <v>FOOD SERVICE</v>
          </cell>
          <cell r="J15" t="str">
            <v>FLAC 6</v>
          </cell>
          <cell r="K15" t="str">
            <v>LACTALIS</v>
          </cell>
          <cell r="L15" t="str">
            <v>RODRIGO</v>
          </cell>
          <cell r="M15" t="str">
            <v>RAQUEL BARBOSA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  <cell r="H16" t="str">
            <v>INGREDIENTS</v>
          </cell>
          <cell r="I16" t="str">
            <v>INGREDIENTS</v>
          </cell>
          <cell r="J16" t="str">
            <v>MARCELO RODRIGUES</v>
          </cell>
          <cell r="K16" t="str">
            <v>LACTALIS</v>
          </cell>
          <cell r="L16" t="str">
            <v>MAURICIO</v>
          </cell>
          <cell r="M16" t="str">
            <v>MARCELO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  <cell r="H17" t="str">
            <v>DISTRIBUIÇÃO</v>
          </cell>
          <cell r="I17" t="str">
            <v>FOOD SERVICE</v>
          </cell>
          <cell r="J17" t="str">
            <v>FLAC 2</v>
          </cell>
          <cell r="K17" t="str">
            <v>LACTALIS</v>
          </cell>
          <cell r="L17" t="str">
            <v>RODRIGO</v>
          </cell>
          <cell r="M17" t="str">
            <v>RAQUEL BARBOSA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  <cell r="H18" t="str">
            <v>DISTRIBUIÇÃO</v>
          </cell>
          <cell r="I18" t="str">
            <v>FOOD SERVICE</v>
          </cell>
          <cell r="J18" t="str">
            <v>FLAC 6</v>
          </cell>
          <cell r="K18" t="str">
            <v>LACTALIS</v>
          </cell>
          <cell r="L18" t="str">
            <v>RODRIGO</v>
          </cell>
          <cell r="M18" t="str">
            <v>RAQUEL BARBOSA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  <cell r="H19" t="str">
            <v>DISTRIBUIÇÃO</v>
          </cell>
          <cell r="I19" t="str">
            <v>FOOD SERVICE</v>
          </cell>
          <cell r="J19" t="str">
            <v>FLAC 2</v>
          </cell>
          <cell r="K19" t="str">
            <v>LACTALIS</v>
          </cell>
          <cell r="L19" t="str">
            <v>RODRIGO</v>
          </cell>
          <cell r="M19" t="str">
            <v>RAQUEL BARBOSA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  <cell r="H20" t="str">
            <v>DISTRIBUIÇÃO</v>
          </cell>
          <cell r="I20" t="str">
            <v>FOOD SERVICE</v>
          </cell>
          <cell r="J20" t="str">
            <v>FLAC 6</v>
          </cell>
          <cell r="K20" t="str">
            <v>LACTALIS</v>
          </cell>
          <cell r="L20" t="str">
            <v>RODRIGO</v>
          </cell>
          <cell r="M20" t="str">
            <v>RAQUEL BARBOSA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  <cell r="H21" t="str">
            <v>DISTRIBUIÇÃO</v>
          </cell>
          <cell r="I21" t="str">
            <v>FOOD SERVICE</v>
          </cell>
          <cell r="J21" t="str">
            <v>FLAC 6</v>
          </cell>
          <cell r="K21" t="str">
            <v>LACTALIS</v>
          </cell>
          <cell r="L21" t="str">
            <v>RODRIGO</v>
          </cell>
          <cell r="M21" t="str">
            <v>RAQUEL BARBOSA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  <cell r="H22" t="str">
            <v>DISTRIBUIÇÃO</v>
          </cell>
          <cell r="I22" t="str">
            <v>FOOD SERVICE</v>
          </cell>
          <cell r="J22" t="str">
            <v>FLAC 2</v>
          </cell>
          <cell r="K22" t="str">
            <v>LACTALIS</v>
          </cell>
          <cell r="L22" t="str">
            <v>RODRIGO</v>
          </cell>
          <cell r="M22" t="str">
            <v>RAQUEL BARBOSA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  <cell r="H23" t="str">
            <v>DISTRIBUIÇÃO</v>
          </cell>
          <cell r="I23" t="str">
            <v>FOOD SERVICE</v>
          </cell>
          <cell r="J23" t="str">
            <v>FLAC 1</v>
          </cell>
          <cell r="K23" t="str">
            <v>LACTALIS</v>
          </cell>
          <cell r="L23" t="str">
            <v>RODRIGO</v>
          </cell>
          <cell r="M23" t="str">
            <v>RAQUEL BARBOSA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  <cell r="H24" t="str">
            <v>DISTRIBUIÇÃO</v>
          </cell>
          <cell r="I24" t="str">
            <v>FOOD SERVICE</v>
          </cell>
          <cell r="J24" t="str">
            <v>FLAC 2</v>
          </cell>
          <cell r="K24" t="str">
            <v>LACTALIS</v>
          </cell>
          <cell r="L24" t="str">
            <v>RODRIGO</v>
          </cell>
          <cell r="M24" t="str">
            <v>RAQUEL BARBOSA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  <cell r="H25" t="str">
            <v>DISTRIBUIÇÃO</v>
          </cell>
          <cell r="I25" t="str">
            <v>FOOD SERVICE</v>
          </cell>
          <cell r="J25" t="str">
            <v>FLAC 6</v>
          </cell>
          <cell r="K25" t="str">
            <v>LACTALIS</v>
          </cell>
          <cell r="L25" t="str">
            <v>RODRIGO</v>
          </cell>
          <cell r="M25" t="str">
            <v>RAQUEL BARBOSA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  <cell r="H26" t="str">
            <v>DISTRIBUIÇÃO</v>
          </cell>
          <cell r="I26" t="str">
            <v>FOOD SERVICE</v>
          </cell>
          <cell r="J26" t="str">
            <v>FLAC 2</v>
          </cell>
          <cell r="K26" t="str">
            <v>LACTALIS</v>
          </cell>
          <cell r="L26" t="str">
            <v>RODRIGO</v>
          </cell>
          <cell r="M26" t="str">
            <v>RAQUEL BARBOSA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  <cell r="H27" t="str">
            <v>DISTRIBUIÇÃO</v>
          </cell>
          <cell r="I27" t="str">
            <v>FOOD SERVICE</v>
          </cell>
          <cell r="J27" t="str">
            <v>FLAC 2</v>
          </cell>
          <cell r="K27" t="str">
            <v>LACTALIS</v>
          </cell>
          <cell r="L27" t="str">
            <v>RODRIGO</v>
          </cell>
          <cell r="M27" t="str">
            <v>RAQUEL BARBOSA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  <cell r="H28" t="str">
            <v>DISTRIBUIÇÃO</v>
          </cell>
          <cell r="I28" t="str">
            <v>FOOD SERVICE</v>
          </cell>
          <cell r="J28" t="str">
            <v>FLAC 2</v>
          </cell>
          <cell r="K28" t="str">
            <v>LACTALIS</v>
          </cell>
          <cell r="L28" t="str">
            <v>RODRIGO</v>
          </cell>
          <cell r="M28" t="str">
            <v>RAQUEL BARBOSA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  <cell r="H29" t="str">
            <v>DISTRIBUIÇÃO</v>
          </cell>
          <cell r="I29" t="str">
            <v>FOOD SERVICE</v>
          </cell>
          <cell r="J29" t="str">
            <v>FLAC 3</v>
          </cell>
          <cell r="K29" t="str">
            <v>LACTALIS</v>
          </cell>
          <cell r="L29" t="str">
            <v>RODRIGO</v>
          </cell>
          <cell r="M29" t="str">
            <v>RAQUEL BARBOSA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  <cell r="H30" t="str">
            <v>DISTRIBUIÇÃO</v>
          </cell>
          <cell r="I30" t="str">
            <v>FOOD SERVICE</v>
          </cell>
          <cell r="J30" t="str">
            <v>CLAUDIO JORGE</v>
          </cell>
          <cell r="K30" t="str">
            <v>ITAMBÉ</v>
          </cell>
          <cell r="L30" t="str">
            <v>RODRIGO</v>
          </cell>
          <cell r="M30" t="str">
            <v>MARIA LOURDES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  <cell r="H31" t="str">
            <v>DISTRIBUIÇÃO</v>
          </cell>
          <cell r="I31" t="str">
            <v>FOOD SERVICE</v>
          </cell>
          <cell r="J31" t="str">
            <v>CLAUDIO JORGE/LUIZ</v>
          </cell>
          <cell r="K31" t="str">
            <v>ITAMBÉ</v>
          </cell>
          <cell r="L31" t="str">
            <v>RODRIGO</v>
          </cell>
          <cell r="M31" t="str">
            <v>MARIA LOURDES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  <cell r="H32" t="str">
            <v>DISTRIBUIÇÃO</v>
          </cell>
          <cell r="I32" t="str">
            <v>FOOD SERVICE</v>
          </cell>
          <cell r="J32" t="str">
            <v>FLAC 5</v>
          </cell>
          <cell r="K32" t="str">
            <v>LACTALIS</v>
          </cell>
          <cell r="L32" t="str">
            <v>RODRIGO</v>
          </cell>
          <cell r="M32" t="str">
            <v>RAQUEL BARBOSA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  <cell r="H33" t="str">
            <v>DISTRIBUIÇÃO</v>
          </cell>
          <cell r="I33" t="str">
            <v>FOOD SERVICE</v>
          </cell>
          <cell r="J33" t="str">
            <v>FLAC 6</v>
          </cell>
          <cell r="K33" t="str">
            <v>LACTALIS</v>
          </cell>
          <cell r="L33" t="str">
            <v>RODRIGO</v>
          </cell>
          <cell r="M33" t="str">
            <v>RAQUEL BARBOSA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  <cell r="H34" t="str">
            <v>DISTRIBUIÇÃO</v>
          </cell>
          <cell r="I34" t="str">
            <v>FOOD SERVICE</v>
          </cell>
          <cell r="J34" t="str">
            <v>FLAC 6</v>
          </cell>
          <cell r="K34" t="str">
            <v>LACTALIS</v>
          </cell>
          <cell r="L34" t="str">
            <v>RODRIGO</v>
          </cell>
          <cell r="M34" t="str">
            <v>RAQUEL BARBOSA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  <cell r="H35" t="str">
            <v>DISTRIBUIÇÃO</v>
          </cell>
          <cell r="I35" t="str">
            <v>FOOD SERVICE</v>
          </cell>
          <cell r="J35" t="str">
            <v>FLAC 2</v>
          </cell>
          <cell r="K35" t="str">
            <v>LACTALIS</v>
          </cell>
          <cell r="L35" t="str">
            <v>RODRIGO</v>
          </cell>
          <cell r="M35" t="str">
            <v>RAQUEL BARBOSA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  <cell r="H36" t="str">
            <v>DISTRIBUIÇÃO</v>
          </cell>
          <cell r="I36" t="str">
            <v>FOOD SERVICE</v>
          </cell>
          <cell r="J36" t="str">
            <v>FLAC 6</v>
          </cell>
          <cell r="K36" t="str">
            <v>LACTALIS</v>
          </cell>
          <cell r="L36" t="str">
            <v>RODRIGO</v>
          </cell>
          <cell r="M36" t="str">
            <v>RAQUEL BARBOSA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  <cell r="H37" t="str">
            <v>DISTRIBUIÇÃO</v>
          </cell>
          <cell r="I37" t="str">
            <v>FOOD SERVICE</v>
          </cell>
          <cell r="J37" t="str">
            <v>CLAUDIO JORGE/LUIZ</v>
          </cell>
          <cell r="K37" t="str">
            <v>ITAMBÉ</v>
          </cell>
          <cell r="L37" t="str">
            <v>RODRIGO</v>
          </cell>
          <cell r="M37" t="str">
            <v>MARIA LOURDES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  <cell r="H38" t="str">
            <v>DISTRIBUIÇÃO</v>
          </cell>
          <cell r="I38" t="str">
            <v>FOOD SERVICE</v>
          </cell>
          <cell r="J38" t="str">
            <v>FLAC 3</v>
          </cell>
          <cell r="K38" t="str">
            <v>LACTALIS</v>
          </cell>
          <cell r="L38" t="str">
            <v>RODRIGO</v>
          </cell>
          <cell r="M38" t="str">
            <v>RAQUEL BARBOSA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  <cell r="H39" t="str">
            <v>DISTRIBUIÇÃO</v>
          </cell>
          <cell r="I39" t="str">
            <v>FOOD SERVICE</v>
          </cell>
          <cell r="J39" t="str">
            <v>FLAC 6</v>
          </cell>
          <cell r="K39" t="str">
            <v>LACTALIS</v>
          </cell>
          <cell r="L39" t="str">
            <v>RODRIGO</v>
          </cell>
          <cell r="M39" t="str">
            <v>RAQUEL BARBOSA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  <cell r="H40" t="str">
            <v>OUTROS</v>
          </cell>
          <cell r="I40" t="str">
            <v>OUTROS</v>
          </cell>
          <cell r="J40" t="str">
            <v>ITAMBE - EXPORTACAO</v>
          </cell>
          <cell r="K40" t="str">
            <v>OUTROS</v>
          </cell>
          <cell r="L40" t="str">
            <v>OUTROS</v>
          </cell>
          <cell r="M40" t="str">
            <v>EXPORTAÇÃO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  <cell r="H41" t="str">
            <v>DISTRIBUIÇÃO</v>
          </cell>
          <cell r="I41" t="str">
            <v>FOOD SERVICE</v>
          </cell>
          <cell r="J41" t="str">
            <v>FLAC 2</v>
          </cell>
          <cell r="K41" t="str">
            <v>LACTALIS</v>
          </cell>
          <cell r="L41" t="str">
            <v>RODRIGO</v>
          </cell>
          <cell r="M41" t="str">
            <v>RAQUEL BARBOSA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  <cell r="H42" t="str">
            <v>INGREDIENTS</v>
          </cell>
          <cell r="I42" t="str">
            <v>INGREDIENTS</v>
          </cell>
          <cell r="J42" t="str">
            <v>RJ ITB FS CDR REPRESENTAÇÕES</v>
          </cell>
          <cell r="K42" t="str">
            <v>ITAMBÉ</v>
          </cell>
          <cell r="L42" t="str">
            <v>MAURICIO</v>
          </cell>
          <cell r="M42" t="str">
            <v>TATIANA NITTA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  <cell r="H43" t="str">
            <v>DISTRIBUIÇÃO</v>
          </cell>
          <cell r="I43" t="str">
            <v>FOOD SERVICE</v>
          </cell>
          <cell r="J43" t="str">
            <v>CLAUDIO JORGE/LUIZ</v>
          </cell>
          <cell r="K43" t="str">
            <v>ITAMBÉ</v>
          </cell>
          <cell r="L43" t="str">
            <v>RODRIGO</v>
          </cell>
          <cell r="M43" t="str">
            <v>MARIA LOURDES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  <cell r="H44" t="str">
            <v>INGREDIENTS</v>
          </cell>
          <cell r="I44" t="str">
            <v>INGREDIENTS</v>
          </cell>
          <cell r="J44" t="str">
            <v>HENRIQUE FERREIRA</v>
          </cell>
          <cell r="K44" t="str">
            <v>ITAMBÉ</v>
          </cell>
          <cell r="L44" t="str">
            <v>MAURICIO</v>
          </cell>
          <cell r="M44" t="str">
            <v>JOEL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  <cell r="H45" t="str">
            <v>DISTRIBUIÇÃO</v>
          </cell>
          <cell r="I45" t="str">
            <v>FOOD SERVICE</v>
          </cell>
          <cell r="J45" t="str">
            <v>FLAC 5</v>
          </cell>
          <cell r="K45" t="str">
            <v>LACTALIS</v>
          </cell>
          <cell r="L45" t="str">
            <v>RODRIGO</v>
          </cell>
          <cell r="M45" t="str">
            <v>RAQUEL BARBOSA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  <cell r="H46" t="str">
            <v>DISTRIBUIÇÃO</v>
          </cell>
          <cell r="I46" t="str">
            <v>FOOD SERVICE</v>
          </cell>
          <cell r="J46" t="str">
            <v>FLAC 3</v>
          </cell>
          <cell r="K46" t="str">
            <v>LACTALIS</v>
          </cell>
          <cell r="L46" t="str">
            <v>RODRIGO</v>
          </cell>
          <cell r="M46" t="str">
            <v>RAQUEL BARBOSA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  <cell r="H47" t="str">
            <v>DISTRIBUIÇÃO</v>
          </cell>
          <cell r="I47" t="str">
            <v>FOOD SERVICE</v>
          </cell>
          <cell r="J47" t="str">
            <v>ALEXANDRE BONANI</v>
          </cell>
          <cell r="K47" t="str">
            <v>ITAMBÉ</v>
          </cell>
          <cell r="L47" t="str">
            <v>RODRIGO</v>
          </cell>
          <cell r="M47" t="str">
            <v>ALEXANDRE BONANI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  <cell r="H48" t="str">
            <v>DISTRIBUIÇÃO</v>
          </cell>
          <cell r="I48" t="str">
            <v>FOOD SERVICE</v>
          </cell>
          <cell r="J48" t="str">
            <v>FLAC 3</v>
          </cell>
          <cell r="K48" t="str">
            <v>LACTALIS</v>
          </cell>
          <cell r="L48" t="str">
            <v>RODRIGO</v>
          </cell>
          <cell r="M48" t="str">
            <v>RAQUEL BARBOSA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  <cell r="H49" t="str">
            <v>DISTRIBUIÇÃO</v>
          </cell>
          <cell r="I49" t="str">
            <v>FOOD SERVICE</v>
          </cell>
          <cell r="J49" t="str">
            <v>FLAC 3</v>
          </cell>
          <cell r="K49" t="str">
            <v>LACTALIS</v>
          </cell>
          <cell r="L49" t="str">
            <v>RODRIGO</v>
          </cell>
          <cell r="M49" t="str">
            <v>RAQUEL BARBOSA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  <cell r="H50" t="str">
            <v>DISTRIBUIÇÃO</v>
          </cell>
          <cell r="I50" t="str">
            <v>FOOD SERVICE</v>
          </cell>
          <cell r="J50" t="str">
            <v>FLAC 3</v>
          </cell>
          <cell r="K50" t="str">
            <v>LACTALIS</v>
          </cell>
          <cell r="L50" t="str">
            <v>RODRIGO</v>
          </cell>
          <cell r="M50" t="str">
            <v>RAQUEL BARBOSA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  <cell r="H51" t="str">
            <v>DISTRIBUIÇÃO</v>
          </cell>
          <cell r="I51" t="str">
            <v>FOOD SERVICE</v>
          </cell>
          <cell r="J51" t="str">
            <v>FLAC 3</v>
          </cell>
          <cell r="K51" t="str">
            <v>LACTALIS</v>
          </cell>
          <cell r="L51" t="str">
            <v>RODRIGO</v>
          </cell>
          <cell r="M51" t="str">
            <v>RAQUEL BARBOSA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  <cell r="H52" t="str">
            <v>DISTRIBUIÇÃO</v>
          </cell>
          <cell r="I52" t="str">
            <v>FOOD SERVICE</v>
          </cell>
          <cell r="J52" t="str">
            <v>MARCELO SILVA</v>
          </cell>
          <cell r="K52" t="str">
            <v>ITAMBÉ</v>
          </cell>
          <cell r="L52" t="str">
            <v>RODRIGO</v>
          </cell>
          <cell r="M52" t="str">
            <v>CELIO MARTINS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  <cell r="H53" t="str">
            <v>DISTRIBUIÇÃO</v>
          </cell>
          <cell r="I53" t="str">
            <v>FOOD SERVICE</v>
          </cell>
          <cell r="J53" t="str">
            <v>SP ITB FS FLAC REP.E COMERCIO</v>
          </cell>
          <cell r="K53" t="str">
            <v>LACTALIS</v>
          </cell>
          <cell r="L53" t="str">
            <v>RODRIGO</v>
          </cell>
          <cell r="M53" t="str">
            <v>RAQUEL BARBOSA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  <cell r="H54" t="str">
            <v>INGREDIENTS</v>
          </cell>
          <cell r="I54" t="str">
            <v>INGREDIENTS</v>
          </cell>
          <cell r="J54" t="str">
            <v>HENRIQUE FERREIRA</v>
          </cell>
          <cell r="K54" t="str">
            <v>ITAMBÉ</v>
          </cell>
          <cell r="L54" t="str">
            <v>MAURICIO</v>
          </cell>
          <cell r="M54" t="str">
            <v>JOEL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  <cell r="H55" t="str">
            <v>DISTRIBUIÇÃO</v>
          </cell>
          <cell r="I55" t="str">
            <v>FOOD SERVICE</v>
          </cell>
          <cell r="J55" t="str">
            <v>FLAC 3</v>
          </cell>
          <cell r="K55" t="str">
            <v>LACTALIS</v>
          </cell>
          <cell r="L55" t="str">
            <v>RODRIGO</v>
          </cell>
          <cell r="M55" t="str">
            <v>RAQUEL BARBOSA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  <cell r="H56" t="str">
            <v>DISTRIBUIÇÃO</v>
          </cell>
          <cell r="I56" t="str">
            <v>FOOD SERVICE</v>
          </cell>
          <cell r="J56" t="str">
            <v>FLAC 6</v>
          </cell>
          <cell r="K56" t="str">
            <v>LACTALIS</v>
          </cell>
          <cell r="L56" t="str">
            <v>RODRIGO</v>
          </cell>
          <cell r="M56" t="str">
            <v>RAQUEL BARBOSA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  <cell r="H57" t="str">
            <v>DISTRIBUIÇÃO</v>
          </cell>
          <cell r="I57" t="str">
            <v>FOOD SERVICE</v>
          </cell>
          <cell r="J57" t="str">
            <v>CLAUDIO JORGE</v>
          </cell>
          <cell r="K57" t="str">
            <v>ITAMBÉ</v>
          </cell>
          <cell r="L57" t="str">
            <v>RODRIGO</v>
          </cell>
          <cell r="M57" t="str">
            <v>MARIA LOURDES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  <cell r="H58" t="str">
            <v>DISTRIBUIÇÃO</v>
          </cell>
          <cell r="I58" t="str">
            <v>FOOD SERVICE</v>
          </cell>
          <cell r="J58" t="str">
            <v>FLAC 2</v>
          </cell>
          <cell r="K58" t="str">
            <v>LACTALIS</v>
          </cell>
          <cell r="L58" t="str">
            <v>RODRIGO</v>
          </cell>
          <cell r="M58" t="str">
            <v>RAQUEL BARBOSA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  <cell r="H59" t="str">
            <v>DISTRIBUIÇÃO</v>
          </cell>
          <cell r="I59" t="str">
            <v>FOOD SERVICE</v>
          </cell>
          <cell r="J59" t="str">
            <v>CLAUDIO JORGE/LUIZ</v>
          </cell>
          <cell r="K59" t="str">
            <v>ITAMBÉ</v>
          </cell>
          <cell r="L59" t="str">
            <v>RODRIGO</v>
          </cell>
          <cell r="M59" t="str">
            <v>MARIA LOURDES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  <cell r="H60" t="str">
            <v>DISTRIBUIÇÃO</v>
          </cell>
          <cell r="I60" t="str">
            <v>FOOD SERVICE</v>
          </cell>
          <cell r="J60" t="str">
            <v>FLAC 6</v>
          </cell>
          <cell r="K60" t="str">
            <v>LACTALIS</v>
          </cell>
          <cell r="L60" t="str">
            <v>RODRIGO</v>
          </cell>
          <cell r="M60" t="str">
            <v>RAQUEL BARBOSA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  <cell r="H61" t="str">
            <v>DISTRIBUIÇÃO</v>
          </cell>
          <cell r="I61" t="str">
            <v>FOOD SERVICE</v>
          </cell>
          <cell r="J61" t="str">
            <v>FLAC 6</v>
          </cell>
          <cell r="K61" t="str">
            <v>LACTALIS</v>
          </cell>
          <cell r="L61" t="str">
            <v>RODRIGO</v>
          </cell>
          <cell r="M61" t="str">
            <v>RAQUEL BARBOSA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  <cell r="H62" t="str">
            <v>DISTRIBUIÇÃO</v>
          </cell>
          <cell r="I62" t="str">
            <v>FOOD SERVICE</v>
          </cell>
          <cell r="J62" t="str">
            <v>FLAC 3</v>
          </cell>
          <cell r="K62" t="str">
            <v>LACTALIS</v>
          </cell>
          <cell r="L62" t="str">
            <v>RODRIGO</v>
          </cell>
          <cell r="M62" t="str">
            <v>RAQUEL BARBOSA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  <cell r="H63" t="str">
            <v>INGREDIENTS</v>
          </cell>
          <cell r="I63" t="str">
            <v>INGREDIENTS</v>
          </cell>
          <cell r="J63" t="str">
            <v>TATIANA NITTA</v>
          </cell>
          <cell r="K63" t="str">
            <v>LACTALIS</v>
          </cell>
          <cell r="L63" t="str">
            <v>MAURICIO</v>
          </cell>
          <cell r="M63" t="str">
            <v>TATIANA NITTA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  <cell r="H64" t="str">
            <v>INGREDIENTS</v>
          </cell>
          <cell r="I64" t="str">
            <v>INGREDIENTS</v>
          </cell>
          <cell r="J64" t="str">
            <v>TATIANA NITTA</v>
          </cell>
          <cell r="K64" t="str">
            <v>LACTALIS</v>
          </cell>
          <cell r="L64" t="str">
            <v>MAURICIO</v>
          </cell>
          <cell r="M64" t="str">
            <v>TATIANA NITTA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  <cell r="H65" t="str">
            <v>INGREDIENTS</v>
          </cell>
          <cell r="I65" t="str">
            <v>INGREDIENTS</v>
          </cell>
          <cell r="J65" t="str">
            <v>MARCELO RODRIGUES</v>
          </cell>
          <cell r="K65" t="str">
            <v>LACTALIS</v>
          </cell>
          <cell r="L65" t="str">
            <v>MAURICIO</v>
          </cell>
          <cell r="M65" t="str">
            <v>MARCELO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  <cell r="H66" t="str">
            <v>INGREDIENTS</v>
          </cell>
          <cell r="I66" t="str">
            <v>INGREDIENTS</v>
          </cell>
          <cell r="J66" t="str">
            <v>DUAS RODAS</v>
          </cell>
          <cell r="K66" t="str">
            <v>ITAMBÉ</v>
          </cell>
          <cell r="L66" t="str">
            <v>MAURICIO</v>
          </cell>
          <cell r="M66" t="str">
            <v>MARCELO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  <cell r="H67" t="str">
            <v>DISTRIBUIÇÃO</v>
          </cell>
          <cell r="I67" t="str">
            <v>FOOD SERVICE</v>
          </cell>
          <cell r="J67" t="str">
            <v>ALEXANDRE BONANI</v>
          </cell>
          <cell r="K67" t="str">
            <v>ITAMBÉ</v>
          </cell>
          <cell r="L67" t="str">
            <v>RODRIGO</v>
          </cell>
          <cell r="M67" t="str">
            <v>ALEXANDRE BONANI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  <cell r="H68" t="str">
            <v>DISTRIBUIÇÃO</v>
          </cell>
          <cell r="I68" t="str">
            <v>FOOD SERVICE</v>
          </cell>
          <cell r="J68" t="str">
            <v>FLAC 6</v>
          </cell>
          <cell r="K68" t="str">
            <v>LACTALIS</v>
          </cell>
          <cell r="L68" t="str">
            <v>RODRIGO</v>
          </cell>
          <cell r="M68" t="str">
            <v>RAQUEL BARBOSA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  <cell r="H69" t="str">
            <v>DISTRIBUIÇÃO</v>
          </cell>
          <cell r="I69" t="str">
            <v>FOOD SERVICE</v>
          </cell>
          <cell r="J69" t="str">
            <v>FLAC 6</v>
          </cell>
          <cell r="K69" t="str">
            <v>LACTALIS</v>
          </cell>
          <cell r="L69" t="str">
            <v>RODRIGO</v>
          </cell>
          <cell r="M69" t="str">
            <v>RAQUEL BARBOSA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  <cell r="H70" t="str">
            <v>DISTRIBUIÇÃO</v>
          </cell>
          <cell r="I70" t="str">
            <v>FOOD SERVICE</v>
          </cell>
          <cell r="J70" t="str">
            <v>FLAC 5</v>
          </cell>
          <cell r="K70" t="str">
            <v>LACTALIS</v>
          </cell>
          <cell r="L70" t="str">
            <v>RODRIGO</v>
          </cell>
          <cell r="M70" t="str">
            <v>RAQUEL BARBOSA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  <cell r="H71" t="str">
            <v>DISTRIBUIÇÃO</v>
          </cell>
          <cell r="I71" t="str">
            <v>FOOD SERVICE</v>
          </cell>
          <cell r="J71" t="str">
            <v>VAGO SP</v>
          </cell>
          <cell r="K71" t="str">
            <v>ITAMBÉ</v>
          </cell>
          <cell r="L71" t="str">
            <v>RODRIGO</v>
          </cell>
          <cell r="M71" t="str">
            <v>RAQUEL BARBOSA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  <cell r="H72" t="str">
            <v>DISTRIBUIÇÃO</v>
          </cell>
          <cell r="I72" t="str">
            <v>FOOD SERVICE</v>
          </cell>
          <cell r="J72" t="str">
            <v>WH FOOD SERVICE CE</v>
          </cell>
          <cell r="K72" t="str">
            <v>ITAMBÉ</v>
          </cell>
          <cell r="L72" t="str">
            <v>RODRIGO</v>
          </cell>
          <cell r="M72" t="str">
            <v>MARIA LOURDES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  <cell r="H73" t="str">
            <v>DISTRIBUIÇÃO</v>
          </cell>
          <cell r="I73" t="str">
            <v>FOOD SERVICE</v>
          </cell>
          <cell r="J73" t="str">
            <v>ALEXANDRO RODRIGUES</v>
          </cell>
          <cell r="K73" t="str">
            <v>ITAMBÉ</v>
          </cell>
          <cell r="L73" t="str">
            <v>RODRIGO</v>
          </cell>
          <cell r="M73" t="str">
            <v>ALEXANDRO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  <cell r="H74" t="str">
            <v>DISTRIBUIÇÃO</v>
          </cell>
          <cell r="I74" t="str">
            <v>FOOD SERVICE</v>
          </cell>
          <cell r="J74" t="str">
            <v>MARCO AURELIO</v>
          </cell>
          <cell r="K74" t="str">
            <v>ITAMBÉ</v>
          </cell>
          <cell r="L74" t="str">
            <v>RODRIGO</v>
          </cell>
          <cell r="M74" t="str">
            <v>MARCO AURELIO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  <cell r="H75" t="str">
            <v>DISTRIBUIÇÃO</v>
          </cell>
          <cell r="I75" t="str">
            <v>FOOD SERVICE</v>
          </cell>
          <cell r="J75" t="str">
            <v>FLAC 2</v>
          </cell>
          <cell r="K75" t="str">
            <v>LACTALIS</v>
          </cell>
          <cell r="L75" t="str">
            <v>RODRIGO</v>
          </cell>
          <cell r="M75" t="str">
            <v>RAQUEL BARBOSA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  <cell r="H76" t="str">
            <v>DISTRIBUIÇÃO</v>
          </cell>
          <cell r="I76" t="str">
            <v>FOOD SERVICE</v>
          </cell>
          <cell r="J76" t="str">
            <v>FLAC 2</v>
          </cell>
          <cell r="K76" t="str">
            <v>LACTALIS</v>
          </cell>
          <cell r="L76" t="str">
            <v>RODRIGO</v>
          </cell>
          <cell r="M76" t="str">
            <v>RAQUEL BARBOSA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  <cell r="H77" t="str">
            <v>DISTRIBUIÇÃO</v>
          </cell>
          <cell r="I77" t="str">
            <v>FOOD SERVICE</v>
          </cell>
          <cell r="J77" t="str">
            <v>ANGELICA BATISTELA</v>
          </cell>
          <cell r="K77" t="str">
            <v>ITAMBÉ</v>
          </cell>
          <cell r="L77" t="str">
            <v>RODRIGO</v>
          </cell>
          <cell r="M77" t="str">
            <v>ANGELICA BATISTELA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  <cell r="H78" t="str">
            <v>DISTRIBUIÇÃO</v>
          </cell>
          <cell r="I78" t="str">
            <v>FOOD SERVICE</v>
          </cell>
          <cell r="J78" t="str">
            <v>FLAC 4</v>
          </cell>
          <cell r="K78" t="str">
            <v>LACTALIS</v>
          </cell>
          <cell r="L78" t="str">
            <v>RODRIGO</v>
          </cell>
          <cell r="M78" t="str">
            <v>RAQUEL BARBOSA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  <cell r="H79" t="str">
            <v>DISTRIBUIÇÃO</v>
          </cell>
          <cell r="I79" t="str">
            <v>FOOD SERVICE</v>
          </cell>
          <cell r="J79" t="str">
            <v>FLAC 2</v>
          </cell>
          <cell r="K79" t="str">
            <v>LACTALIS</v>
          </cell>
          <cell r="L79" t="str">
            <v>RODRIGO</v>
          </cell>
          <cell r="M79" t="str">
            <v>RAQUEL BARBOSA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  <cell r="H80" t="str">
            <v>DISTRIBUIÇÃO</v>
          </cell>
          <cell r="I80" t="str">
            <v>FOOD SERVICE</v>
          </cell>
          <cell r="J80" t="str">
            <v>FLAC 2</v>
          </cell>
          <cell r="K80" t="str">
            <v>LACTALIS</v>
          </cell>
          <cell r="L80" t="str">
            <v>RODRIGO</v>
          </cell>
          <cell r="M80" t="str">
            <v>RAQUEL BARBOSA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  <cell r="H81" t="str">
            <v>DISTRIBUIÇÃO</v>
          </cell>
          <cell r="I81" t="str">
            <v>FOOD SERVICE</v>
          </cell>
          <cell r="J81" t="str">
            <v>MARCELO SILVA</v>
          </cell>
          <cell r="K81" t="str">
            <v>ITAMBÉ</v>
          </cell>
          <cell r="L81" t="str">
            <v>RODRIGO</v>
          </cell>
          <cell r="M81" t="str">
            <v>CELIO MARTINS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  <cell r="H82" t="str">
            <v>DISTRIBUIÇÃO</v>
          </cell>
          <cell r="I82" t="str">
            <v>FOOD SERVICE</v>
          </cell>
          <cell r="J82" t="str">
            <v>FLAC 2</v>
          </cell>
          <cell r="K82" t="str">
            <v>LACTALIS</v>
          </cell>
          <cell r="L82" t="str">
            <v>RODRIGO</v>
          </cell>
          <cell r="M82" t="str">
            <v>RAQUEL BARBOSA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  <cell r="H83" t="str">
            <v>DISTRIBUIÇÃO</v>
          </cell>
          <cell r="I83" t="str">
            <v>FOOD SERVICE</v>
          </cell>
          <cell r="J83" t="str">
            <v>FLAC 2</v>
          </cell>
          <cell r="K83" t="str">
            <v>LACTALIS</v>
          </cell>
          <cell r="L83" t="str">
            <v>RODRIGO</v>
          </cell>
          <cell r="M83" t="str">
            <v>RAQUEL BARBOSA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  <cell r="H84" t="str">
            <v>DISTRIBUIÇÃO</v>
          </cell>
          <cell r="I84" t="str">
            <v>FOOD SERVICE</v>
          </cell>
          <cell r="J84" t="str">
            <v>FLAC 2</v>
          </cell>
          <cell r="K84" t="str">
            <v>LACTALIS</v>
          </cell>
          <cell r="L84" t="str">
            <v>RODRIGO</v>
          </cell>
          <cell r="M84" t="str">
            <v>RAQUEL BARBOSA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  <cell r="H85" t="str">
            <v>INGREDIENTS</v>
          </cell>
          <cell r="I85" t="str">
            <v>INGREDIENTS</v>
          </cell>
          <cell r="J85" t="str">
            <v>MARCELO RODRIGUES</v>
          </cell>
          <cell r="K85" t="str">
            <v>LACTALIS</v>
          </cell>
          <cell r="L85" t="str">
            <v>MAURICIO</v>
          </cell>
          <cell r="M85" t="str">
            <v>MARCELO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  <cell r="H86" t="str">
            <v>QSR</v>
          </cell>
          <cell r="I86" t="str">
            <v>FOOD SERVICE</v>
          </cell>
          <cell r="J86" t="str">
            <v>NUTRI</v>
          </cell>
          <cell r="K86" t="str">
            <v>ITAMBÉ</v>
          </cell>
          <cell r="L86" t="str">
            <v>PEDRO</v>
          </cell>
          <cell r="M86" t="str">
            <v>VAGO QSR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  <cell r="H87" t="str">
            <v>INGREDIENTS</v>
          </cell>
          <cell r="I87" t="str">
            <v>INGREDIENTS</v>
          </cell>
          <cell r="J87" t="str">
            <v>HENRIQUE FERREIRA</v>
          </cell>
          <cell r="K87" t="str">
            <v>ITAMBÉ</v>
          </cell>
          <cell r="L87" t="str">
            <v>MAURICIO</v>
          </cell>
          <cell r="M87" t="str">
            <v>JOEL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  <cell r="H88" t="str">
            <v>INGREDIENTS</v>
          </cell>
          <cell r="I88" t="str">
            <v>INGREDIENTS</v>
          </cell>
          <cell r="J88" t="str">
            <v>TATIANA NITTA</v>
          </cell>
          <cell r="K88" t="str">
            <v>ITAMBÉ</v>
          </cell>
          <cell r="L88" t="str">
            <v>MAURICIO</v>
          </cell>
          <cell r="M88" t="str">
            <v>TATIANA NITTA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  <cell r="H89" t="str">
            <v>INGREDIENTS</v>
          </cell>
          <cell r="I89" t="str">
            <v>INGREDIENTS</v>
          </cell>
          <cell r="J89" t="str">
            <v>TATIANA NITTA</v>
          </cell>
          <cell r="K89" t="str">
            <v>ITAMBÉ</v>
          </cell>
          <cell r="L89" t="str">
            <v>MAURICIO</v>
          </cell>
          <cell r="M89" t="str">
            <v>TATIANA NITTA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  <cell r="H90" t="str">
            <v>INGREDIENTS</v>
          </cell>
          <cell r="I90" t="str">
            <v>INGREDIENTS</v>
          </cell>
          <cell r="J90" t="str">
            <v>HENRIQUE FERREIRA</v>
          </cell>
          <cell r="K90" t="str">
            <v>ITAMBÉ</v>
          </cell>
          <cell r="L90" t="str">
            <v>MAURICIO</v>
          </cell>
          <cell r="M90" t="str">
            <v>JOEL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  <cell r="H91" t="str">
            <v>DISTRIBUIÇÃO</v>
          </cell>
          <cell r="I91" t="str">
            <v>FOOD SERVICE</v>
          </cell>
          <cell r="J91" t="str">
            <v>CLAUDIO JORGE/LUIZ</v>
          </cell>
          <cell r="K91" t="str">
            <v>ITAMBÉ</v>
          </cell>
          <cell r="L91" t="str">
            <v>RODRIGO</v>
          </cell>
          <cell r="M91" t="str">
            <v>MARIA LOURDES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  <cell r="H92" t="str">
            <v>INGREDIENTS</v>
          </cell>
          <cell r="I92" t="str">
            <v>INGREDIENTS</v>
          </cell>
          <cell r="J92" t="str">
            <v>MARCELO RODRIGUES</v>
          </cell>
          <cell r="K92" t="str">
            <v>ITAMBÉ</v>
          </cell>
          <cell r="L92" t="str">
            <v>MAURICIO</v>
          </cell>
          <cell r="M92" t="str">
            <v>MARCELO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  <cell r="H93" t="str">
            <v>DISTRIBUIÇÃO</v>
          </cell>
          <cell r="I93" t="str">
            <v>FOOD SERVICE</v>
          </cell>
          <cell r="J93" t="str">
            <v>GUILHERME NASCIMENTO</v>
          </cell>
          <cell r="K93" t="str">
            <v>ITAMBÉ</v>
          </cell>
          <cell r="L93" t="str">
            <v>RODRIGO</v>
          </cell>
          <cell r="M93" t="str">
            <v>ALEXANDRO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  <cell r="H94" t="str">
            <v>DISTRIBUIÇÃO</v>
          </cell>
          <cell r="I94" t="str">
            <v>FOOD SERVICE</v>
          </cell>
          <cell r="J94" t="str">
            <v>FLAC 3</v>
          </cell>
          <cell r="K94" t="str">
            <v>LACTALIS</v>
          </cell>
          <cell r="L94" t="str">
            <v>RODRIGO</v>
          </cell>
          <cell r="M94" t="str">
            <v>RAQUEL BARBOSA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  <cell r="H95" t="str">
            <v>DISTRIBUIÇÃO</v>
          </cell>
          <cell r="I95" t="str">
            <v>FOOD SERVICE</v>
          </cell>
          <cell r="J95" t="str">
            <v>FLAC 6</v>
          </cell>
          <cell r="K95" t="str">
            <v>LACTALIS</v>
          </cell>
          <cell r="L95" t="str">
            <v>RODRIGO</v>
          </cell>
          <cell r="M95" t="str">
            <v>RAQUEL BARBOSA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  <cell r="H96" t="str">
            <v>DISTRIBUIÇÃO</v>
          </cell>
          <cell r="I96" t="str">
            <v>FOOD SERVICE</v>
          </cell>
          <cell r="J96" t="str">
            <v>FLAC 6</v>
          </cell>
          <cell r="K96" t="str">
            <v>LACTALIS</v>
          </cell>
          <cell r="L96" t="str">
            <v>RODRIGO</v>
          </cell>
          <cell r="M96" t="str">
            <v>RAQUEL BARBOSA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  <cell r="H97" t="str">
            <v>DISTRIBUIÇÃO</v>
          </cell>
          <cell r="I97" t="str">
            <v>FOOD SERVICE</v>
          </cell>
          <cell r="J97" t="str">
            <v>MARCO AURELIO</v>
          </cell>
          <cell r="K97" t="str">
            <v>ITAMBÉ</v>
          </cell>
          <cell r="L97" t="str">
            <v>RODRIGO</v>
          </cell>
          <cell r="M97" t="str">
            <v>MARCO AURELIO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  <cell r="H98" t="str">
            <v>DISTRIBUIÇÃO</v>
          </cell>
          <cell r="I98" t="str">
            <v>FOOD SERVICE</v>
          </cell>
          <cell r="J98" t="str">
            <v>FLAC 6</v>
          </cell>
          <cell r="K98" t="str">
            <v>LACTALIS</v>
          </cell>
          <cell r="L98" t="str">
            <v>RODRIGO</v>
          </cell>
          <cell r="M98" t="str">
            <v>RAQUEL BARBOSA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  <cell r="H99" t="str">
            <v>DISTRIBUIÇÃO</v>
          </cell>
          <cell r="I99" t="str">
            <v>FOOD SERVICE</v>
          </cell>
          <cell r="J99" t="str">
            <v>MARCO AURELIO</v>
          </cell>
          <cell r="K99" t="str">
            <v>ITAMBÉ</v>
          </cell>
          <cell r="L99" t="str">
            <v>RODRIGO</v>
          </cell>
          <cell r="M99" t="str">
            <v>MARCO AURELIO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  <cell r="H100" t="str">
            <v>DISTRIBUIÇÃO</v>
          </cell>
          <cell r="I100" t="str">
            <v>FOOD SERVICE</v>
          </cell>
          <cell r="J100" t="str">
            <v>MARCO AURELIO</v>
          </cell>
          <cell r="K100" t="str">
            <v>ITAMBÉ</v>
          </cell>
          <cell r="L100" t="str">
            <v>RODRIGO</v>
          </cell>
          <cell r="M100" t="str">
            <v>MARCO AURELIO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  <cell r="H101" t="str">
            <v>DISTRIBUIÇÃO</v>
          </cell>
          <cell r="I101" t="str">
            <v>FOOD SERVICE</v>
          </cell>
          <cell r="J101" t="str">
            <v>FLAC 6</v>
          </cell>
          <cell r="K101" t="str">
            <v>LACTALIS</v>
          </cell>
          <cell r="L101" t="str">
            <v>RODRIGO</v>
          </cell>
          <cell r="M101" t="str">
            <v>RAQUEL BARBOSA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  <cell r="H102" t="str">
            <v>DISTRIBUIÇÃO</v>
          </cell>
          <cell r="I102" t="str">
            <v>FOOD SERVICE</v>
          </cell>
          <cell r="J102" t="str">
            <v>FLAC 4</v>
          </cell>
          <cell r="K102" t="str">
            <v>LACTALIS</v>
          </cell>
          <cell r="L102" t="str">
            <v>RODRIGO</v>
          </cell>
          <cell r="M102" t="str">
            <v>RAQUEL BARBOSA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  <cell r="H103" t="str">
            <v>DISTRIBUIÇÃO</v>
          </cell>
          <cell r="I103" t="str">
            <v>FOOD SERVICE</v>
          </cell>
          <cell r="J103" t="str">
            <v>FLAC 6</v>
          </cell>
          <cell r="K103" t="str">
            <v>LACTALIS</v>
          </cell>
          <cell r="L103" t="str">
            <v>RODRIGO</v>
          </cell>
          <cell r="M103" t="str">
            <v>RAQUEL BARBOSA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  <cell r="H104" t="str">
            <v>DISTRIBUIÇÃO</v>
          </cell>
          <cell r="I104" t="str">
            <v>FOOD SERVICE</v>
          </cell>
          <cell r="J104" t="str">
            <v>FLAC 6</v>
          </cell>
          <cell r="K104" t="str">
            <v>LACTALIS</v>
          </cell>
          <cell r="L104" t="str">
            <v>RODRIGO</v>
          </cell>
          <cell r="M104" t="str">
            <v>RAQUEL BARBOSA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  <cell r="H105" t="str">
            <v>DISTRIBUIÇÃO</v>
          </cell>
          <cell r="I105" t="str">
            <v>FOOD SERVICE</v>
          </cell>
          <cell r="J105" t="str">
            <v>FLAC 6</v>
          </cell>
          <cell r="K105" t="str">
            <v>LACTALIS</v>
          </cell>
          <cell r="L105" t="str">
            <v>RODRIGO</v>
          </cell>
          <cell r="M105" t="str">
            <v>RAQUEL BARBOSA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  <cell r="H106" t="str">
            <v>DISTRIBUIÇÃO</v>
          </cell>
          <cell r="I106" t="str">
            <v>FOOD SERVICE</v>
          </cell>
          <cell r="J106" t="str">
            <v>FLAC 6</v>
          </cell>
          <cell r="K106" t="str">
            <v>LACTALIS</v>
          </cell>
          <cell r="L106" t="str">
            <v>RODRIGO</v>
          </cell>
          <cell r="M106" t="str">
            <v>RAQUEL BARBOSA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  <cell r="H107" t="str">
            <v>DISTRIBUIÇÃO</v>
          </cell>
          <cell r="I107" t="str">
            <v>FOOD SERVICE</v>
          </cell>
          <cell r="J107" t="str">
            <v>FLAC 1</v>
          </cell>
          <cell r="K107" t="str">
            <v>LACTALIS</v>
          </cell>
          <cell r="L107" t="str">
            <v>RODRIGO</v>
          </cell>
          <cell r="M107" t="str">
            <v>RAQUEL BARBOSA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  <cell r="H108" t="str">
            <v>DISTRIBUIÇÃO</v>
          </cell>
          <cell r="I108" t="str">
            <v>FOOD SERVICE</v>
          </cell>
          <cell r="J108" t="str">
            <v>FLAC 1</v>
          </cell>
          <cell r="K108" t="str">
            <v>LACTALIS</v>
          </cell>
          <cell r="L108" t="str">
            <v>RODRIGO</v>
          </cell>
          <cell r="M108" t="str">
            <v>RAQUEL BARBOSA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  <cell r="H109" t="str">
            <v>DISTRIBUIÇÃO</v>
          </cell>
          <cell r="I109" t="str">
            <v>FOOD SERVICE</v>
          </cell>
          <cell r="J109" t="str">
            <v>CLAUDIO JORGE</v>
          </cell>
          <cell r="K109" t="str">
            <v>ITAMBÉ</v>
          </cell>
          <cell r="L109" t="str">
            <v>RODRIGO</v>
          </cell>
          <cell r="M109" t="str">
            <v>MARIA LOURDES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  <cell r="H110" t="str">
            <v>DISTRIBUIÇÃO</v>
          </cell>
          <cell r="I110" t="str">
            <v>FOOD SERVICE</v>
          </cell>
          <cell r="J110" t="str">
            <v>FLAC 6</v>
          </cell>
          <cell r="K110" t="str">
            <v>LACTALIS</v>
          </cell>
          <cell r="L110" t="str">
            <v>RODRIGO</v>
          </cell>
          <cell r="M110" t="str">
            <v>RAQUEL BARBOSA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  <cell r="H111" t="str">
            <v>DISTRIBUIÇÃO</v>
          </cell>
          <cell r="I111" t="str">
            <v>FOOD SERVICE</v>
          </cell>
          <cell r="J111" t="str">
            <v>FLAC 4</v>
          </cell>
          <cell r="K111" t="str">
            <v>LACTALIS</v>
          </cell>
          <cell r="L111" t="str">
            <v>RODRIGO</v>
          </cell>
          <cell r="M111" t="str">
            <v>RAQUEL BARBOSA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  <cell r="H112" t="str">
            <v>DISTRIBUIÇÃO</v>
          </cell>
          <cell r="I112" t="str">
            <v>FOOD SERVICE</v>
          </cell>
          <cell r="J112" t="str">
            <v>FLAC 2</v>
          </cell>
          <cell r="K112" t="str">
            <v>LACTALIS</v>
          </cell>
          <cell r="L112" t="str">
            <v>RODRIGO</v>
          </cell>
          <cell r="M112" t="str">
            <v>RAQUEL BARBOSA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  <cell r="H113" t="str">
            <v>DISTRIBUIÇÃO</v>
          </cell>
          <cell r="I113" t="str">
            <v>FOOD SERVICE</v>
          </cell>
          <cell r="J113" t="str">
            <v>MARCELO SILVA</v>
          </cell>
          <cell r="K113" t="str">
            <v>ITAMBÉ</v>
          </cell>
          <cell r="L113" t="str">
            <v>RODRIGO</v>
          </cell>
          <cell r="M113" t="str">
            <v>CELIO MARTINS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  <cell r="H114" t="str">
            <v>DISTRIBUIÇÃO</v>
          </cell>
          <cell r="I114" t="str">
            <v>FOOD SERVICE</v>
          </cell>
          <cell r="J114" t="str">
            <v>FLAC 3</v>
          </cell>
          <cell r="K114" t="str">
            <v>LACTALIS</v>
          </cell>
          <cell r="L114" t="str">
            <v>RODRIGO</v>
          </cell>
          <cell r="M114" t="str">
            <v>RAQUEL BARBOSA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  <cell r="H115" t="str">
            <v>DISTRIBUIÇÃO</v>
          </cell>
          <cell r="I115" t="str">
            <v>FOOD SERVICE</v>
          </cell>
          <cell r="J115" t="str">
            <v>FLAC 2</v>
          </cell>
          <cell r="K115" t="str">
            <v>LACTALIS</v>
          </cell>
          <cell r="L115" t="str">
            <v>RODRIGO</v>
          </cell>
          <cell r="M115" t="str">
            <v>RAQUEL BARBOSA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  <cell r="H116" t="str">
            <v>DISTRIBUIÇÃO</v>
          </cell>
          <cell r="I116" t="str">
            <v>FOOD SERVICE</v>
          </cell>
          <cell r="J116" t="str">
            <v>SP ITB FS FLAC REP.E COMERCIO</v>
          </cell>
          <cell r="K116" t="str">
            <v>ITAMBÉ</v>
          </cell>
          <cell r="L116" t="str">
            <v>RODRIGO</v>
          </cell>
          <cell r="M116" t="str">
            <v>RAQUEL BARBOSA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  <cell r="H117" t="str">
            <v>DISTRIBUIÇÃO</v>
          </cell>
          <cell r="I117" t="str">
            <v>FOOD SERVICE</v>
          </cell>
          <cell r="J117" t="str">
            <v>GUILHERME NASCIMENTO</v>
          </cell>
          <cell r="K117" t="str">
            <v>ITAMBÉ</v>
          </cell>
          <cell r="L117" t="str">
            <v>RODRIGO</v>
          </cell>
          <cell r="M117" t="str">
            <v>ALEXANDRO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  <cell r="H118" t="str">
            <v>DISTRIBUIÇÃO</v>
          </cell>
          <cell r="I118" t="str">
            <v>FOOD SERVICE</v>
          </cell>
          <cell r="J118" t="str">
            <v>FLAC 3</v>
          </cell>
          <cell r="K118" t="str">
            <v>LACTALIS</v>
          </cell>
          <cell r="L118" t="str">
            <v>RODRIGO</v>
          </cell>
          <cell r="M118" t="str">
            <v>RAQUEL BARBOSA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  <cell r="H119" t="str">
            <v>DISTRIBUIÇÃO</v>
          </cell>
          <cell r="I119" t="str">
            <v>FOOD SERVICE</v>
          </cell>
          <cell r="J119" t="str">
            <v>FLAC 2</v>
          </cell>
          <cell r="K119" t="str">
            <v>LACTALIS</v>
          </cell>
          <cell r="L119" t="str">
            <v>RODRIGO</v>
          </cell>
          <cell r="M119" t="str">
            <v>RAQUEL BARBOSA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  <cell r="H120" t="str">
            <v>DISTRIBUIÇÃO</v>
          </cell>
          <cell r="I120" t="str">
            <v>FOOD SERVICE</v>
          </cell>
          <cell r="J120" t="str">
            <v>FLAC 6</v>
          </cell>
          <cell r="K120" t="str">
            <v>LACTALIS</v>
          </cell>
          <cell r="L120" t="str">
            <v>RODRIGO</v>
          </cell>
          <cell r="M120" t="str">
            <v>RAQUEL BARBOSA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  <cell r="H121" t="str">
            <v>DISTRIBUIÇÃO</v>
          </cell>
          <cell r="I121" t="str">
            <v>FOOD SERVICE</v>
          </cell>
          <cell r="J121" t="str">
            <v>FLAC 2</v>
          </cell>
          <cell r="K121" t="str">
            <v>LACTALIS</v>
          </cell>
          <cell r="L121" t="str">
            <v>RODRIGO</v>
          </cell>
          <cell r="M121" t="str">
            <v>RAQUEL BARBOSA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  <cell r="H122" t="str">
            <v>INGREDIENTS</v>
          </cell>
          <cell r="I122" t="str">
            <v>INGREDIENTS</v>
          </cell>
          <cell r="J122" t="str">
            <v>TATIANA NITTA</v>
          </cell>
          <cell r="K122" t="str">
            <v>ITAMBÉ</v>
          </cell>
          <cell r="L122" t="str">
            <v>MAURICIO</v>
          </cell>
          <cell r="M122" t="str">
            <v>TATIANA NITTA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  <cell r="H123" t="str">
            <v>INGREDIENTS</v>
          </cell>
          <cell r="I123" t="str">
            <v>INGREDIENTS</v>
          </cell>
          <cell r="J123" t="str">
            <v>TATIANA NITTA</v>
          </cell>
          <cell r="K123" t="str">
            <v>LACTALIS</v>
          </cell>
          <cell r="L123" t="str">
            <v>MAURICIO</v>
          </cell>
          <cell r="M123" t="str">
            <v>TATIANA NITTA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  <cell r="H124" t="str">
            <v>DISTRIBUIÇÃO</v>
          </cell>
          <cell r="I124" t="str">
            <v>FOOD SERVICE</v>
          </cell>
          <cell r="J124" t="str">
            <v>FLAC 4</v>
          </cell>
          <cell r="K124" t="str">
            <v>LACTALIS</v>
          </cell>
          <cell r="L124" t="str">
            <v>RODRIGO</v>
          </cell>
          <cell r="M124" t="str">
            <v>RAQUEL BARBOSA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  <cell r="H125" t="str">
            <v>DISTRIBUIÇÃO</v>
          </cell>
          <cell r="I125" t="str">
            <v>FOOD SERVICE</v>
          </cell>
          <cell r="J125" t="str">
            <v>FLAC 3</v>
          </cell>
          <cell r="K125" t="str">
            <v>LACTALIS</v>
          </cell>
          <cell r="L125" t="str">
            <v>RODRIGO</v>
          </cell>
          <cell r="M125" t="str">
            <v>RAQUEL BARBOSA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  <cell r="H126" t="str">
            <v>DISTRIBUIÇÃO</v>
          </cell>
          <cell r="I126" t="str">
            <v>FOOD SERVICE</v>
          </cell>
          <cell r="J126" t="str">
            <v>FLAC 2</v>
          </cell>
          <cell r="K126" t="str">
            <v>LACTALIS</v>
          </cell>
          <cell r="L126" t="str">
            <v>RODRIGO</v>
          </cell>
          <cell r="M126" t="str">
            <v>RAQUEL BARBOSA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  <cell r="H127" t="str">
            <v>DISTRIBUIÇÃO</v>
          </cell>
          <cell r="I127" t="str">
            <v>FOOD SERVICE</v>
          </cell>
          <cell r="J127" t="str">
            <v>FLAC 2</v>
          </cell>
          <cell r="K127" t="str">
            <v>LACTALIS</v>
          </cell>
          <cell r="L127" t="str">
            <v>RODRIGO</v>
          </cell>
          <cell r="M127" t="str">
            <v>RAQUEL BARBOSA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  <cell r="H128" t="str">
            <v>DISTRIBUIÇÃO</v>
          </cell>
          <cell r="I128" t="str">
            <v>FOOD SERVICE</v>
          </cell>
          <cell r="J128" t="str">
            <v>FLAC 5</v>
          </cell>
          <cell r="K128" t="str">
            <v>LACTALIS</v>
          </cell>
          <cell r="L128" t="str">
            <v>RODRIGO</v>
          </cell>
          <cell r="M128" t="str">
            <v>RAQUEL BARBOSA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  <cell r="H129" t="str">
            <v>DISTRIBUIÇÃO</v>
          </cell>
          <cell r="I129" t="str">
            <v>FOOD SERVICE</v>
          </cell>
          <cell r="J129" t="str">
            <v>FLAC 6</v>
          </cell>
          <cell r="K129" t="str">
            <v>LACTALIS</v>
          </cell>
          <cell r="L129" t="str">
            <v>RODRIGO</v>
          </cell>
          <cell r="M129" t="str">
            <v>RAQUEL BARBOSA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  <cell r="H130" t="str">
            <v>DISTRIBUIÇÃO</v>
          </cell>
          <cell r="I130" t="str">
            <v>FOOD SERVICE</v>
          </cell>
          <cell r="J130" t="str">
            <v>FLAC 4</v>
          </cell>
          <cell r="K130" t="str">
            <v>LACTALIS</v>
          </cell>
          <cell r="L130" t="str">
            <v>RODRIGO</v>
          </cell>
          <cell r="M130" t="str">
            <v>RAQUEL BARBOSA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  <cell r="H131" t="str">
            <v>DISTRIBUIÇÃO</v>
          </cell>
          <cell r="I131" t="str">
            <v>FOOD SERVICE</v>
          </cell>
          <cell r="J131" t="str">
            <v>FLAC 4</v>
          </cell>
          <cell r="K131" t="str">
            <v>LACTALIS</v>
          </cell>
          <cell r="L131" t="str">
            <v>RODRIGO</v>
          </cell>
          <cell r="M131" t="str">
            <v>RAQUEL BARBOSA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  <cell r="H132" t="str">
            <v>DISTRIBUIÇÃO</v>
          </cell>
          <cell r="I132" t="str">
            <v>FOOD SERVICE</v>
          </cell>
          <cell r="J132" t="str">
            <v>FLAC 6</v>
          </cell>
          <cell r="K132" t="str">
            <v>LACTALIS</v>
          </cell>
          <cell r="L132" t="str">
            <v>RODRIGO</v>
          </cell>
          <cell r="M132" t="str">
            <v>RAQUEL BARBOSA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  <cell r="H133" t="str">
            <v>INGREDIENTS</v>
          </cell>
          <cell r="I133" t="str">
            <v>INGREDIENTS</v>
          </cell>
          <cell r="J133" t="str">
            <v>HENRIQUE FERREIRA</v>
          </cell>
          <cell r="K133" t="str">
            <v>ITAMBÉ</v>
          </cell>
          <cell r="L133" t="str">
            <v>MAURICIO</v>
          </cell>
          <cell r="M133" t="str">
            <v>JOEL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  <cell r="H134" t="str">
            <v>INGREDIENTS</v>
          </cell>
          <cell r="I134" t="str">
            <v>INGREDIENTS</v>
          </cell>
          <cell r="J134" t="str">
            <v>HENRIQUE FERREIRA</v>
          </cell>
          <cell r="K134" t="str">
            <v>ITAMBÉ</v>
          </cell>
          <cell r="L134" t="str">
            <v>MAURICIO</v>
          </cell>
          <cell r="M134" t="str">
            <v>JOEL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  <cell r="H135" t="str">
            <v>INGREDIENTS</v>
          </cell>
          <cell r="I135" t="str">
            <v>INGREDIENTS</v>
          </cell>
          <cell r="J135" t="str">
            <v>DUAS RODAS</v>
          </cell>
          <cell r="K135" t="str">
            <v>ITAMBÉ</v>
          </cell>
          <cell r="L135" t="str">
            <v>MAURICIO</v>
          </cell>
          <cell r="M135" t="str">
            <v>MARCELO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  <cell r="H136" t="str">
            <v>DISTRIBUIÇÃO</v>
          </cell>
          <cell r="I136" t="str">
            <v>FOOD SERVICE</v>
          </cell>
          <cell r="J136" t="str">
            <v>FLAC 6</v>
          </cell>
          <cell r="K136" t="str">
            <v>LACTALIS</v>
          </cell>
          <cell r="L136" t="str">
            <v>RODRIGO</v>
          </cell>
          <cell r="M136" t="str">
            <v>RAQUEL BARBOSA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  <cell r="H137" t="str">
            <v>DISTRIBUIÇÃO</v>
          </cell>
          <cell r="I137" t="str">
            <v>FOOD SERVICE</v>
          </cell>
          <cell r="J137" t="str">
            <v>FLAC 2</v>
          </cell>
          <cell r="K137" t="str">
            <v>LACTALIS</v>
          </cell>
          <cell r="L137" t="str">
            <v>RODRIGO</v>
          </cell>
          <cell r="M137" t="str">
            <v>RAQUEL BARBOSA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  <cell r="H138" t="str">
            <v>DISTRIBUIÇÃO</v>
          </cell>
          <cell r="I138" t="str">
            <v>FOOD SERVICE</v>
          </cell>
          <cell r="J138" t="str">
            <v>FLAC 2</v>
          </cell>
          <cell r="K138" t="str">
            <v>LACTALIS</v>
          </cell>
          <cell r="L138" t="str">
            <v>RODRIGO</v>
          </cell>
          <cell r="M138" t="str">
            <v>RAQUEL BARBOSA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  <cell r="H139" t="str">
            <v>DISTRIBUIÇÃO</v>
          </cell>
          <cell r="I139" t="str">
            <v>FOOD SERVICE</v>
          </cell>
          <cell r="J139" t="str">
            <v>FLAC 2</v>
          </cell>
          <cell r="K139" t="str">
            <v>LACTALIS</v>
          </cell>
          <cell r="L139" t="str">
            <v>RODRIGO</v>
          </cell>
          <cell r="M139" t="str">
            <v>RAQUEL BARBOSA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  <cell r="H140" t="str">
            <v>INGREDIENTS</v>
          </cell>
          <cell r="I140" t="str">
            <v>INGREDIENTS</v>
          </cell>
          <cell r="J140" t="str">
            <v>HENRIQUE FERREIRA</v>
          </cell>
          <cell r="K140" t="str">
            <v>ITAMBÉ</v>
          </cell>
          <cell r="L140" t="str">
            <v>MAURICIO</v>
          </cell>
          <cell r="M140" t="str">
            <v>JOEL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  <cell r="H141" t="str">
            <v>INGREDIENTS</v>
          </cell>
          <cell r="I141" t="str">
            <v>INGREDIENTS</v>
          </cell>
          <cell r="J141" t="str">
            <v>DUAS RODAS</v>
          </cell>
          <cell r="K141" t="str">
            <v>ITAMBÉ</v>
          </cell>
          <cell r="L141" t="str">
            <v>MAURICIO</v>
          </cell>
          <cell r="M141" t="str">
            <v>MARCELO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  <cell r="H142" t="str">
            <v>DISTRIBUIÇÃO</v>
          </cell>
          <cell r="I142" t="str">
            <v>FOOD SERVICE</v>
          </cell>
          <cell r="J142" t="str">
            <v>FLAC 2</v>
          </cell>
          <cell r="K142" t="str">
            <v>LACTALIS</v>
          </cell>
          <cell r="L142" t="str">
            <v>RODRIGO</v>
          </cell>
          <cell r="M142" t="str">
            <v>RAQUEL BARBOSA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  <cell r="H143" t="str">
            <v>DISTRIBUIÇÃO</v>
          </cell>
          <cell r="I143" t="str">
            <v>FOOD SERVICE</v>
          </cell>
          <cell r="J143" t="str">
            <v>FLAC 3</v>
          </cell>
          <cell r="K143" t="str">
            <v>LACTALIS</v>
          </cell>
          <cell r="L143" t="str">
            <v>RODRIGO</v>
          </cell>
          <cell r="M143" t="str">
            <v>RAQUEL BARBOSA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  <cell r="H144" t="str">
            <v>INGREDIENTS</v>
          </cell>
          <cell r="I144" t="str">
            <v>INGREDIENTS</v>
          </cell>
          <cell r="J144" t="str">
            <v>HENRIQUE FERREIRA</v>
          </cell>
          <cell r="K144" t="str">
            <v>ITAMBÉ</v>
          </cell>
          <cell r="L144" t="str">
            <v>MAURICIO</v>
          </cell>
          <cell r="M144" t="str">
            <v>JOEL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  <cell r="H145" t="str">
            <v>DISTRIBUIÇÃO</v>
          </cell>
          <cell r="I145" t="str">
            <v>FOOD SERVICE</v>
          </cell>
          <cell r="J145" t="str">
            <v>CLAUDIO JORGE</v>
          </cell>
          <cell r="K145" t="str">
            <v>ITAMBÉ</v>
          </cell>
          <cell r="L145" t="str">
            <v>RODRIGO</v>
          </cell>
          <cell r="M145" t="str">
            <v>MARIA LOURDES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  <cell r="H146" t="str">
            <v>DISTRIBUIÇÃO</v>
          </cell>
          <cell r="I146" t="str">
            <v>FOOD SERVICE</v>
          </cell>
          <cell r="J146" t="str">
            <v>CLAUDIO JORGE/LUIZ</v>
          </cell>
          <cell r="K146" t="str">
            <v>ITAMBÉ</v>
          </cell>
          <cell r="L146" t="str">
            <v>RODRIGO</v>
          </cell>
          <cell r="M146" t="str">
            <v>MARIA LOURDES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  <cell r="H147" t="str">
            <v>DISTRIBUIÇÃO</v>
          </cell>
          <cell r="I147" t="str">
            <v>FOOD SERVICE</v>
          </cell>
          <cell r="J147" t="str">
            <v>ALEXANDRO RODRIGUES</v>
          </cell>
          <cell r="K147" t="str">
            <v>ITAMBÉ</v>
          </cell>
          <cell r="L147" t="str">
            <v>RODRIGO</v>
          </cell>
          <cell r="M147" t="str">
            <v>ALEXANDRO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  <cell r="H148" t="str">
            <v>INGREDIENTS</v>
          </cell>
          <cell r="I148" t="str">
            <v>INGREDIENTS</v>
          </cell>
          <cell r="J148" t="str">
            <v>HENRIQUE FERREIRA</v>
          </cell>
          <cell r="K148" t="str">
            <v>ITAMBÉ</v>
          </cell>
          <cell r="L148" t="str">
            <v>MAURICIO</v>
          </cell>
          <cell r="M148" t="str">
            <v>JOEL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  <cell r="H149" t="str">
            <v>INGREDIENTS</v>
          </cell>
          <cell r="I149" t="str">
            <v>INGREDIENTS</v>
          </cell>
          <cell r="J149" t="str">
            <v>HENRIQUE FERREIRA</v>
          </cell>
          <cell r="K149" t="str">
            <v>ITAMBÉ</v>
          </cell>
          <cell r="L149" t="str">
            <v>MAURICIO</v>
          </cell>
          <cell r="M149" t="str">
            <v>JOEL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  <cell r="H150" t="str">
            <v>DISTRIBUIÇÃO</v>
          </cell>
          <cell r="I150" t="str">
            <v>FOOD SERVICE</v>
          </cell>
          <cell r="J150" t="str">
            <v>ANGELICA BATISTELA</v>
          </cell>
          <cell r="K150" t="str">
            <v>ITAMBÉ</v>
          </cell>
          <cell r="L150" t="str">
            <v>RODRIGO</v>
          </cell>
          <cell r="M150" t="str">
            <v>ANGELICA BATISTELA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  <cell r="H151" t="str">
            <v>INGREDIENTS</v>
          </cell>
          <cell r="I151" t="str">
            <v>INGREDIENTS</v>
          </cell>
          <cell r="J151" t="str">
            <v>MARCELO RODRIGUES</v>
          </cell>
          <cell r="K151" t="str">
            <v>LACTALIS</v>
          </cell>
          <cell r="L151" t="str">
            <v>MAURICIO</v>
          </cell>
          <cell r="M151" t="str">
            <v>MARCELO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  <cell r="H152" t="str">
            <v>INGREDIENTS</v>
          </cell>
          <cell r="I152" t="str">
            <v>INGREDIENTS</v>
          </cell>
          <cell r="J152" t="str">
            <v>TATIANA NITTA</v>
          </cell>
          <cell r="K152" t="str">
            <v>LACTALIS</v>
          </cell>
          <cell r="L152" t="str">
            <v>MAURICIO</v>
          </cell>
          <cell r="M152" t="str">
            <v>TATIANA NITTA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  <cell r="H153" t="str">
            <v>DISTRIBUIÇÃO</v>
          </cell>
          <cell r="I153" t="str">
            <v>FOOD SERVICE</v>
          </cell>
          <cell r="J153" t="str">
            <v>FLAC 2</v>
          </cell>
          <cell r="K153" t="str">
            <v>LACTALIS</v>
          </cell>
          <cell r="L153" t="str">
            <v>RODRIGO</v>
          </cell>
          <cell r="M153" t="str">
            <v>RAQUEL BARBOSA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  <cell r="H154" t="str">
            <v>QSR</v>
          </cell>
          <cell r="I154" t="str">
            <v>FOOD SERVICE</v>
          </cell>
          <cell r="J154" t="str">
            <v>ANA MENIQUETE</v>
          </cell>
          <cell r="K154" t="str">
            <v>LACTALIS</v>
          </cell>
          <cell r="L154" t="str">
            <v>PEDRO</v>
          </cell>
          <cell r="M154" t="str">
            <v>ANA MENIQUETE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  <cell r="H155" t="str">
            <v>QSR</v>
          </cell>
          <cell r="I155" t="str">
            <v>FOOD SERVICE</v>
          </cell>
          <cell r="J155" t="str">
            <v>ANA MENIQUETE</v>
          </cell>
          <cell r="K155" t="str">
            <v>LACTALIS</v>
          </cell>
          <cell r="L155" t="str">
            <v>PEDRO</v>
          </cell>
          <cell r="M155" t="str">
            <v>ANA MENIQUETE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  <cell r="H156" t="str">
            <v>DISTRIBUIÇÃO</v>
          </cell>
          <cell r="I156" t="str">
            <v>FOOD SERVICE</v>
          </cell>
          <cell r="J156" t="str">
            <v>CLAUDIO JORGE</v>
          </cell>
          <cell r="K156" t="str">
            <v>ITAMBÉ</v>
          </cell>
          <cell r="L156" t="str">
            <v>RODRIGO</v>
          </cell>
          <cell r="M156" t="str">
            <v>MARIA LOURDES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  <cell r="H157" t="str">
            <v>DISTRIBUIÇÃO</v>
          </cell>
          <cell r="I157" t="str">
            <v>FOOD SERVICE</v>
          </cell>
          <cell r="J157" t="str">
            <v>FLAC 3</v>
          </cell>
          <cell r="K157" t="str">
            <v>LACTALIS</v>
          </cell>
          <cell r="L157" t="str">
            <v>RODRIGO</v>
          </cell>
          <cell r="M157" t="str">
            <v>RAQUEL BARBOSA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  <cell r="H158" t="str">
            <v>DISTRIBUIÇÃO</v>
          </cell>
          <cell r="I158" t="str">
            <v>FOOD SERVICE</v>
          </cell>
          <cell r="J158" t="str">
            <v>FLAC 3</v>
          </cell>
          <cell r="K158" t="str">
            <v>LACTALIS</v>
          </cell>
          <cell r="L158" t="str">
            <v>RODRIGO</v>
          </cell>
          <cell r="M158" t="str">
            <v>RAQUEL BARBOSA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  <cell r="H159" t="str">
            <v>DISTRIBUIÇÃO</v>
          </cell>
          <cell r="I159" t="str">
            <v>FOOD SERVICE</v>
          </cell>
          <cell r="J159" t="str">
            <v>FLAC 2</v>
          </cell>
          <cell r="K159" t="str">
            <v>LACTALIS</v>
          </cell>
          <cell r="L159" t="str">
            <v>RODRIGO</v>
          </cell>
          <cell r="M159" t="str">
            <v>RAQUEL BARBOSA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  <cell r="H160" t="str">
            <v>DISTRIBUIÇÃO</v>
          </cell>
          <cell r="I160" t="str">
            <v>FOOD SERVICE</v>
          </cell>
          <cell r="J160" t="str">
            <v>FLAC 3</v>
          </cell>
          <cell r="K160" t="str">
            <v>LACTALIS</v>
          </cell>
          <cell r="L160" t="str">
            <v>RODRIGO</v>
          </cell>
          <cell r="M160" t="str">
            <v>RAQUEL BARBOSA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  <cell r="H161" t="str">
            <v>DISTRIBUIÇÃO</v>
          </cell>
          <cell r="I161" t="str">
            <v>FOOD SERVICE</v>
          </cell>
          <cell r="J161" t="str">
            <v>FLAC 2</v>
          </cell>
          <cell r="K161" t="str">
            <v>LACTALIS</v>
          </cell>
          <cell r="L161" t="str">
            <v>RODRIGO</v>
          </cell>
          <cell r="M161" t="str">
            <v>RAQUEL BARBOSA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  <cell r="H162" t="str">
            <v>DISTRIBUIÇÃO</v>
          </cell>
          <cell r="I162" t="str">
            <v>FOOD SERVICE</v>
          </cell>
          <cell r="J162" t="str">
            <v>FLAC 6</v>
          </cell>
          <cell r="K162" t="str">
            <v>LACTALIS</v>
          </cell>
          <cell r="L162" t="str">
            <v>RODRIGO</v>
          </cell>
          <cell r="M162" t="str">
            <v>RAQUEL BARBOSA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  <cell r="H163" t="str">
            <v>DISTRIBUIÇÃO</v>
          </cell>
          <cell r="I163" t="str">
            <v>FOOD SERVICE</v>
          </cell>
          <cell r="J163" t="str">
            <v>SP ITB FS FLAC REP.E COMERCIO</v>
          </cell>
          <cell r="K163" t="str">
            <v>ITAMBÉ</v>
          </cell>
          <cell r="L163" t="str">
            <v>RODRIGO</v>
          </cell>
          <cell r="M163" t="str">
            <v>RAQUEL BARBOSA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  <cell r="H164" t="str">
            <v>DISTRIBUIÇÃO</v>
          </cell>
          <cell r="I164" t="str">
            <v>FOOD SERVICE</v>
          </cell>
          <cell r="J164" t="str">
            <v>SP ITB FS FLAC REP.E COMERCIO</v>
          </cell>
          <cell r="K164" t="str">
            <v>ITAMBÉ</v>
          </cell>
          <cell r="L164" t="str">
            <v>RODRIGO</v>
          </cell>
          <cell r="M164" t="str">
            <v>RAQUEL BARBOSA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  <cell r="H165" t="str">
            <v>DISTRIBUIÇÃO</v>
          </cell>
          <cell r="I165" t="str">
            <v>FOOD SERVICE</v>
          </cell>
          <cell r="J165" t="str">
            <v>FLAC 6</v>
          </cell>
          <cell r="K165" t="str">
            <v>LACTALIS</v>
          </cell>
          <cell r="L165" t="str">
            <v>RODRIGO</v>
          </cell>
          <cell r="M165" t="str">
            <v>RAQUEL BARBOSA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  <cell r="H166" t="str">
            <v>DISTRIBUIÇÃO</v>
          </cell>
          <cell r="I166" t="str">
            <v>FOOD SERVICE</v>
          </cell>
          <cell r="J166" t="str">
            <v>FLAC 2</v>
          </cell>
          <cell r="K166" t="str">
            <v>LACTALIS</v>
          </cell>
          <cell r="L166" t="str">
            <v>RODRIGO</v>
          </cell>
          <cell r="M166" t="str">
            <v>RAQUEL BARBOSA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  <cell r="H167" t="str">
            <v>INGREDIENTS</v>
          </cell>
          <cell r="I167" t="str">
            <v>INGREDIENTS</v>
          </cell>
          <cell r="J167" t="str">
            <v>HENRIQUE FERREIRA</v>
          </cell>
          <cell r="K167" t="str">
            <v>ITAMBÉ</v>
          </cell>
          <cell r="L167" t="str">
            <v>MAURICIO</v>
          </cell>
          <cell r="M167" t="str">
            <v>JOEL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  <cell r="H168" t="str">
            <v>DISTRIBUIÇÃO</v>
          </cell>
          <cell r="I168" t="str">
            <v>FOOD SERVICE</v>
          </cell>
          <cell r="J168" t="str">
            <v>ANGELICA BATISTELA</v>
          </cell>
          <cell r="K168" t="str">
            <v>ITAMBÉ</v>
          </cell>
          <cell r="L168" t="str">
            <v>RODRIGO</v>
          </cell>
          <cell r="M168" t="str">
            <v>ANGELICA BATISTELA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  <cell r="H169" t="str">
            <v>DISTRIBUIÇÃO</v>
          </cell>
          <cell r="I169" t="str">
            <v>FOOD SERVICE</v>
          </cell>
          <cell r="J169" t="str">
            <v>FLAC 6</v>
          </cell>
          <cell r="K169" t="str">
            <v>LACTALIS</v>
          </cell>
          <cell r="L169" t="str">
            <v>RODRIGO</v>
          </cell>
          <cell r="M169" t="str">
            <v>RAQUEL BARBOSA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  <cell r="H170" t="str">
            <v>DISTRIBUIÇÃO</v>
          </cell>
          <cell r="I170" t="str">
            <v>FOOD SERVICE</v>
          </cell>
          <cell r="J170" t="str">
            <v>FLAC 6</v>
          </cell>
          <cell r="K170" t="str">
            <v>LACTALIS</v>
          </cell>
          <cell r="L170" t="str">
            <v>RODRIGO</v>
          </cell>
          <cell r="M170" t="str">
            <v>RAQUEL BARBOSA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  <cell r="H171" t="str">
            <v>DISTRIBUIÇÃO</v>
          </cell>
          <cell r="I171" t="str">
            <v>FOOD SERVICE</v>
          </cell>
          <cell r="J171" t="str">
            <v>FLAC 2</v>
          </cell>
          <cell r="K171" t="str">
            <v>LACTALIS</v>
          </cell>
          <cell r="L171" t="str">
            <v>RODRIGO</v>
          </cell>
          <cell r="M171" t="str">
            <v>RAQUEL BARBOSA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  <cell r="H172" t="str">
            <v>DISTRIBUIÇÃO</v>
          </cell>
          <cell r="I172" t="str">
            <v>FOOD SERVICE</v>
          </cell>
          <cell r="J172" t="str">
            <v>ANGELICA BATISTELA</v>
          </cell>
          <cell r="K172" t="str">
            <v>ITAMBÉ</v>
          </cell>
          <cell r="L172" t="str">
            <v>RODRIGO</v>
          </cell>
          <cell r="M172" t="str">
            <v>ANGELICA BATISTELA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  <cell r="H173" t="str">
            <v>DISTRIBUIÇÃO</v>
          </cell>
          <cell r="I173" t="str">
            <v>FOOD SERVICE</v>
          </cell>
          <cell r="J173" t="str">
            <v>FLAC 6</v>
          </cell>
          <cell r="K173" t="str">
            <v>LACTALIS</v>
          </cell>
          <cell r="L173" t="str">
            <v>RODRIGO</v>
          </cell>
          <cell r="M173" t="str">
            <v>RAQUEL BARBOSA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  <cell r="H174" t="str">
            <v>DISTRIBUIÇÃO</v>
          </cell>
          <cell r="I174" t="str">
            <v>FOOD SERVICE</v>
          </cell>
          <cell r="J174" t="str">
            <v>FLAC 2</v>
          </cell>
          <cell r="K174" t="str">
            <v>LACTALIS</v>
          </cell>
          <cell r="L174" t="str">
            <v>RODRIGO</v>
          </cell>
          <cell r="M174" t="str">
            <v>RAQUEL BARBOSA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  <cell r="H175" t="str">
            <v>DISTRIBUIÇÃO</v>
          </cell>
          <cell r="I175" t="str">
            <v>FOOD SERVICE</v>
          </cell>
          <cell r="J175" t="str">
            <v>FLAC 4</v>
          </cell>
          <cell r="K175" t="str">
            <v>LACTALIS</v>
          </cell>
          <cell r="L175" t="str">
            <v>RODRIGO</v>
          </cell>
          <cell r="M175" t="str">
            <v>RAQUEL BARBOSA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  <cell r="H176" t="str">
            <v>DISTRIBUIÇÃO</v>
          </cell>
          <cell r="I176" t="str">
            <v>FOOD SERVICE</v>
          </cell>
          <cell r="J176" t="str">
            <v>FLAC 6</v>
          </cell>
          <cell r="K176" t="str">
            <v>LACTALIS</v>
          </cell>
          <cell r="L176" t="str">
            <v>RODRIGO</v>
          </cell>
          <cell r="M176" t="str">
            <v>RAQUEL BARBOSA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  <cell r="H177" t="str">
            <v>DISTRIBUIÇÃO</v>
          </cell>
          <cell r="I177" t="str">
            <v>FOOD SERVICE</v>
          </cell>
          <cell r="J177" t="str">
            <v>JULIANA CORDEIRO</v>
          </cell>
          <cell r="K177" t="str">
            <v>ITAMBÉ</v>
          </cell>
          <cell r="L177" t="str">
            <v>RODRIGO</v>
          </cell>
          <cell r="M177" t="str">
            <v>JESSICA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  <cell r="H178" t="str">
            <v>DISTRIBUIÇÃO</v>
          </cell>
          <cell r="I178" t="str">
            <v>FOOD SERVICE</v>
          </cell>
          <cell r="J178" t="str">
            <v>JULIANA CORDEIRO</v>
          </cell>
          <cell r="K178" t="str">
            <v>ITAMBÉ</v>
          </cell>
          <cell r="L178" t="str">
            <v>RODRIGO</v>
          </cell>
          <cell r="M178" t="str">
            <v>JESSICA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  <cell r="H179" t="str">
            <v>DISTRIBUIÇÃO</v>
          </cell>
          <cell r="I179" t="str">
            <v>FOOD SERVICE</v>
          </cell>
          <cell r="J179" t="str">
            <v>CELIO MARTINS</v>
          </cell>
          <cell r="K179" t="str">
            <v>ITAMBÉ</v>
          </cell>
          <cell r="L179" t="str">
            <v>RODRIGO</v>
          </cell>
          <cell r="M179" t="str">
            <v>CELIO MARTINS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  <cell r="H180" t="str">
            <v>INGREDIENTS</v>
          </cell>
          <cell r="I180" t="str">
            <v>INGREDIENTS</v>
          </cell>
          <cell r="J180" t="str">
            <v>MARCELO RODRIGUES</v>
          </cell>
          <cell r="K180" t="str">
            <v>LACTALIS</v>
          </cell>
          <cell r="L180" t="str">
            <v>MAURICIO</v>
          </cell>
          <cell r="M180" t="str">
            <v>MARCELO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  <cell r="H181" t="str">
            <v>DISTRIBUIÇÃO</v>
          </cell>
          <cell r="I181" t="str">
            <v>FOOD SERVICE</v>
          </cell>
          <cell r="J181" t="str">
            <v>FLAC 4</v>
          </cell>
          <cell r="K181" t="str">
            <v>LACTALIS</v>
          </cell>
          <cell r="L181" t="str">
            <v>RODRIGO</v>
          </cell>
          <cell r="M181" t="str">
            <v>RAQUEL BARBOSA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  <cell r="H182" t="str">
            <v>INGREDIENTS</v>
          </cell>
          <cell r="I182" t="str">
            <v>INGREDIENTS</v>
          </cell>
          <cell r="J182" t="str">
            <v>MARCELO RODRIGUES</v>
          </cell>
          <cell r="K182" t="str">
            <v>ITAMBÉ</v>
          </cell>
          <cell r="L182" t="str">
            <v>MAURICIO</v>
          </cell>
          <cell r="M182" t="str">
            <v>MARCELO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  <cell r="H183" t="str">
            <v>INGREDIENTS</v>
          </cell>
          <cell r="I183" t="str">
            <v>INGREDIENTS</v>
          </cell>
          <cell r="J183" t="str">
            <v>MARCELO RODRIGUES</v>
          </cell>
          <cell r="K183" t="str">
            <v>ITAMBÉ</v>
          </cell>
          <cell r="L183" t="str">
            <v>MAURICIO</v>
          </cell>
          <cell r="M183" t="str">
            <v>MARCELO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  <cell r="H184" t="str">
            <v>INGREDIENTS</v>
          </cell>
          <cell r="I184" t="str">
            <v>INGREDIENTS</v>
          </cell>
          <cell r="J184" t="str">
            <v>MARCELO RODRIGUES</v>
          </cell>
          <cell r="K184" t="str">
            <v>ITAMBÉ</v>
          </cell>
          <cell r="L184" t="str">
            <v>MAURICIO</v>
          </cell>
          <cell r="M184" t="str">
            <v>MARCELO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  <cell r="H185" t="str">
            <v>OUTROS</v>
          </cell>
          <cell r="I185" t="str">
            <v>OUTROS</v>
          </cell>
          <cell r="J185" t="str">
            <v>BRF</v>
          </cell>
          <cell r="K185" t="str">
            <v>OUTROS</v>
          </cell>
          <cell r="L185" t="str">
            <v>OUTROS</v>
          </cell>
          <cell r="M185" t="str">
            <v>BRF SA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  <cell r="H186" t="str">
            <v>OUTROS</v>
          </cell>
          <cell r="I186" t="str">
            <v>OUTROS</v>
          </cell>
          <cell r="J186" t="str">
            <v>BRF</v>
          </cell>
          <cell r="K186" t="str">
            <v>OUTROS</v>
          </cell>
          <cell r="L186" t="str">
            <v>OUTROS</v>
          </cell>
          <cell r="M186" t="str">
            <v>BRF SA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  <cell r="H187" t="str">
            <v>INGREDIENTS</v>
          </cell>
          <cell r="I187" t="str">
            <v>INGREDIENTS</v>
          </cell>
          <cell r="J187" t="str">
            <v>MARCELO RODRIGUES</v>
          </cell>
          <cell r="K187" t="str">
            <v>ITAMBÉ</v>
          </cell>
          <cell r="L187" t="str">
            <v>MAURICIO</v>
          </cell>
          <cell r="M187" t="str">
            <v>MARCELO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  <cell r="H188" t="str">
            <v>INGREDIENTS</v>
          </cell>
          <cell r="I188" t="str">
            <v>INGREDIENTS</v>
          </cell>
          <cell r="J188" t="str">
            <v>MARCELO RODRIGUES</v>
          </cell>
          <cell r="K188" t="str">
            <v>ITAMBÉ</v>
          </cell>
          <cell r="L188" t="str">
            <v>MAURICIO</v>
          </cell>
          <cell r="M188" t="str">
            <v>MARCELO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  <cell r="H189" t="str">
            <v>OUTROS</v>
          </cell>
          <cell r="I189" t="str">
            <v>OUTROS</v>
          </cell>
          <cell r="J189" t="str">
            <v>BRF</v>
          </cell>
          <cell r="K189" t="str">
            <v>OUTROS</v>
          </cell>
          <cell r="L189" t="str">
            <v>OUTROS</v>
          </cell>
          <cell r="M189" t="str">
            <v>BRF SA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  <cell r="H190" t="str">
            <v>INGREDIENTS</v>
          </cell>
          <cell r="I190" t="str">
            <v>INGREDIENTS</v>
          </cell>
          <cell r="J190" t="str">
            <v>MARCELO RODRIGUES</v>
          </cell>
          <cell r="K190" t="str">
            <v>LACTALIS</v>
          </cell>
          <cell r="L190" t="str">
            <v>MAURICIO</v>
          </cell>
          <cell r="M190" t="str">
            <v>MARCELO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  <cell r="H191" t="str">
            <v>INGREDIENTS</v>
          </cell>
          <cell r="I191" t="str">
            <v>INGREDIENTS</v>
          </cell>
          <cell r="J191" t="str">
            <v>MARCELO RODRIGUES</v>
          </cell>
          <cell r="K191" t="str">
            <v>LACTALIS</v>
          </cell>
          <cell r="L191" t="str">
            <v>MAURICIO</v>
          </cell>
          <cell r="M191" t="str">
            <v>MARCELO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  <cell r="H192" t="str">
            <v>INGREDIENTS</v>
          </cell>
          <cell r="I192" t="str">
            <v>INGREDIENTS</v>
          </cell>
          <cell r="J192" t="str">
            <v>MARCELO RODRIGUES</v>
          </cell>
          <cell r="K192" t="str">
            <v>LACTALIS</v>
          </cell>
          <cell r="L192" t="str">
            <v>MAURICIO</v>
          </cell>
          <cell r="M192" t="str">
            <v>MARCELO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  <cell r="H193" t="str">
            <v>INGREDIENTS</v>
          </cell>
          <cell r="I193" t="str">
            <v>INGREDIENTS</v>
          </cell>
          <cell r="J193" t="str">
            <v>MARCELO RODRIGUES</v>
          </cell>
          <cell r="K193" t="str">
            <v>ITAMBÉ</v>
          </cell>
          <cell r="L193" t="str">
            <v>MAURICIO</v>
          </cell>
          <cell r="M193" t="str">
            <v>MARCELO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  <cell r="H194" t="str">
            <v>INGREDIENTS</v>
          </cell>
          <cell r="I194" t="str">
            <v>INGREDIENTS</v>
          </cell>
          <cell r="J194" t="str">
            <v>MARCELO RODRIGUES</v>
          </cell>
          <cell r="K194" t="str">
            <v>ITAMBÉ</v>
          </cell>
          <cell r="L194" t="str">
            <v>MAURICIO</v>
          </cell>
          <cell r="M194" t="str">
            <v>MARCELO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  <cell r="H195" t="str">
            <v>INGREDIENTS</v>
          </cell>
          <cell r="I195" t="str">
            <v>INGREDIENTS</v>
          </cell>
          <cell r="J195" t="str">
            <v>MARCELO RODRIGUES</v>
          </cell>
          <cell r="K195" t="str">
            <v>ITAMBÉ</v>
          </cell>
          <cell r="L195" t="str">
            <v>MAURICIO</v>
          </cell>
          <cell r="M195" t="str">
            <v>MARCELO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  <cell r="H196" t="str">
            <v>INGREDIENTS</v>
          </cell>
          <cell r="I196" t="str">
            <v>INGREDIENTS</v>
          </cell>
          <cell r="J196" t="str">
            <v>MARCELO RODRIGUES</v>
          </cell>
          <cell r="K196" t="str">
            <v>LACTALIS</v>
          </cell>
          <cell r="L196" t="str">
            <v>MAURICIO</v>
          </cell>
          <cell r="M196" t="str">
            <v>MARCELO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  <cell r="H197" t="str">
            <v>INGREDIENTS</v>
          </cell>
          <cell r="I197" t="str">
            <v>INGREDIENTS</v>
          </cell>
          <cell r="J197" t="str">
            <v>MARCELO RODRIGUES</v>
          </cell>
          <cell r="K197" t="str">
            <v>LACTALIS</v>
          </cell>
          <cell r="L197" t="str">
            <v>MAURICIO</v>
          </cell>
          <cell r="M197" t="str">
            <v>MARCELO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  <cell r="H198" t="str">
            <v>OUTROS</v>
          </cell>
          <cell r="I198" t="str">
            <v>OUTROS</v>
          </cell>
          <cell r="J198" t="str">
            <v>BRF</v>
          </cell>
          <cell r="K198" t="str">
            <v>OUTROS</v>
          </cell>
          <cell r="L198" t="str">
            <v>OUTROS</v>
          </cell>
          <cell r="M198" t="str">
            <v>BRF SA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  <cell r="H199" t="str">
            <v>INGREDIENTS</v>
          </cell>
          <cell r="I199" t="str">
            <v>INGREDIENTS</v>
          </cell>
          <cell r="J199" t="str">
            <v>MARCELO RODRIGUES</v>
          </cell>
          <cell r="K199" t="str">
            <v>LACTALIS</v>
          </cell>
          <cell r="L199" t="str">
            <v>MAURICIO</v>
          </cell>
          <cell r="M199" t="str">
            <v>MARCELO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  <cell r="H200" t="str">
            <v>QSR</v>
          </cell>
          <cell r="I200" t="str">
            <v>FOOD SERVICE</v>
          </cell>
          <cell r="J200" t="str">
            <v>NUTRI</v>
          </cell>
          <cell r="K200" t="str">
            <v>LACTALIS</v>
          </cell>
          <cell r="L200" t="str">
            <v>PEDRO</v>
          </cell>
          <cell r="M200" t="str">
            <v>VAGO QSR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  <cell r="H201" t="str">
            <v>QSR</v>
          </cell>
          <cell r="I201" t="str">
            <v>FOOD SERVICE</v>
          </cell>
          <cell r="J201" t="str">
            <v>NUTRI</v>
          </cell>
          <cell r="K201" t="str">
            <v>LACTALIS</v>
          </cell>
          <cell r="L201" t="str">
            <v>PEDRO</v>
          </cell>
          <cell r="M201" t="str">
            <v>VAGO QSR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  <cell r="H202" t="str">
            <v>INGREDIENTS</v>
          </cell>
          <cell r="I202" t="str">
            <v>INGREDIENTS</v>
          </cell>
          <cell r="J202" t="str">
            <v>HENRIQUE FERREIRA</v>
          </cell>
          <cell r="K202" t="str">
            <v>LACTALIS</v>
          </cell>
          <cell r="L202" t="str">
            <v>MAURICIO</v>
          </cell>
          <cell r="M202" t="str">
            <v>JOEL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  <cell r="H203" t="str">
            <v>INGREDIENTS</v>
          </cell>
          <cell r="I203" t="str">
            <v>INGREDIENTS</v>
          </cell>
          <cell r="J203" t="str">
            <v>HENRIQUE FERREIRA</v>
          </cell>
          <cell r="K203" t="str">
            <v>ITAMBÉ</v>
          </cell>
          <cell r="L203" t="str">
            <v>MAURICIO</v>
          </cell>
          <cell r="M203" t="str">
            <v>JOEL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  <cell r="H204" t="str">
            <v>DISTRIBUIÇÃO</v>
          </cell>
          <cell r="I204" t="str">
            <v>FOOD SERVICE</v>
          </cell>
          <cell r="J204" t="str">
            <v>FLAC 2</v>
          </cell>
          <cell r="K204" t="str">
            <v>LACTALIS</v>
          </cell>
          <cell r="L204" t="str">
            <v>RODRIGO</v>
          </cell>
          <cell r="M204" t="str">
            <v>RAQUEL BARBOSA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  <cell r="H205" t="str">
            <v>DISTRIBUIÇÃO</v>
          </cell>
          <cell r="I205" t="str">
            <v>FOOD SERVICE</v>
          </cell>
          <cell r="J205" t="str">
            <v>FLAC 2</v>
          </cell>
          <cell r="K205" t="str">
            <v>LACTALIS</v>
          </cell>
          <cell r="L205" t="str">
            <v>RODRIGO</v>
          </cell>
          <cell r="M205" t="str">
            <v>RAQUEL BARBOSA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  <cell r="H206" t="str">
            <v>DISTRIBUIÇÃO</v>
          </cell>
          <cell r="I206" t="str">
            <v>FOOD SERVICE</v>
          </cell>
          <cell r="J206" t="str">
            <v>FLAC 2</v>
          </cell>
          <cell r="K206" t="str">
            <v>LACTALIS</v>
          </cell>
          <cell r="L206" t="str">
            <v>RODRIGO</v>
          </cell>
          <cell r="M206" t="str">
            <v>RAQUEL BARBOSA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  <cell r="H207" t="str">
            <v>DISTRIBUIÇÃO</v>
          </cell>
          <cell r="I207" t="str">
            <v>FOOD SERVICE</v>
          </cell>
          <cell r="J207" t="str">
            <v>FLAC 2</v>
          </cell>
          <cell r="K207" t="str">
            <v>LACTALIS</v>
          </cell>
          <cell r="L207" t="str">
            <v>RODRIGO</v>
          </cell>
          <cell r="M207" t="str">
            <v>RAQUEL BARBOSA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  <cell r="H208" t="str">
            <v>DISTRIBUIÇÃO</v>
          </cell>
          <cell r="I208" t="str">
            <v>FOOD SERVICE</v>
          </cell>
          <cell r="J208" t="str">
            <v>FLAC 2</v>
          </cell>
          <cell r="K208" t="str">
            <v>LACTALIS</v>
          </cell>
          <cell r="L208" t="str">
            <v>RODRIGO</v>
          </cell>
          <cell r="M208" t="str">
            <v>RAQUEL BARBOSA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  <cell r="H209" t="str">
            <v>DISTRIBUIÇÃO</v>
          </cell>
          <cell r="I209" t="str">
            <v>FOOD SERVICE</v>
          </cell>
          <cell r="J209" t="str">
            <v>GUILHERME NASCIMENTO</v>
          </cell>
          <cell r="K209" t="str">
            <v>ITAMBÉ</v>
          </cell>
          <cell r="L209" t="str">
            <v>RODRIGO</v>
          </cell>
          <cell r="M209" t="str">
            <v>ALEXANDRO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  <cell r="H210" t="str">
            <v>QSR</v>
          </cell>
          <cell r="I210" t="str">
            <v>FOOD SERVICE</v>
          </cell>
          <cell r="J210" t="str">
            <v>NUTRI</v>
          </cell>
          <cell r="K210" t="str">
            <v>LACTALIS</v>
          </cell>
          <cell r="L210" t="str">
            <v>PEDRO</v>
          </cell>
          <cell r="M210" t="str">
            <v>VAGO QSR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  <cell r="H211" t="str">
            <v>QSR</v>
          </cell>
          <cell r="I211" t="str">
            <v>FOOD SERVICE</v>
          </cell>
          <cell r="J211" t="str">
            <v>NUTRI</v>
          </cell>
          <cell r="K211" t="str">
            <v>LACTALIS</v>
          </cell>
          <cell r="L211" t="str">
            <v>PEDRO</v>
          </cell>
          <cell r="M211" t="str">
            <v>VAGO QSR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  <cell r="H212" t="str">
            <v>INGREDIENTS</v>
          </cell>
          <cell r="I212" t="str">
            <v>INGREDIENTS</v>
          </cell>
          <cell r="J212" t="str">
            <v>MARCELO RODRIGUES</v>
          </cell>
          <cell r="K212" t="str">
            <v>LACTALIS</v>
          </cell>
          <cell r="L212" t="str">
            <v>MAURICIO</v>
          </cell>
          <cell r="M212" t="str">
            <v>MARCELO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  <cell r="H213" t="str">
            <v>DISTRIBUIÇÃO</v>
          </cell>
          <cell r="I213" t="str">
            <v>FOOD SERVICE</v>
          </cell>
          <cell r="J213" t="str">
            <v>FLAC 6</v>
          </cell>
          <cell r="K213" t="str">
            <v>LACTALIS</v>
          </cell>
          <cell r="L213" t="str">
            <v>RODRIGO</v>
          </cell>
          <cell r="M213" t="str">
            <v>RAQUEL BARBOSA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  <cell r="H214" t="str">
            <v>DISTRIBUIÇÃO</v>
          </cell>
          <cell r="I214" t="str">
            <v>FOOD SERVICE</v>
          </cell>
          <cell r="J214" t="str">
            <v>FLAC 6</v>
          </cell>
          <cell r="K214" t="str">
            <v>LACTALIS</v>
          </cell>
          <cell r="L214" t="str">
            <v>RODRIGO</v>
          </cell>
          <cell r="M214" t="str">
            <v>RAQUEL BARBOSA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  <cell r="H215" t="str">
            <v>DISTRIBUIÇÃO</v>
          </cell>
          <cell r="I215" t="str">
            <v>FOOD SERVICE</v>
          </cell>
          <cell r="J215" t="str">
            <v>FLAC 5</v>
          </cell>
          <cell r="K215" t="str">
            <v>LACTALIS</v>
          </cell>
          <cell r="L215" t="str">
            <v>RODRIGO</v>
          </cell>
          <cell r="M215" t="str">
            <v>RAQUEL BARBOSA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  <cell r="H216" t="str">
            <v>INGREDIENTS</v>
          </cell>
          <cell r="I216" t="str">
            <v>INGREDIENTS</v>
          </cell>
          <cell r="J216" t="str">
            <v>JOEL ELEOTÉRIO</v>
          </cell>
          <cell r="K216" t="str">
            <v>ITAMBÉ</v>
          </cell>
          <cell r="L216" t="str">
            <v>MAURICIO</v>
          </cell>
          <cell r="M216" t="str">
            <v>JOEL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  <cell r="H217" t="str">
            <v>INGREDIENTS</v>
          </cell>
          <cell r="I217" t="str">
            <v>INGREDIENTS</v>
          </cell>
          <cell r="J217" t="str">
            <v>JOEL ELEOTÉRIO</v>
          </cell>
          <cell r="K217" t="str">
            <v>ITAMBÉ</v>
          </cell>
          <cell r="L217" t="str">
            <v>MAURICIO</v>
          </cell>
          <cell r="M217" t="str">
            <v>JOEL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  <cell r="H218" t="str">
            <v>DISTRIBUIÇÃO</v>
          </cell>
          <cell r="I218" t="str">
            <v>FOOD SERVICE</v>
          </cell>
          <cell r="J218" t="str">
            <v>FLAC 2</v>
          </cell>
          <cell r="K218" t="str">
            <v>LACTALIS</v>
          </cell>
          <cell r="L218" t="str">
            <v>RODRIGO</v>
          </cell>
          <cell r="M218" t="str">
            <v>RAQUEL BARBOSA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  <cell r="H219" t="str">
            <v>DISTRIBUIÇÃO</v>
          </cell>
          <cell r="I219" t="str">
            <v>FOOD SERVICE</v>
          </cell>
          <cell r="J219" t="str">
            <v>FLAC 5</v>
          </cell>
          <cell r="K219" t="str">
            <v>LACTALIS</v>
          </cell>
          <cell r="L219" t="str">
            <v>RODRIGO</v>
          </cell>
          <cell r="M219" t="str">
            <v>RAQUEL BARBOSA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  <cell r="H220" t="str">
            <v>DISTRIBUIÇÃO</v>
          </cell>
          <cell r="I220" t="str">
            <v>FOOD SERVICE</v>
          </cell>
          <cell r="J220" t="str">
            <v>FLAC 2</v>
          </cell>
          <cell r="K220" t="str">
            <v>LACTALIS</v>
          </cell>
          <cell r="L220" t="str">
            <v>RODRIGO</v>
          </cell>
          <cell r="M220" t="str">
            <v>RAQUEL BARBOSA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  <cell r="H221" t="str">
            <v>QSR</v>
          </cell>
          <cell r="I221" t="str">
            <v>FOOD SERVICE</v>
          </cell>
          <cell r="J221" t="str">
            <v>VAGO QSR</v>
          </cell>
          <cell r="K221" t="str">
            <v>LACTALIS</v>
          </cell>
          <cell r="L221" t="str">
            <v>PEDRO</v>
          </cell>
          <cell r="M221" t="str">
            <v>VAGO QSR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  <cell r="H222" t="str">
            <v>DISTRIBUIÇÃO</v>
          </cell>
          <cell r="I222" t="str">
            <v>FOOD SERVICE</v>
          </cell>
          <cell r="J222" t="str">
            <v>FLAC 2</v>
          </cell>
          <cell r="K222" t="str">
            <v>LACTALIS</v>
          </cell>
          <cell r="L222" t="str">
            <v>RODRIGO</v>
          </cell>
          <cell r="M222" t="str">
            <v>RAQUEL BARBOSA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  <cell r="H223" t="str">
            <v>DISTRIBUIÇÃO</v>
          </cell>
          <cell r="I223" t="str">
            <v>FOOD SERVICE</v>
          </cell>
          <cell r="J223" t="str">
            <v>MARCELO DUARTE</v>
          </cell>
          <cell r="K223" t="str">
            <v>ITAMBÉ</v>
          </cell>
          <cell r="L223" t="str">
            <v>RODRIGO</v>
          </cell>
          <cell r="M223" t="str">
            <v>JESSICA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  <cell r="H224" t="str">
            <v>INGREDIENTS</v>
          </cell>
          <cell r="I224" t="str">
            <v>INGREDIENTS</v>
          </cell>
          <cell r="J224" t="str">
            <v>JOEL ELEOTÉRIO</v>
          </cell>
          <cell r="K224" t="str">
            <v>LACTALIS</v>
          </cell>
          <cell r="L224" t="str">
            <v>MAURICIO</v>
          </cell>
          <cell r="M224" t="str">
            <v>JOEL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  <cell r="H225" t="str">
            <v>DISTRIBUIÇÃO</v>
          </cell>
          <cell r="I225" t="str">
            <v>FOOD SERVICE</v>
          </cell>
          <cell r="J225" t="str">
            <v>FLAC 3</v>
          </cell>
          <cell r="K225" t="str">
            <v>LACTALIS</v>
          </cell>
          <cell r="L225" t="str">
            <v>RODRIGO</v>
          </cell>
          <cell r="M225" t="str">
            <v>RAQUEL BARBOSA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  <cell r="H226" t="str">
            <v>DISTRIBUIÇÃO</v>
          </cell>
          <cell r="I226" t="str">
            <v>FOOD SERVICE</v>
          </cell>
          <cell r="J226" t="str">
            <v>MARCELO DUARTE</v>
          </cell>
          <cell r="K226" t="str">
            <v>ITAMBÉ</v>
          </cell>
          <cell r="L226" t="str">
            <v>RODRIGO</v>
          </cell>
          <cell r="M226" t="str">
            <v>JESSICA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  <cell r="H227" t="str">
            <v>DISTRIBUIÇÃO</v>
          </cell>
          <cell r="I227" t="str">
            <v>FOOD SERVICE</v>
          </cell>
          <cell r="J227" t="str">
            <v>FLAC 6</v>
          </cell>
          <cell r="K227" t="str">
            <v>LACTALIS</v>
          </cell>
          <cell r="L227" t="str">
            <v>RODRIGO</v>
          </cell>
          <cell r="M227" t="str">
            <v>RAQUEL BARBOSA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  <cell r="H228" t="str">
            <v>DISTRIBUIÇÃO</v>
          </cell>
          <cell r="I228" t="str">
            <v>FOOD SERVICE</v>
          </cell>
          <cell r="J228" t="str">
            <v>CLAUDIO JORGE/LUIZ</v>
          </cell>
          <cell r="K228" t="str">
            <v>ITAMBÉ</v>
          </cell>
          <cell r="L228" t="str">
            <v>RODRIGO</v>
          </cell>
          <cell r="M228" t="str">
            <v>MARIA LOURDES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  <cell r="H229" t="str">
            <v>DISTRIBUIÇÃO</v>
          </cell>
          <cell r="I229" t="str">
            <v>FOOD SERVICE</v>
          </cell>
          <cell r="J229" t="str">
            <v>FLAC 2</v>
          </cell>
          <cell r="K229" t="str">
            <v>LACTALIS</v>
          </cell>
          <cell r="L229" t="str">
            <v>RODRIGO</v>
          </cell>
          <cell r="M229" t="str">
            <v>RAQUEL BARBOSA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  <cell r="H230" t="str">
            <v>DISTRIBUIÇÃO</v>
          </cell>
          <cell r="I230" t="str">
            <v>FOOD SERVICE</v>
          </cell>
          <cell r="J230" t="str">
            <v>FLAC 3</v>
          </cell>
          <cell r="K230" t="str">
            <v>LACTALIS</v>
          </cell>
          <cell r="L230" t="str">
            <v>RODRIGO</v>
          </cell>
          <cell r="M230" t="str">
            <v>RAQUEL BARBOSA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  <cell r="H231" t="str">
            <v>INGREDIENTS</v>
          </cell>
          <cell r="I231" t="str">
            <v>INGREDIENTS</v>
          </cell>
          <cell r="J231" t="str">
            <v>TATIANA NITTA</v>
          </cell>
          <cell r="K231" t="str">
            <v>ITAMBÉ</v>
          </cell>
          <cell r="L231" t="str">
            <v>MAURICIO</v>
          </cell>
          <cell r="M231" t="str">
            <v>TATIANA NITTA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  <cell r="H232" t="str">
            <v>INGREDIENTS</v>
          </cell>
          <cell r="I232" t="str">
            <v>INGREDIENTS</v>
          </cell>
          <cell r="J232" t="str">
            <v>JOEL ELEOTÉRIO</v>
          </cell>
          <cell r="K232" t="str">
            <v>LACTALIS</v>
          </cell>
          <cell r="L232" t="str">
            <v>MAURICIO</v>
          </cell>
          <cell r="M232" t="str">
            <v>JOEL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  <cell r="H233" t="str">
            <v>DISTRIBUIÇÃO</v>
          </cell>
          <cell r="I233" t="str">
            <v>FOOD SERVICE</v>
          </cell>
          <cell r="J233" t="str">
            <v>FLAC 6</v>
          </cell>
          <cell r="K233" t="str">
            <v>LACTALIS</v>
          </cell>
          <cell r="L233" t="str">
            <v>RODRIGO</v>
          </cell>
          <cell r="M233" t="str">
            <v>RAQUEL BARBOSA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  <cell r="H234" t="str">
            <v>INGREDIENTS</v>
          </cell>
          <cell r="I234" t="str">
            <v>INGREDIENTS</v>
          </cell>
          <cell r="J234" t="str">
            <v>AM ITB FS I DA SILVA SANTOS</v>
          </cell>
          <cell r="K234" t="str">
            <v>ITAMBÉ</v>
          </cell>
          <cell r="L234" t="str">
            <v>MAURICIO</v>
          </cell>
          <cell r="M234" t="str">
            <v>JOEL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  <cell r="H235" t="str">
            <v>INGREDIENTS</v>
          </cell>
          <cell r="I235" t="str">
            <v>INGREDIENTS</v>
          </cell>
          <cell r="J235" t="str">
            <v>MARCELO RODRIGUES</v>
          </cell>
          <cell r="K235" t="str">
            <v>ITAMBÉ</v>
          </cell>
          <cell r="L235" t="str">
            <v>MAURICIO</v>
          </cell>
          <cell r="M235" t="str">
            <v>MARCELO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  <cell r="H236" t="str">
            <v>INGREDIENTS</v>
          </cell>
          <cell r="I236" t="str">
            <v>INGREDIENTS</v>
          </cell>
          <cell r="J236" t="str">
            <v>MARCELO RODRIGUES</v>
          </cell>
          <cell r="K236" t="str">
            <v>ITAMBÉ</v>
          </cell>
          <cell r="L236" t="str">
            <v>MAURICIO</v>
          </cell>
          <cell r="M236" t="str">
            <v>MARCELO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  <cell r="H237" t="str">
            <v>INGREDIENTS</v>
          </cell>
          <cell r="I237" t="str">
            <v>INGREDIENTS</v>
          </cell>
          <cell r="J237" t="str">
            <v>MARCELO RODRIGUES</v>
          </cell>
          <cell r="K237" t="str">
            <v>LACTALIS</v>
          </cell>
          <cell r="L237" t="str">
            <v>MAURICIO</v>
          </cell>
          <cell r="M237" t="str">
            <v>MARCELO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  <cell r="H238" t="str">
            <v>DISTRIBUIÇÃO</v>
          </cell>
          <cell r="I238" t="str">
            <v>FOOD SERVICE</v>
          </cell>
          <cell r="J238" t="str">
            <v>FLAC 6</v>
          </cell>
          <cell r="K238" t="str">
            <v>LACTALIS</v>
          </cell>
          <cell r="L238" t="str">
            <v>RODRIGO</v>
          </cell>
          <cell r="M238" t="str">
            <v>RAQUEL BARBOSA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  <cell r="H239" t="str">
            <v>INGREDIENTS</v>
          </cell>
          <cell r="I239" t="str">
            <v>INGREDIENTS</v>
          </cell>
          <cell r="J239" t="str">
            <v>DUAS RODAS</v>
          </cell>
          <cell r="K239" t="str">
            <v>ITAMBÉ</v>
          </cell>
          <cell r="L239" t="str">
            <v>MAURICIO</v>
          </cell>
          <cell r="M239" t="str">
            <v>MARCELO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  <cell r="H240" t="str">
            <v>DISTRIBUIÇÃO</v>
          </cell>
          <cell r="I240" t="str">
            <v>FOOD SERVICE</v>
          </cell>
          <cell r="J240" t="str">
            <v>FLAC 6</v>
          </cell>
          <cell r="K240" t="str">
            <v>LACTALIS</v>
          </cell>
          <cell r="L240" t="str">
            <v>RODRIGO</v>
          </cell>
          <cell r="M240" t="str">
            <v>RAQUEL BARBOSA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  <cell r="H241" t="str">
            <v>INGREDIENTS</v>
          </cell>
          <cell r="I241" t="str">
            <v>INGREDIENTS</v>
          </cell>
          <cell r="J241" t="str">
            <v>MARCELO RODRIGUES</v>
          </cell>
          <cell r="K241" t="str">
            <v>ITAMBÉ</v>
          </cell>
          <cell r="L241" t="str">
            <v>MAURICIO</v>
          </cell>
          <cell r="M241" t="str">
            <v>MARCELO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  <cell r="H242" t="str">
            <v>DISTRIBUIÇÃO</v>
          </cell>
          <cell r="I242" t="str">
            <v>FOOD SERVICE</v>
          </cell>
          <cell r="J242" t="str">
            <v>FLAC 4</v>
          </cell>
          <cell r="K242" t="str">
            <v>LACTALIS</v>
          </cell>
          <cell r="L242" t="str">
            <v>RODRIGO</v>
          </cell>
          <cell r="M242" t="str">
            <v>RAQUEL BARBOSA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  <cell r="H243" t="str">
            <v>DISTRIBUIÇÃO</v>
          </cell>
          <cell r="I243" t="str">
            <v>FOOD SERVICE</v>
          </cell>
          <cell r="J243" t="str">
            <v>FLAC 2</v>
          </cell>
          <cell r="K243" t="str">
            <v>LACTALIS</v>
          </cell>
          <cell r="L243" t="str">
            <v>RODRIGO</v>
          </cell>
          <cell r="M243" t="str">
            <v>RAQUEL BARBOSA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  <cell r="H244" t="str">
            <v>DISTRIBUIÇÃO</v>
          </cell>
          <cell r="I244" t="str">
            <v>FOOD SERVICE</v>
          </cell>
          <cell r="J244" t="str">
            <v>MARCELO DUARTE</v>
          </cell>
          <cell r="K244" t="str">
            <v>ITAMBÉ</v>
          </cell>
          <cell r="L244" t="str">
            <v>RODRIGO</v>
          </cell>
          <cell r="M244" t="str">
            <v>JESSICA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  <cell r="H245" t="str">
            <v>DISTRIBUIÇÃO</v>
          </cell>
          <cell r="I245" t="str">
            <v>FOOD SERVICE</v>
          </cell>
          <cell r="J245" t="str">
            <v>ANGELICA BATISTELA</v>
          </cell>
          <cell r="K245" t="str">
            <v>ITAMBÉ</v>
          </cell>
          <cell r="L245" t="str">
            <v>RODRIGO</v>
          </cell>
          <cell r="M245" t="str">
            <v>ANGELICA BATISTELA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  <cell r="H246" t="str">
            <v>DISTRIBUIÇÃO</v>
          </cell>
          <cell r="I246" t="str">
            <v>FOOD SERVICE</v>
          </cell>
          <cell r="J246" t="str">
            <v>ANGELICA BATISTELA</v>
          </cell>
          <cell r="K246" t="str">
            <v>LACTALIS</v>
          </cell>
          <cell r="L246" t="str">
            <v>RODRIGO</v>
          </cell>
          <cell r="M246" t="str">
            <v>ANGELICA BATISTELA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  <cell r="H247" t="str">
            <v>DISTRIBUIÇÃO</v>
          </cell>
          <cell r="I247" t="str">
            <v>FOOD SERVICE</v>
          </cell>
          <cell r="J247" t="str">
            <v>FLAC 3</v>
          </cell>
          <cell r="K247" t="str">
            <v>LACTALIS</v>
          </cell>
          <cell r="L247" t="str">
            <v>RODRIGO</v>
          </cell>
          <cell r="M247" t="str">
            <v>RAQUEL BARBOSA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  <cell r="H248" t="str">
            <v>DISTRIBUIÇÃO</v>
          </cell>
          <cell r="I248" t="str">
            <v>FOOD SERVICE</v>
          </cell>
          <cell r="J248" t="str">
            <v>GUILHERME NASCIMENTO</v>
          </cell>
          <cell r="K248" t="str">
            <v>ITAMBÉ</v>
          </cell>
          <cell r="L248" t="str">
            <v>RODRIGO</v>
          </cell>
          <cell r="M248" t="str">
            <v>ALEXANDRO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  <cell r="H249" t="str">
            <v>DISTRIBUIÇÃO</v>
          </cell>
          <cell r="I249" t="str">
            <v>FOOD SERVICE</v>
          </cell>
          <cell r="J249" t="str">
            <v>VAGO SP</v>
          </cell>
          <cell r="K249" t="str">
            <v>ITAMBÉ</v>
          </cell>
          <cell r="L249" t="str">
            <v>RODRIGO</v>
          </cell>
          <cell r="M249" t="str">
            <v>RAQUEL BARBOSA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  <cell r="H250" t="str">
            <v>DISTRIBUIÇÃO</v>
          </cell>
          <cell r="I250" t="str">
            <v>FOOD SERVICE</v>
          </cell>
          <cell r="J250" t="str">
            <v>MARCO AURELIO</v>
          </cell>
          <cell r="K250" t="str">
            <v>ITAMBÉ</v>
          </cell>
          <cell r="L250" t="str">
            <v>RODRIGO</v>
          </cell>
          <cell r="M250" t="str">
            <v>MARCO AURELIO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  <cell r="H251" t="str">
            <v>DISTRIBUIÇÃO</v>
          </cell>
          <cell r="I251" t="str">
            <v>FOOD SERVICE</v>
          </cell>
          <cell r="J251" t="str">
            <v>FLAC 2</v>
          </cell>
          <cell r="K251" t="str">
            <v>LACTALIS</v>
          </cell>
          <cell r="L251" t="str">
            <v>RODRIGO</v>
          </cell>
          <cell r="M251" t="str">
            <v>RAQUEL BARBOSA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  <cell r="H252" t="str">
            <v>DISTRIBUIÇÃO</v>
          </cell>
          <cell r="I252" t="str">
            <v>FOOD SERVICE</v>
          </cell>
          <cell r="J252" t="str">
            <v>FLAC 1</v>
          </cell>
          <cell r="K252" t="str">
            <v>LACTALIS</v>
          </cell>
          <cell r="L252" t="str">
            <v>RODRIGO</v>
          </cell>
          <cell r="M252" t="str">
            <v>RAQUEL BARBOSA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  <cell r="H253" t="str">
            <v>DISTRIBUIÇÃO</v>
          </cell>
          <cell r="I253" t="str">
            <v>FOOD SERVICE</v>
          </cell>
          <cell r="J253" t="str">
            <v>FLAC 4</v>
          </cell>
          <cell r="K253" t="str">
            <v>LACTALIS</v>
          </cell>
          <cell r="L253" t="str">
            <v>RODRIGO</v>
          </cell>
          <cell r="M253" t="str">
            <v>RAQUEL BARBOSA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  <cell r="H254" t="str">
            <v>DISTRIBUIÇÃO</v>
          </cell>
          <cell r="I254" t="str">
            <v>FOOD SERVICE</v>
          </cell>
          <cell r="J254" t="str">
            <v>MARCELO DUARTE</v>
          </cell>
          <cell r="K254" t="str">
            <v>ITAMBÉ</v>
          </cell>
          <cell r="L254" t="str">
            <v>RODRIGO</v>
          </cell>
          <cell r="M254" t="str">
            <v>JESSICA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  <cell r="H255" t="str">
            <v>DISTRIBUIÇÃO</v>
          </cell>
          <cell r="I255" t="str">
            <v>FOOD SERVICE</v>
          </cell>
          <cell r="J255" t="str">
            <v>FLAC 5</v>
          </cell>
          <cell r="K255" t="str">
            <v>LACTALIS</v>
          </cell>
          <cell r="L255" t="str">
            <v>RODRIGO</v>
          </cell>
          <cell r="M255" t="str">
            <v>RAQUEL BARBOSA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  <cell r="H256" t="str">
            <v>DISTRIBUIÇÃO</v>
          </cell>
          <cell r="I256" t="str">
            <v>FOOD SERVICE</v>
          </cell>
          <cell r="J256" t="str">
            <v>VAGO SP</v>
          </cell>
          <cell r="K256" t="str">
            <v>ITAMBÉ</v>
          </cell>
          <cell r="L256" t="str">
            <v>RODRIGO</v>
          </cell>
          <cell r="M256" t="str">
            <v>RAQUEL BARBOSA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  <cell r="H257" t="str">
            <v>INGREDIENTS</v>
          </cell>
          <cell r="I257" t="str">
            <v>INGREDIENTS</v>
          </cell>
          <cell r="J257" t="str">
            <v>HENRIQUE FERREIRA</v>
          </cell>
          <cell r="K257" t="str">
            <v>ITAMBÉ</v>
          </cell>
          <cell r="L257" t="str">
            <v>MAURICIO</v>
          </cell>
          <cell r="M257" t="str">
            <v>JOEL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  <cell r="H258" t="str">
            <v>DISTRIBUIÇÃO</v>
          </cell>
          <cell r="I258" t="str">
            <v>FOOD SERVICE</v>
          </cell>
          <cell r="J258" t="str">
            <v>FLAC 1</v>
          </cell>
          <cell r="K258" t="str">
            <v>LACTALIS</v>
          </cell>
          <cell r="L258" t="str">
            <v>RODRIGO</v>
          </cell>
          <cell r="M258" t="str">
            <v>RAQUEL BARBOSA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  <cell r="H259" t="str">
            <v>DISTRIBUIÇÃO</v>
          </cell>
          <cell r="I259" t="str">
            <v>FOOD SERVICE</v>
          </cell>
          <cell r="J259" t="str">
            <v>FLAC 1</v>
          </cell>
          <cell r="K259" t="str">
            <v>LACTALIS</v>
          </cell>
          <cell r="L259" t="str">
            <v>RODRIGO</v>
          </cell>
          <cell r="M259" t="str">
            <v>RAQUEL BARBOSA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  <cell r="H260" t="str">
            <v>DISTRIBUIÇÃO</v>
          </cell>
          <cell r="I260" t="str">
            <v>FOOD SERVICE</v>
          </cell>
          <cell r="J260" t="str">
            <v>FLAC 3</v>
          </cell>
          <cell r="K260" t="str">
            <v>LACTALIS</v>
          </cell>
          <cell r="L260" t="str">
            <v>RODRIGO</v>
          </cell>
          <cell r="M260" t="str">
            <v>RAQUEL BARBOSA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  <cell r="H261" t="str">
            <v>DISTRIBUIÇÃO</v>
          </cell>
          <cell r="I261" t="str">
            <v>FOOD SERVICE</v>
          </cell>
          <cell r="J261" t="str">
            <v>FLAC 3</v>
          </cell>
          <cell r="K261" t="str">
            <v>LACTALIS</v>
          </cell>
          <cell r="L261" t="str">
            <v>RODRIGO</v>
          </cell>
          <cell r="M261" t="str">
            <v>RAQUEL BARBOSA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  <cell r="H262" t="str">
            <v>DISTRIBUIÇÃO</v>
          </cell>
          <cell r="I262" t="str">
            <v>FOOD SERVICE</v>
          </cell>
          <cell r="J262" t="str">
            <v>FLAC 6</v>
          </cell>
          <cell r="K262" t="str">
            <v>LACTALIS</v>
          </cell>
          <cell r="L262" t="str">
            <v>RODRIGO</v>
          </cell>
          <cell r="M262" t="str">
            <v>RAQUEL BARBOSA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  <cell r="H263" t="str">
            <v>DISTRIBUIÇÃO</v>
          </cell>
          <cell r="I263" t="str">
            <v>FOOD SERVICE</v>
          </cell>
          <cell r="J263" t="str">
            <v>CLAUDIO JORGE</v>
          </cell>
          <cell r="K263" t="str">
            <v>ITAMBÉ</v>
          </cell>
          <cell r="L263" t="str">
            <v>RODRIGO</v>
          </cell>
          <cell r="M263" t="str">
            <v>JESSICA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  <cell r="H264" t="str">
            <v>DISTRIBUIÇÃO</v>
          </cell>
          <cell r="I264" t="str">
            <v>FOOD SERVICE</v>
          </cell>
          <cell r="J264" t="str">
            <v>SP ITB FS FLAC REP.E COMERCIO</v>
          </cell>
          <cell r="K264" t="str">
            <v>ITAMBÉ</v>
          </cell>
          <cell r="L264" t="str">
            <v>RODRIGO</v>
          </cell>
          <cell r="M264" t="str">
            <v>RAQUEL BARBOSA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  <cell r="H265" t="str">
            <v>DISTRIBUIÇÃO</v>
          </cell>
          <cell r="I265" t="str">
            <v>FOOD SERVICE</v>
          </cell>
          <cell r="J265" t="str">
            <v>WH FOOD SERVICE CE</v>
          </cell>
          <cell r="K265" t="str">
            <v>ITAMBÉ</v>
          </cell>
          <cell r="L265" t="str">
            <v>RODRIGO</v>
          </cell>
          <cell r="M265" t="str">
            <v>MARIA LOURDES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  <cell r="H266" t="str">
            <v>OUTROS</v>
          </cell>
          <cell r="I266" t="str">
            <v>OUTROS</v>
          </cell>
          <cell r="J266" t="str">
            <v>EDUARDO LEITE LEVE LEITE</v>
          </cell>
          <cell r="K266" t="str">
            <v>OUTROS</v>
          </cell>
          <cell r="L266" t="str">
            <v>OUTROS</v>
          </cell>
          <cell r="M266" t="str">
            <v>LICITAÇÃO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  <cell r="H267" t="str">
            <v>DISTRIBUIÇÃO</v>
          </cell>
          <cell r="I267" t="str">
            <v>FOOD SERVICE</v>
          </cell>
          <cell r="J267" t="str">
            <v>FLAC 6</v>
          </cell>
          <cell r="K267" t="str">
            <v>LACTALIS</v>
          </cell>
          <cell r="L267" t="str">
            <v>RODRIGO</v>
          </cell>
          <cell r="M267" t="str">
            <v>RAQUEL BARBOSA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  <cell r="H268" t="str">
            <v>DISTRIBUIÇÃO</v>
          </cell>
          <cell r="I268" t="str">
            <v>FOOD SERVICE</v>
          </cell>
          <cell r="J268" t="str">
            <v>SP ITB FS FLAC REP.E COMERCIO</v>
          </cell>
          <cell r="K268" t="str">
            <v>ITAMBÉ</v>
          </cell>
          <cell r="L268" t="str">
            <v>RODRIGO</v>
          </cell>
          <cell r="M268" t="str">
            <v>RAQUEL BARBOSA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  <cell r="H269" t="str">
            <v>DISTRIBUIÇÃO</v>
          </cell>
          <cell r="I269" t="str">
            <v>FOOD SERVICE</v>
          </cell>
          <cell r="J269" t="str">
            <v>ANGELICA BATISTELA</v>
          </cell>
          <cell r="K269" t="str">
            <v>ITAMBÉ</v>
          </cell>
          <cell r="L269" t="str">
            <v>RODRIGO</v>
          </cell>
          <cell r="M269" t="str">
            <v>ANGELICA BATISTELA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  <cell r="H270" t="str">
            <v>DISTRIBUIÇÃO</v>
          </cell>
          <cell r="I270" t="str">
            <v>FOOD SERVICE</v>
          </cell>
          <cell r="J270" t="str">
            <v>FLAC 6</v>
          </cell>
          <cell r="K270" t="str">
            <v>LACTALIS</v>
          </cell>
          <cell r="L270" t="str">
            <v>RODRIGO</v>
          </cell>
          <cell r="M270" t="str">
            <v>RAQUEL BARBOSA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  <cell r="H271" t="str">
            <v>DISTRIBUIÇÃO</v>
          </cell>
          <cell r="I271" t="str">
            <v>FOOD SERVICE</v>
          </cell>
          <cell r="J271" t="str">
            <v>FLAC 3</v>
          </cell>
          <cell r="K271" t="str">
            <v>LACTALIS</v>
          </cell>
          <cell r="L271" t="str">
            <v>RODRIGO</v>
          </cell>
          <cell r="M271" t="str">
            <v>RAQUEL BARBOSA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  <cell r="H272" t="str">
            <v>DISTRIBUIÇÃO</v>
          </cell>
          <cell r="I272" t="str">
            <v>FOOD SERVICE</v>
          </cell>
          <cell r="J272" t="str">
            <v>FLAC 6</v>
          </cell>
          <cell r="K272" t="str">
            <v>LACTALIS</v>
          </cell>
          <cell r="L272" t="str">
            <v>RODRIGO</v>
          </cell>
          <cell r="M272" t="str">
            <v>RAQUEL BARBOSA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  <cell r="H273" t="str">
            <v>DISTRIBUIÇÃO</v>
          </cell>
          <cell r="I273" t="str">
            <v>FOOD SERVICE</v>
          </cell>
          <cell r="J273" t="str">
            <v>FLAC 7</v>
          </cell>
          <cell r="K273" t="str">
            <v>LACTALIS</v>
          </cell>
          <cell r="L273" t="str">
            <v>RODRIGO</v>
          </cell>
          <cell r="M273" t="str">
            <v>RAQUEL BARBOSA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  <cell r="H274" t="str">
            <v>DISTRIBUIÇÃO</v>
          </cell>
          <cell r="I274" t="str">
            <v>FOOD SERVICE</v>
          </cell>
          <cell r="J274" t="str">
            <v>FLAC 1</v>
          </cell>
          <cell r="K274" t="str">
            <v>LACTALIS</v>
          </cell>
          <cell r="L274" t="str">
            <v>RODRIGO</v>
          </cell>
          <cell r="M274" t="str">
            <v>RAQUEL BARBOSA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  <cell r="H275" t="str">
            <v>DISTRIBUIÇÃO</v>
          </cell>
          <cell r="I275" t="str">
            <v>FOOD SERVICE</v>
          </cell>
          <cell r="J275" t="str">
            <v>FLAC 3</v>
          </cell>
          <cell r="K275" t="str">
            <v>LACTALIS</v>
          </cell>
          <cell r="L275" t="str">
            <v>RODRIGO</v>
          </cell>
          <cell r="M275" t="str">
            <v>RAQUEL BARBOSA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  <cell r="H276" t="str">
            <v>DISTRIBUIÇÃO</v>
          </cell>
          <cell r="I276" t="str">
            <v>FOOD SERVICE</v>
          </cell>
          <cell r="J276" t="str">
            <v>FLAC 1</v>
          </cell>
          <cell r="K276" t="str">
            <v>LACTALIS</v>
          </cell>
          <cell r="L276" t="str">
            <v>RODRIGO</v>
          </cell>
          <cell r="M276" t="str">
            <v>RAQUEL BARBOSA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  <cell r="H277" t="str">
            <v>INGREDIENTS</v>
          </cell>
          <cell r="I277" t="str">
            <v>INGREDIENTS</v>
          </cell>
          <cell r="J277" t="str">
            <v>DUAS RODAS</v>
          </cell>
          <cell r="K277" t="str">
            <v>ITAMBÉ</v>
          </cell>
          <cell r="L277" t="str">
            <v>MAURICIO</v>
          </cell>
          <cell r="M277" t="str">
            <v>MARCELO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  <cell r="H278" t="str">
            <v>DISTRIBUIÇÃO</v>
          </cell>
          <cell r="I278" t="str">
            <v>FOOD SERVICE</v>
          </cell>
          <cell r="J278" t="str">
            <v>FLAC 2</v>
          </cell>
          <cell r="K278" t="str">
            <v>LACTALIS</v>
          </cell>
          <cell r="L278" t="str">
            <v>RODRIGO</v>
          </cell>
          <cell r="M278" t="str">
            <v>RAQUEL BARBOSA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  <cell r="H279" t="str">
            <v>DISTRIBUIÇÃO</v>
          </cell>
          <cell r="I279" t="str">
            <v>FOOD SERVICE</v>
          </cell>
          <cell r="J279" t="str">
            <v>FLAC 4</v>
          </cell>
          <cell r="K279" t="str">
            <v>LACTALIS</v>
          </cell>
          <cell r="L279" t="str">
            <v>RODRIGO</v>
          </cell>
          <cell r="M279" t="str">
            <v>RAQUEL BARBOSA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  <cell r="H280" t="str">
            <v>INGREDIENTS</v>
          </cell>
          <cell r="I280" t="str">
            <v>INGREDIENTS</v>
          </cell>
          <cell r="J280" t="str">
            <v>MARCELO RODRIGUES</v>
          </cell>
          <cell r="K280" t="str">
            <v>LACTALIS</v>
          </cell>
          <cell r="L280" t="str">
            <v>MAURICIO</v>
          </cell>
          <cell r="M280" t="str">
            <v>MARCELO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  <cell r="H281" t="str">
            <v>DISTRIBUIÇÃO</v>
          </cell>
          <cell r="I281" t="str">
            <v>FOOD SERVICE</v>
          </cell>
          <cell r="J281" t="str">
            <v>FLAC 6</v>
          </cell>
          <cell r="K281" t="str">
            <v>LACTALIS</v>
          </cell>
          <cell r="L281" t="str">
            <v>RODRIGO</v>
          </cell>
          <cell r="M281" t="str">
            <v>RAQUEL BARBOSA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  <cell r="H282" t="str">
            <v>INGREDIENTS</v>
          </cell>
          <cell r="I282" t="str">
            <v>INGREDIENTS</v>
          </cell>
          <cell r="J282" t="str">
            <v>MARCELO RODRIGUES</v>
          </cell>
          <cell r="K282" t="str">
            <v>ITAMBÉ</v>
          </cell>
          <cell r="L282" t="str">
            <v>MAURICIO</v>
          </cell>
          <cell r="M282" t="str">
            <v>MARCELO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  <cell r="H283" t="str">
            <v>DISTRIBUIÇÃO</v>
          </cell>
          <cell r="I283" t="str">
            <v>FOOD SERVICE</v>
          </cell>
          <cell r="J283" t="str">
            <v>SP ITB FS FLAC REP.E COMERCIO</v>
          </cell>
          <cell r="K283" t="str">
            <v>ITAMBÉ</v>
          </cell>
          <cell r="L283" t="str">
            <v>RODRIGO</v>
          </cell>
          <cell r="M283" t="str">
            <v>RAQUEL BARBOSA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  <cell r="H284" t="str">
            <v>DISTRIBUIÇÃO</v>
          </cell>
          <cell r="I284" t="str">
            <v>FOOD SERVICE</v>
          </cell>
          <cell r="J284" t="str">
            <v>ALEXANDRE BONANI</v>
          </cell>
          <cell r="K284" t="str">
            <v>ITAMBÉ</v>
          </cell>
          <cell r="L284" t="str">
            <v>RODRIGO</v>
          </cell>
          <cell r="M284" t="str">
            <v>ALEXANDRE BONANI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  <cell r="H285" t="str">
            <v>DISTRIBUIÇÃO</v>
          </cell>
          <cell r="I285" t="str">
            <v>FOOD SERVICE</v>
          </cell>
          <cell r="J285" t="str">
            <v>FLAC 2</v>
          </cell>
          <cell r="K285" t="str">
            <v>LACTALIS</v>
          </cell>
          <cell r="L285" t="str">
            <v>RODRIGO</v>
          </cell>
          <cell r="M285" t="str">
            <v>RAQUEL BARBOSA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  <cell r="H286" t="str">
            <v>DISTRIBUIÇÃO</v>
          </cell>
          <cell r="I286" t="str">
            <v>FOOD SERVICE</v>
          </cell>
          <cell r="J286" t="str">
            <v>FLAC 6</v>
          </cell>
          <cell r="K286" t="str">
            <v>LACTALIS</v>
          </cell>
          <cell r="L286" t="str">
            <v>RODRIGO</v>
          </cell>
          <cell r="M286" t="str">
            <v>RAQUEL BARBOSA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  <cell r="H287" t="str">
            <v>DISTRIBUIÇÃO</v>
          </cell>
          <cell r="I287" t="str">
            <v>FOOD SERVICE</v>
          </cell>
          <cell r="J287" t="str">
            <v>FLAC 3</v>
          </cell>
          <cell r="K287" t="str">
            <v>LACTALIS</v>
          </cell>
          <cell r="L287" t="str">
            <v>RODRIGO</v>
          </cell>
          <cell r="M287" t="str">
            <v>RAQUEL BARBOSA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  <cell r="H288" t="str">
            <v>INGREDIENTS</v>
          </cell>
          <cell r="I288" t="str">
            <v>INGREDIENTS</v>
          </cell>
          <cell r="J288" t="str">
            <v>DUAS RODAS</v>
          </cell>
          <cell r="K288" t="str">
            <v>ITAMBÉ</v>
          </cell>
          <cell r="L288" t="str">
            <v>MAURICIO</v>
          </cell>
          <cell r="M288" t="str">
            <v>JOEL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  <cell r="H289" t="str">
            <v>DISTRIBUIÇÃO</v>
          </cell>
          <cell r="I289" t="str">
            <v>FOOD SERVICE</v>
          </cell>
          <cell r="J289" t="str">
            <v>FLAC 6</v>
          </cell>
          <cell r="K289" t="str">
            <v>LACTALIS</v>
          </cell>
          <cell r="L289" t="str">
            <v>RODRIGO</v>
          </cell>
          <cell r="M289" t="str">
            <v>RAQUEL BARBOSA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  <cell r="H290" t="str">
            <v>DISTRIBUIÇÃO</v>
          </cell>
          <cell r="I290" t="str">
            <v>FOOD SERVICE</v>
          </cell>
          <cell r="J290" t="str">
            <v>FLAC 6</v>
          </cell>
          <cell r="K290" t="str">
            <v>LACTALIS</v>
          </cell>
          <cell r="L290" t="str">
            <v>RODRIGO</v>
          </cell>
          <cell r="M290" t="str">
            <v>RAQUEL BARBOSA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  <cell r="H291" t="str">
            <v>DISTRIBUIÇÃO</v>
          </cell>
          <cell r="I291" t="str">
            <v>FOOD SERVICE</v>
          </cell>
          <cell r="J291" t="str">
            <v>FLAC 2</v>
          </cell>
          <cell r="K291" t="str">
            <v>LACTALIS</v>
          </cell>
          <cell r="L291" t="str">
            <v>RODRIGO</v>
          </cell>
          <cell r="M291" t="str">
            <v>RAQUEL BARBOSA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  <cell r="H292" t="str">
            <v>INGREDIENTS</v>
          </cell>
          <cell r="I292" t="str">
            <v>INGREDIENTS</v>
          </cell>
          <cell r="J292" t="str">
            <v>MARCELO RODRIGUES</v>
          </cell>
          <cell r="K292" t="str">
            <v>LACTALIS</v>
          </cell>
          <cell r="L292" t="str">
            <v>MAURICIO</v>
          </cell>
          <cell r="M292" t="str">
            <v>MARCELO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  <cell r="H293" t="str">
            <v>DISTRIBUIÇÃO</v>
          </cell>
          <cell r="I293" t="str">
            <v>FOOD SERVICE</v>
          </cell>
          <cell r="J293" t="str">
            <v>FLAC 7</v>
          </cell>
          <cell r="K293" t="str">
            <v>LACTALIS</v>
          </cell>
          <cell r="L293" t="str">
            <v>RODRIGO</v>
          </cell>
          <cell r="M293" t="str">
            <v>RAQUEL BARBOSA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  <cell r="H294" t="str">
            <v>DISTRIBUIÇÃO</v>
          </cell>
          <cell r="I294" t="str">
            <v>FOOD SERVICE</v>
          </cell>
          <cell r="J294" t="str">
            <v>FLAC 3</v>
          </cell>
          <cell r="K294" t="str">
            <v>LACTALIS</v>
          </cell>
          <cell r="L294" t="str">
            <v>RODRIGO</v>
          </cell>
          <cell r="M294" t="str">
            <v>RAQUEL BARBOSA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  <cell r="H295" t="str">
            <v>DISTRIBUIÇÃO</v>
          </cell>
          <cell r="I295" t="str">
            <v>FOOD SERVICE</v>
          </cell>
          <cell r="J295" t="str">
            <v>FLAC 2</v>
          </cell>
          <cell r="K295" t="str">
            <v>LACTALIS</v>
          </cell>
          <cell r="L295" t="str">
            <v>RODRIGO</v>
          </cell>
          <cell r="M295" t="str">
            <v>RAQUEL BARBOSA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  <cell r="H296" t="str">
            <v>DISTRIBUIÇÃO</v>
          </cell>
          <cell r="I296" t="str">
            <v>FOOD SERVICE</v>
          </cell>
          <cell r="J296" t="str">
            <v>FLAC 6</v>
          </cell>
          <cell r="K296" t="str">
            <v>LACTALIS</v>
          </cell>
          <cell r="L296" t="str">
            <v>RODRIGO</v>
          </cell>
          <cell r="M296" t="str">
            <v>RAQUEL BARBOSA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  <cell r="H297" t="str">
            <v>DISTRIBUIÇÃO</v>
          </cell>
          <cell r="I297" t="str">
            <v>FOOD SERVICE</v>
          </cell>
          <cell r="J297" t="str">
            <v>MARCELO DUARTE</v>
          </cell>
          <cell r="K297" t="str">
            <v>ITAMBÉ</v>
          </cell>
          <cell r="L297" t="str">
            <v>RODRIGO</v>
          </cell>
          <cell r="M297" t="str">
            <v>JESSICA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  <cell r="H298" t="str">
            <v>INGREDIENTS</v>
          </cell>
          <cell r="I298" t="str">
            <v>INGREDIENTS</v>
          </cell>
          <cell r="J298" t="str">
            <v>HENRIQUE FERREIRA</v>
          </cell>
          <cell r="K298" t="str">
            <v>ITAMBÉ</v>
          </cell>
          <cell r="L298" t="str">
            <v>MAURICIO</v>
          </cell>
          <cell r="M298" t="str">
            <v>JOEL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  <cell r="H299" t="str">
            <v>DISTRIBUIÇÃO</v>
          </cell>
          <cell r="I299" t="str">
            <v>FOOD SERVICE</v>
          </cell>
          <cell r="J299" t="str">
            <v>CELIO MARTINS</v>
          </cell>
          <cell r="K299" t="str">
            <v>ITAMBÉ</v>
          </cell>
          <cell r="L299" t="str">
            <v>RODRIGO</v>
          </cell>
          <cell r="M299" t="str">
            <v>CELIO MARTINS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  <cell r="H300" t="str">
            <v>DISTRIBUIÇÃO</v>
          </cell>
          <cell r="I300" t="str">
            <v>FOOD SERVICE</v>
          </cell>
          <cell r="J300" t="str">
            <v>GUILHERME NASCIMENTO</v>
          </cell>
          <cell r="K300" t="str">
            <v>ITAMBÉ</v>
          </cell>
          <cell r="L300" t="str">
            <v>RODRIGO</v>
          </cell>
          <cell r="M300" t="str">
            <v>ALEXANDRO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  <cell r="H301" t="str">
            <v>DISTRIBUIÇÃO</v>
          </cell>
          <cell r="I301" t="str">
            <v>FOOD SERVICE</v>
          </cell>
          <cell r="J301" t="str">
            <v>GUILHERME NASCIMENTO</v>
          </cell>
          <cell r="K301" t="str">
            <v>LACTALIS</v>
          </cell>
          <cell r="L301" t="str">
            <v>RODRIGO</v>
          </cell>
          <cell r="M301" t="str">
            <v>ALEXANDRO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  <cell r="H302" t="str">
            <v>OUTROS</v>
          </cell>
          <cell r="I302" t="str">
            <v>OUTROS</v>
          </cell>
          <cell r="J302" t="str">
            <v>EDUARDO LEITE LEVE LEITE</v>
          </cell>
          <cell r="K302" t="str">
            <v>OUTROS</v>
          </cell>
          <cell r="L302" t="str">
            <v>OUTROS</v>
          </cell>
          <cell r="M302" t="str">
            <v>LICITAÇÃO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  <cell r="H303" t="str">
            <v>DISTRIBUIÇÃO</v>
          </cell>
          <cell r="I303" t="str">
            <v>FOOD SERVICE</v>
          </cell>
          <cell r="J303" t="str">
            <v>CELIO MARTINS</v>
          </cell>
          <cell r="K303" t="str">
            <v>ITAMBÉ</v>
          </cell>
          <cell r="L303" t="str">
            <v>RODRIGO</v>
          </cell>
          <cell r="M303" t="str">
            <v>CELIO MARTINS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  <cell r="H304" t="str">
            <v>DISTRIBUIÇÃO</v>
          </cell>
          <cell r="I304" t="str">
            <v>FOOD SERVICE</v>
          </cell>
          <cell r="J304" t="str">
            <v>CLAUDIO JORGE/LUIZ</v>
          </cell>
          <cell r="K304" t="str">
            <v>ITAMBÉ</v>
          </cell>
          <cell r="L304" t="str">
            <v>RODRIGO</v>
          </cell>
          <cell r="M304" t="str">
            <v>MARIA LOURDES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  <cell r="H305" t="str">
            <v>DISTRIBUIÇÃO</v>
          </cell>
          <cell r="I305" t="str">
            <v>FOOD SERVICE</v>
          </cell>
          <cell r="J305" t="str">
            <v>MARCELO DUARTE</v>
          </cell>
          <cell r="K305" t="str">
            <v>ITAMBÉ</v>
          </cell>
          <cell r="L305" t="str">
            <v>RODRIGO</v>
          </cell>
          <cell r="M305" t="str">
            <v>JESSICA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  <cell r="H306" t="str">
            <v>DISTRIBUIÇÃO</v>
          </cell>
          <cell r="I306" t="str">
            <v>FOOD SERVICE</v>
          </cell>
          <cell r="J306" t="str">
            <v>MARCELO DUARTE</v>
          </cell>
          <cell r="K306" t="str">
            <v>LACTALIS</v>
          </cell>
          <cell r="L306" t="str">
            <v>RODRIGO</v>
          </cell>
          <cell r="M306" t="str">
            <v>JESSICA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  <cell r="H307" t="str">
            <v>DISTRIBUIÇÃO</v>
          </cell>
          <cell r="I307" t="str">
            <v>FOOD SERVICE</v>
          </cell>
          <cell r="J307" t="str">
            <v>CLAUDIO JORGE</v>
          </cell>
          <cell r="K307" t="str">
            <v>ITAMBÉ</v>
          </cell>
          <cell r="L307" t="str">
            <v>RODRIGO</v>
          </cell>
          <cell r="M307" t="str">
            <v>MARIA LOURDES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  <cell r="H308" t="str">
            <v>INGREDIENTS</v>
          </cell>
          <cell r="I308" t="str">
            <v>INGREDIENTS</v>
          </cell>
          <cell r="J308" t="str">
            <v>DUAS RODAS</v>
          </cell>
          <cell r="K308" t="str">
            <v>ITAMBÉ</v>
          </cell>
          <cell r="L308" t="str">
            <v>MAURICIO</v>
          </cell>
          <cell r="M308" t="str">
            <v>MARCELO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  <cell r="H309" t="str">
            <v>DISTRIBUIÇÃO</v>
          </cell>
          <cell r="I309" t="str">
            <v>FOOD SERVICE</v>
          </cell>
          <cell r="J309" t="str">
            <v>CELIO MARTINS</v>
          </cell>
          <cell r="K309" t="str">
            <v>ITAMBÉ</v>
          </cell>
          <cell r="L309" t="str">
            <v>RODRIGO</v>
          </cell>
          <cell r="M309" t="str">
            <v>CELIO MARTINS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  <cell r="H310" t="str">
            <v>QSR</v>
          </cell>
          <cell r="I310" t="str">
            <v>FOOD SERVICE</v>
          </cell>
          <cell r="J310" t="str">
            <v>VAGO QSR</v>
          </cell>
          <cell r="K310" t="str">
            <v>LACTALIS</v>
          </cell>
          <cell r="L310" t="str">
            <v>PEDRO</v>
          </cell>
          <cell r="M310" t="str">
            <v>VAGO QSR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  <cell r="H311" t="str">
            <v>QSR</v>
          </cell>
          <cell r="I311" t="str">
            <v>FOOD SERVICE</v>
          </cell>
          <cell r="J311" t="str">
            <v>VAGO QSR</v>
          </cell>
          <cell r="K311" t="str">
            <v>LACTALIS</v>
          </cell>
          <cell r="L311" t="str">
            <v>PEDRO</v>
          </cell>
          <cell r="M311" t="str">
            <v>VAGO QSR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  <cell r="H312" t="str">
            <v>DISTRIBUIÇÃO</v>
          </cell>
          <cell r="I312" t="str">
            <v>FOOD SERVICE</v>
          </cell>
          <cell r="J312" t="str">
            <v>FLAC 1</v>
          </cell>
          <cell r="K312" t="str">
            <v>LACTALIS</v>
          </cell>
          <cell r="L312" t="str">
            <v>RODRIGO</v>
          </cell>
          <cell r="M312" t="str">
            <v>RAQUEL BARBOSA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  <cell r="H313" t="str">
            <v>DISTRIBUIÇÃO</v>
          </cell>
          <cell r="I313" t="str">
            <v>FOOD SERVICE</v>
          </cell>
          <cell r="J313" t="str">
            <v>FLAC 1</v>
          </cell>
          <cell r="K313" t="str">
            <v>LACTALIS</v>
          </cell>
          <cell r="L313" t="str">
            <v>RODRIGO</v>
          </cell>
          <cell r="M313" t="str">
            <v>RAQUEL BARBOSA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  <cell r="H314" t="str">
            <v>DISTRIBUIÇÃO</v>
          </cell>
          <cell r="I314" t="str">
            <v>FOOD SERVICE</v>
          </cell>
          <cell r="J314" t="str">
            <v>FLAC 6</v>
          </cell>
          <cell r="K314" t="str">
            <v>LACTALIS</v>
          </cell>
          <cell r="L314" t="str">
            <v>RODRIGO</v>
          </cell>
          <cell r="M314" t="str">
            <v>RAQUEL BARBOSA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  <cell r="H315" t="str">
            <v>DISTRIBUIÇÃO</v>
          </cell>
          <cell r="I315" t="str">
            <v>FOOD SERVICE</v>
          </cell>
          <cell r="J315" t="str">
            <v>CLAUDIO JORGE/LUIZ</v>
          </cell>
          <cell r="K315" t="str">
            <v>ITAMBÉ</v>
          </cell>
          <cell r="L315" t="str">
            <v>RODRIGO</v>
          </cell>
          <cell r="M315" t="str">
            <v>MARIA LOURDES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  <cell r="H316" t="str">
            <v>DISTRIBUIÇÃO</v>
          </cell>
          <cell r="I316" t="str">
            <v>FOOD SERVICE</v>
          </cell>
          <cell r="J316" t="str">
            <v>FLAC 5</v>
          </cell>
          <cell r="K316" t="str">
            <v>LACTALIS</v>
          </cell>
          <cell r="L316" t="str">
            <v>RODRIGO</v>
          </cell>
          <cell r="M316" t="str">
            <v>RAQUEL BARBOSA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  <cell r="H317" t="str">
            <v>QSR</v>
          </cell>
          <cell r="I317" t="str">
            <v>FOOD SERVICE</v>
          </cell>
          <cell r="J317" t="str">
            <v>NUTRI</v>
          </cell>
          <cell r="K317" t="str">
            <v>LACTALIS</v>
          </cell>
          <cell r="L317" t="str">
            <v>PEDRO</v>
          </cell>
          <cell r="M317" t="str">
            <v>VAGO QSR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  <cell r="H318" t="str">
            <v>DISTRIBUIÇÃO</v>
          </cell>
          <cell r="I318" t="str">
            <v>FOOD SERVICE</v>
          </cell>
          <cell r="J318" t="str">
            <v>FLAC 6</v>
          </cell>
          <cell r="K318" t="str">
            <v>LACTALIS</v>
          </cell>
          <cell r="L318" t="str">
            <v>RODRIGO</v>
          </cell>
          <cell r="M318" t="str">
            <v>RAQUEL BARBOSA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  <cell r="H319" t="str">
            <v>DISTRIBUIÇÃO</v>
          </cell>
          <cell r="I319" t="str">
            <v>FOOD SERVICE</v>
          </cell>
          <cell r="J319" t="str">
            <v>FLAC 2</v>
          </cell>
          <cell r="K319" t="str">
            <v>LACTALIS</v>
          </cell>
          <cell r="L319" t="str">
            <v>RODRIGO</v>
          </cell>
          <cell r="M319" t="str">
            <v>RAQUEL BARBOSA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  <cell r="H320" t="str">
            <v>DISTRIBUIÇÃO</v>
          </cell>
          <cell r="I320" t="str">
            <v>FOOD SERVICE</v>
          </cell>
          <cell r="J320" t="str">
            <v>FLAC 7</v>
          </cell>
          <cell r="K320" t="str">
            <v>LACTALIS</v>
          </cell>
          <cell r="L320" t="str">
            <v>RODRIGO</v>
          </cell>
          <cell r="M320" t="str">
            <v>RAQUEL BARBOSA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  <cell r="H321" t="str">
            <v>DISTRIBUIÇÃO</v>
          </cell>
          <cell r="I321" t="str">
            <v>FOOD SERVICE</v>
          </cell>
          <cell r="J321" t="str">
            <v>FLAC 5</v>
          </cell>
          <cell r="K321" t="str">
            <v>LACTALIS</v>
          </cell>
          <cell r="L321" t="str">
            <v>RODRIGO</v>
          </cell>
          <cell r="M321" t="str">
            <v>RAQUEL BARBOSA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  <cell r="H322" t="str">
            <v>DISTRIBUIÇÃO</v>
          </cell>
          <cell r="I322" t="str">
            <v>FOOD SERVICE</v>
          </cell>
          <cell r="J322" t="str">
            <v>VAGO SP</v>
          </cell>
          <cell r="K322" t="str">
            <v>ITAMBÉ</v>
          </cell>
          <cell r="L322" t="str">
            <v>RODRIGO</v>
          </cell>
          <cell r="M322" t="str">
            <v>RAQUEL BARBOSA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  <cell r="H323" t="str">
            <v>DISTRIBUIÇÃO</v>
          </cell>
          <cell r="I323" t="str">
            <v>FOOD SERVICE</v>
          </cell>
          <cell r="J323" t="str">
            <v>VAGO SP</v>
          </cell>
          <cell r="K323" t="str">
            <v>LACTALIS</v>
          </cell>
          <cell r="L323" t="str">
            <v>RODRIGO</v>
          </cell>
          <cell r="M323" t="str">
            <v>RAQUEL BARBOSA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  <cell r="H324" t="str">
            <v>QSR</v>
          </cell>
          <cell r="I324" t="str">
            <v>FOOD SERVICE</v>
          </cell>
          <cell r="J324" t="str">
            <v>NUTRI</v>
          </cell>
          <cell r="K324" t="str">
            <v>LACTALIS</v>
          </cell>
          <cell r="L324" t="str">
            <v>PEDRO</v>
          </cell>
          <cell r="M324" t="str">
            <v>VAGO QSR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  <cell r="H325" t="str">
            <v>DISTRIBUIÇÃO</v>
          </cell>
          <cell r="I325" t="str">
            <v>FOOD SERVICE</v>
          </cell>
          <cell r="J325" t="str">
            <v>CELIO MARTINS</v>
          </cell>
          <cell r="K325" t="str">
            <v>ITAMBÉ</v>
          </cell>
          <cell r="L325" t="str">
            <v>RODRIGO</v>
          </cell>
          <cell r="M325" t="str">
            <v>CELIO MARTINS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  <cell r="H326" t="str">
            <v>INGREDIENTS</v>
          </cell>
          <cell r="I326" t="str">
            <v>INGREDIENTS</v>
          </cell>
          <cell r="J326" t="str">
            <v>JOEL ELEOTÉRIO</v>
          </cell>
          <cell r="K326" t="str">
            <v>LACTALIS</v>
          </cell>
          <cell r="L326" t="str">
            <v>MAURICIO</v>
          </cell>
          <cell r="M326" t="str">
            <v>JOEL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  <cell r="H327" t="str">
            <v>INGREDIENTS</v>
          </cell>
          <cell r="I327" t="str">
            <v>INGREDIENTS</v>
          </cell>
          <cell r="J327" t="str">
            <v>MARCELO RODRIGUES</v>
          </cell>
          <cell r="K327" t="str">
            <v>LACTALIS</v>
          </cell>
          <cell r="L327" t="str">
            <v>MAURICIO</v>
          </cell>
          <cell r="M327" t="str">
            <v>MARCELO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  <cell r="H328" t="str">
            <v>INGREDIENTS</v>
          </cell>
          <cell r="I328" t="str">
            <v>INGREDIENTS</v>
          </cell>
          <cell r="J328" t="str">
            <v>JOEL ELEOTÉRIO</v>
          </cell>
          <cell r="K328" t="str">
            <v>ITAMBÉ</v>
          </cell>
          <cell r="L328" t="str">
            <v>MAURICIO</v>
          </cell>
          <cell r="M328" t="str">
            <v>JOEL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  <cell r="H329" t="str">
            <v>INGREDIENTS</v>
          </cell>
          <cell r="I329" t="str">
            <v>INGREDIENTS</v>
          </cell>
          <cell r="J329" t="str">
            <v>TATIANA NITTA</v>
          </cell>
          <cell r="K329" t="str">
            <v>LACTALIS</v>
          </cell>
          <cell r="L329" t="str">
            <v>MAURICIO</v>
          </cell>
          <cell r="M329" t="str">
            <v>TATIANA NITTA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  <cell r="H330" t="str">
            <v>DISTRIBUIÇÃO</v>
          </cell>
          <cell r="I330" t="str">
            <v>FOOD SERVICE</v>
          </cell>
          <cell r="J330" t="str">
            <v>VAGO SP</v>
          </cell>
          <cell r="K330" t="str">
            <v>LACTALIS</v>
          </cell>
          <cell r="L330" t="str">
            <v>RODRIGO</v>
          </cell>
          <cell r="M330" t="str">
            <v>RAQUEL BARBOSA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  <cell r="H331" t="str">
            <v>DISTRIBUIÇÃO</v>
          </cell>
          <cell r="I331" t="str">
            <v>FOOD SERVICE</v>
          </cell>
          <cell r="J331" t="str">
            <v>FLAC 2</v>
          </cell>
          <cell r="K331" t="str">
            <v>LACTALIS</v>
          </cell>
          <cell r="L331" t="str">
            <v>RODRIGO</v>
          </cell>
          <cell r="M331" t="str">
            <v>RAQUEL BARBOSA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  <cell r="H332" t="str">
            <v>DISTRIBUIÇÃO</v>
          </cell>
          <cell r="I332" t="str">
            <v>FOOD SERVICE</v>
          </cell>
          <cell r="J332" t="str">
            <v>FLAC 6</v>
          </cell>
          <cell r="K332" t="str">
            <v>LACTALIS</v>
          </cell>
          <cell r="L332" t="str">
            <v>RODRIGO</v>
          </cell>
          <cell r="M332" t="str">
            <v>RAQUEL BARBOSA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  <cell r="H333" t="str">
            <v>DISTRIBUIÇÃO</v>
          </cell>
          <cell r="I333" t="str">
            <v>FOOD SERVICE</v>
          </cell>
          <cell r="J333" t="str">
            <v>FLAC 6</v>
          </cell>
          <cell r="K333" t="str">
            <v>LACTALIS</v>
          </cell>
          <cell r="L333" t="str">
            <v>RODRIGO</v>
          </cell>
          <cell r="M333" t="str">
            <v>RAQUEL BARBOSA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  <cell r="H334" t="str">
            <v>INGREDIENTS</v>
          </cell>
          <cell r="I334" t="str">
            <v>INGREDIENTS</v>
          </cell>
          <cell r="J334" t="str">
            <v>HENRIQUE FERREIRA</v>
          </cell>
          <cell r="K334" t="str">
            <v>ITAMBÉ</v>
          </cell>
          <cell r="L334" t="str">
            <v>MAURICIO</v>
          </cell>
          <cell r="M334" t="str">
            <v>JOEL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  <cell r="H335" t="str">
            <v>INGREDIENTS</v>
          </cell>
          <cell r="I335" t="str">
            <v>INGREDIENTS</v>
          </cell>
          <cell r="J335" t="str">
            <v>HENRIQUE FERREIRA</v>
          </cell>
          <cell r="K335" t="str">
            <v>ITAMBÉ</v>
          </cell>
          <cell r="L335" t="str">
            <v>MAURICIO</v>
          </cell>
          <cell r="M335" t="str">
            <v>JOEL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  <cell r="H336" t="str">
            <v>INGREDIENTS</v>
          </cell>
          <cell r="I336" t="str">
            <v>INGREDIENTS</v>
          </cell>
          <cell r="J336" t="str">
            <v>HENRIQUE FERREIRA</v>
          </cell>
          <cell r="K336" t="str">
            <v>ITAMBÉ</v>
          </cell>
          <cell r="L336" t="str">
            <v>MAURICIO</v>
          </cell>
          <cell r="M336" t="str">
            <v>JOEL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  <cell r="H337" t="str">
            <v>DISTRIBUIÇÃO</v>
          </cell>
          <cell r="I337" t="str">
            <v>FOOD SERVICE</v>
          </cell>
          <cell r="J337" t="str">
            <v>FLAC 3</v>
          </cell>
          <cell r="K337" t="str">
            <v>LACTALIS</v>
          </cell>
          <cell r="L337" t="str">
            <v>RODRIGO</v>
          </cell>
          <cell r="M337" t="str">
            <v>RAQUEL BARBOSA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  <cell r="H338" t="str">
            <v>DISTRIBUIÇÃO</v>
          </cell>
          <cell r="I338" t="str">
            <v>FOOD SERVICE</v>
          </cell>
          <cell r="J338" t="str">
            <v>FLAC 7</v>
          </cell>
          <cell r="K338" t="str">
            <v>LACTALIS</v>
          </cell>
          <cell r="L338" t="str">
            <v>RODRIGO</v>
          </cell>
          <cell r="M338" t="str">
            <v>RAQUEL BARBOSA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  <cell r="H339" t="str">
            <v>DISTRIBUIÇÃO</v>
          </cell>
          <cell r="I339" t="str">
            <v>FOOD SERVICE</v>
          </cell>
          <cell r="J339" t="str">
            <v>MARCO AURELIO</v>
          </cell>
          <cell r="K339" t="str">
            <v>ITAMBÉ</v>
          </cell>
          <cell r="L339" t="str">
            <v>RODRIGO</v>
          </cell>
          <cell r="M339" t="str">
            <v>MARCO AURELIO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  <cell r="H340" t="str">
            <v>DISTRIBUIÇÃO</v>
          </cell>
          <cell r="I340" t="str">
            <v>FOOD SERVICE</v>
          </cell>
          <cell r="J340" t="str">
            <v>FLAC 6</v>
          </cell>
          <cell r="K340" t="str">
            <v>LACTALIS</v>
          </cell>
          <cell r="L340" t="str">
            <v>RODRIGO</v>
          </cell>
          <cell r="M340" t="str">
            <v>RAQUEL BARBOSA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  <cell r="H341" t="str">
            <v>DISTRIBUIÇÃO</v>
          </cell>
          <cell r="I341" t="str">
            <v>FOOD SERVICE</v>
          </cell>
          <cell r="J341" t="str">
            <v>ANGELICA BATISTELA</v>
          </cell>
          <cell r="K341" t="str">
            <v>ITAMBÉ</v>
          </cell>
          <cell r="L341" t="str">
            <v>RODRIGO</v>
          </cell>
          <cell r="M341" t="str">
            <v>ANGELICA BATISTELA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  <cell r="H342" t="str">
            <v>DISTRIBUIÇÃO</v>
          </cell>
          <cell r="I342" t="str">
            <v>FOOD SERVICE</v>
          </cell>
          <cell r="J342" t="str">
            <v>FLAC 2</v>
          </cell>
          <cell r="K342" t="str">
            <v>LACTALIS</v>
          </cell>
          <cell r="L342" t="str">
            <v>RODRIGO</v>
          </cell>
          <cell r="M342" t="str">
            <v>RAQUEL BARBOSA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  <cell r="H343" t="str">
            <v>DISTRIBUIÇÃO</v>
          </cell>
          <cell r="I343" t="str">
            <v>FOOD SERVICE</v>
          </cell>
          <cell r="J343" t="str">
            <v>FLAC 2</v>
          </cell>
          <cell r="K343" t="str">
            <v>LACTALIS</v>
          </cell>
          <cell r="L343" t="str">
            <v>RODRIGO</v>
          </cell>
          <cell r="M343" t="str">
            <v>RAQUEL BARBOSA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  <cell r="H344" t="str">
            <v>INGREDIENTS</v>
          </cell>
          <cell r="I344" t="str">
            <v>INGREDIENTS</v>
          </cell>
          <cell r="J344" t="str">
            <v>MARCELO RODRIGUES</v>
          </cell>
          <cell r="K344" t="str">
            <v>ITAMBÉ</v>
          </cell>
          <cell r="L344" t="str">
            <v>MAURICIO</v>
          </cell>
          <cell r="M344" t="str">
            <v>MARCELO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  <cell r="H345" t="str">
            <v>DISTRIBUIÇÃO</v>
          </cell>
          <cell r="I345" t="str">
            <v>FOOD SERVICE</v>
          </cell>
          <cell r="J345" t="str">
            <v>FLAC 3</v>
          </cell>
          <cell r="K345" t="str">
            <v>LACTALIS</v>
          </cell>
          <cell r="L345" t="str">
            <v>RODRIGO</v>
          </cell>
          <cell r="M345" t="str">
            <v>RAQUEL BARBOSA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  <cell r="H346" t="str">
            <v>DISTRIBUIÇÃO</v>
          </cell>
          <cell r="I346" t="str">
            <v>FOOD SERVICE</v>
          </cell>
          <cell r="J346" t="str">
            <v>MARCELO DUARTE</v>
          </cell>
          <cell r="K346" t="str">
            <v>ITAMBÉ</v>
          </cell>
          <cell r="L346" t="str">
            <v>RODRIGO</v>
          </cell>
          <cell r="M346" t="str">
            <v>JESSICA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  <cell r="H347" t="str">
            <v>OUTROS</v>
          </cell>
          <cell r="I347" t="str">
            <v>OUTROS</v>
          </cell>
          <cell r="J347" t="str">
            <v>INTERCOMPANY</v>
          </cell>
          <cell r="K347" t="str">
            <v>OUTROS</v>
          </cell>
          <cell r="L347" t="str">
            <v>OUTROS</v>
          </cell>
          <cell r="M347" t="str">
            <v>INTERCOMPANY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  <cell r="H348" t="str">
            <v>OUTROS</v>
          </cell>
          <cell r="I348" t="str">
            <v>OUTROS</v>
          </cell>
          <cell r="J348" t="str">
            <v>INTERCOMPANY</v>
          </cell>
          <cell r="K348" t="str">
            <v>OUTROS</v>
          </cell>
          <cell r="L348" t="str">
            <v>OUTROS</v>
          </cell>
          <cell r="M348" t="str">
            <v>INTERCOMPANY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  <cell r="H349" t="str">
            <v>OUTROS</v>
          </cell>
          <cell r="I349" t="str">
            <v>OUTROS</v>
          </cell>
          <cell r="J349" t="str">
            <v>INTERCOMPANY</v>
          </cell>
          <cell r="K349" t="str">
            <v>OUTROS</v>
          </cell>
          <cell r="L349" t="str">
            <v>OUTROS</v>
          </cell>
          <cell r="M349" t="str">
            <v>INTERCOMPANY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  <cell r="H350" t="str">
            <v>OUTROS</v>
          </cell>
          <cell r="I350" t="str">
            <v>OUTROS</v>
          </cell>
          <cell r="J350" t="str">
            <v>INTERCOMPANY</v>
          </cell>
          <cell r="K350" t="str">
            <v>OUTROS</v>
          </cell>
          <cell r="L350" t="str">
            <v>OUTROS</v>
          </cell>
          <cell r="M350" t="str">
            <v>INTERCOMPANY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  <cell r="H351" t="str">
            <v>OUTROS</v>
          </cell>
          <cell r="I351" t="str">
            <v>OUTROS</v>
          </cell>
          <cell r="J351" t="str">
            <v>INTERCOMPANY</v>
          </cell>
          <cell r="K351" t="str">
            <v>OUTROS</v>
          </cell>
          <cell r="L351" t="str">
            <v>OUTROS</v>
          </cell>
          <cell r="M351" t="str">
            <v>INTERCOMPANY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  <cell r="H352" t="str">
            <v>OUTROS</v>
          </cell>
          <cell r="I352" t="str">
            <v>OUTROS</v>
          </cell>
          <cell r="J352" t="str">
            <v>INTERCOMPANY</v>
          </cell>
          <cell r="K352" t="str">
            <v>OUTROS</v>
          </cell>
          <cell r="L352" t="str">
            <v>OUTROS</v>
          </cell>
          <cell r="M352" t="str">
            <v>INTERCOMPANY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  <cell r="H353" t="str">
            <v>DISTRIBUIÇÃO</v>
          </cell>
          <cell r="I353" t="str">
            <v>FOOD SERVICE</v>
          </cell>
          <cell r="J353" t="str">
            <v>FLAC 3</v>
          </cell>
          <cell r="K353" t="str">
            <v>LACTALIS</v>
          </cell>
          <cell r="L353" t="str">
            <v>RODRIGO</v>
          </cell>
          <cell r="M353" t="str">
            <v>RAQUEL BARBOSA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  <cell r="H354" t="str">
            <v>INGREDIENTS</v>
          </cell>
          <cell r="I354" t="str">
            <v>INGREDIENTS</v>
          </cell>
          <cell r="J354" t="str">
            <v>BA ITB FS ML FLAVORS</v>
          </cell>
          <cell r="K354" t="str">
            <v>ITAMBÉ</v>
          </cell>
          <cell r="L354" t="str">
            <v>MAURICIO</v>
          </cell>
          <cell r="M354" t="str">
            <v>JOEL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  <cell r="H355" t="str">
            <v>MC DONALDS</v>
          </cell>
          <cell r="I355" t="str">
            <v>MC DONALDS</v>
          </cell>
          <cell r="J355" t="str">
            <v>MAURICIO GALLI</v>
          </cell>
          <cell r="K355" t="str">
            <v>LACTALIS</v>
          </cell>
          <cell r="L355" t="str">
            <v>MAURICIO</v>
          </cell>
          <cell r="M355" t="str">
            <v>MAURICIO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  <cell r="H356" t="str">
            <v>INGREDIENTS</v>
          </cell>
          <cell r="I356" t="str">
            <v>INGREDIENTS</v>
          </cell>
          <cell r="J356" t="str">
            <v>JOEL ELEOTÉRIO</v>
          </cell>
          <cell r="K356" t="str">
            <v>LACTALIS</v>
          </cell>
          <cell r="L356" t="str">
            <v>MAURICIO</v>
          </cell>
          <cell r="M356" t="str">
            <v>JOEL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  <cell r="H357" t="str">
            <v>INGREDIENTS</v>
          </cell>
          <cell r="I357" t="str">
            <v>INGREDIENTS</v>
          </cell>
          <cell r="J357" t="str">
            <v>JOEL ELEOTÉRIO</v>
          </cell>
          <cell r="K357" t="str">
            <v>LACTALIS</v>
          </cell>
          <cell r="L357" t="str">
            <v>MAURICIO</v>
          </cell>
          <cell r="M357" t="str">
            <v>JOEL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  <cell r="H358" t="str">
            <v>DISTRIBUIÇÃO</v>
          </cell>
          <cell r="I358" t="str">
            <v>FOOD SERVICE</v>
          </cell>
          <cell r="J358" t="str">
            <v>FLAC 6</v>
          </cell>
          <cell r="K358" t="str">
            <v>LACTALIS</v>
          </cell>
          <cell r="L358" t="str">
            <v>RODRIGO</v>
          </cell>
          <cell r="M358" t="str">
            <v>RAQUEL BARBOSA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  <cell r="H359" t="str">
            <v>DISTRIBUIÇÃO</v>
          </cell>
          <cell r="I359" t="str">
            <v>FOOD SERVICE</v>
          </cell>
          <cell r="J359" t="str">
            <v>FLAC 2</v>
          </cell>
          <cell r="K359" t="str">
            <v>LACTALIS</v>
          </cell>
          <cell r="L359" t="str">
            <v>RODRIGO</v>
          </cell>
          <cell r="M359" t="str">
            <v>RAQUEL BARBOSA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  <cell r="H360" t="str">
            <v>DISTRIBUIÇÃO</v>
          </cell>
          <cell r="I360" t="str">
            <v>FOOD SERVICE</v>
          </cell>
          <cell r="J360" t="str">
            <v>FLAC 5</v>
          </cell>
          <cell r="K360" t="str">
            <v>LACTALIS</v>
          </cell>
          <cell r="L360" t="str">
            <v>RODRIGO</v>
          </cell>
          <cell r="M360" t="str">
            <v>RAQUEL BARBOSA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  <cell r="H361" t="str">
            <v>DISTRIBUIÇÃO</v>
          </cell>
          <cell r="I361" t="str">
            <v>FOOD SERVICE</v>
          </cell>
          <cell r="J361" t="str">
            <v>FLAC 6</v>
          </cell>
          <cell r="K361" t="str">
            <v>LACTALIS</v>
          </cell>
          <cell r="L361" t="str">
            <v>RODRIGO</v>
          </cell>
          <cell r="M361" t="str">
            <v>RAQUEL BARBOSA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  <cell r="H362" t="str">
            <v>DISTRIBUIÇÃO</v>
          </cell>
          <cell r="I362" t="str">
            <v>FOOD SERVICE</v>
          </cell>
          <cell r="J362" t="str">
            <v>FLAC 2</v>
          </cell>
          <cell r="K362" t="str">
            <v>LACTALIS</v>
          </cell>
          <cell r="L362" t="str">
            <v>RODRIGO</v>
          </cell>
          <cell r="M362" t="str">
            <v>RAQUEL BARBOSA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  <cell r="H363" t="str">
            <v>DISTRIBUIÇÃO</v>
          </cell>
          <cell r="I363" t="str">
            <v>FOOD SERVICE</v>
          </cell>
          <cell r="J363" t="str">
            <v>FLAC 6</v>
          </cell>
          <cell r="K363" t="str">
            <v>LACTALIS</v>
          </cell>
          <cell r="L363" t="str">
            <v>RODRIGO</v>
          </cell>
          <cell r="M363" t="str">
            <v>RAQUEL BARBOSA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  <cell r="H364" t="str">
            <v>DISTRIBUIÇÃO</v>
          </cell>
          <cell r="I364" t="str">
            <v>FOOD SERVICE</v>
          </cell>
          <cell r="J364" t="str">
            <v>FLAC 6</v>
          </cell>
          <cell r="K364" t="str">
            <v>LACTALIS</v>
          </cell>
          <cell r="L364" t="str">
            <v>RODRIGO</v>
          </cell>
          <cell r="M364" t="str">
            <v>RAQUEL BARBOSA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  <cell r="H365" t="str">
            <v>DISTRIBUIÇÃO</v>
          </cell>
          <cell r="I365" t="str">
            <v>FOOD SERVICE</v>
          </cell>
          <cell r="J365" t="str">
            <v>FLAC 6</v>
          </cell>
          <cell r="K365" t="str">
            <v>LACTALIS</v>
          </cell>
          <cell r="L365" t="str">
            <v>RODRIGO</v>
          </cell>
          <cell r="M365" t="str">
            <v>RAQUEL BARBOSA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  <cell r="H366" t="str">
            <v>DISTRIBUIÇÃO</v>
          </cell>
          <cell r="I366" t="str">
            <v>FOOD SERVICE</v>
          </cell>
          <cell r="J366" t="str">
            <v>ALEXANDRO RODRIGUES</v>
          </cell>
          <cell r="K366" t="str">
            <v>ITAMBÉ</v>
          </cell>
          <cell r="L366" t="str">
            <v>RODRIGO</v>
          </cell>
          <cell r="M366" t="str">
            <v>ALEXANDRO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  <cell r="H367" t="str">
            <v>INGREDIENTS</v>
          </cell>
          <cell r="I367" t="str">
            <v>INGREDIENTS</v>
          </cell>
          <cell r="J367" t="str">
            <v>JOEL ELEOTÉRIO</v>
          </cell>
          <cell r="K367" t="str">
            <v>LACTALIS</v>
          </cell>
          <cell r="L367" t="str">
            <v>MAURICIO</v>
          </cell>
          <cell r="M367" t="str">
            <v>JOEL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  <cell r="H368" t="str">
            <v>DISTRIBUIÇÃO</v>
          </cell>
          <cell r="I368" t="str">
            <v>FOOD SERVICE</v>
          </cell>
          <cell r="J368" t="str">
            <v>FLAC 3</v>
          </cell>
          <cell r="K368" t="str">
            <v>LACTALIS</v>
          </cell>
          <cell r="L368" t="str">
            <v>RODRIGO</v>
          </cell>
          <cell r="M368" t="str">
            <v>RAQUEL BARBOSA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  <cell r="H369" t="str">
            <v>DISTRIBUIÇÃO</v>
          </cell>
          <cell r="I369" t="str">
            <v>FOOD SERVICE</v>
          </cell>
          <cell r="J369" t="str">
            <v>FLAC 5</v>
          </cell>
          <cell r="K369" t="str">
            <v>LACTALIS</v>
          </cell>
          <cell r="L369" t="str">
            <v>RODRIGO</v>
          </cell>
          <cell r="M369" t="str">
            <v>RAQUEL BARBOSA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  <cell r="H370" t="str">
            <v>DISTRIBUIÇÃO</v>
          </cell>
          <cell r="I370" t="str">
            <v>FOOD SERVICE</v>
          </cell>
          <cell r="J370" t="str">
            <v>SP ITB FS FLAC REP.E COMERCIO</v>
          </cell>
          <cell r="K370" t="str">
            <v>ITAMBÉ</v>
          </cell>
          <cell r="L370" t="str">
            <v>RODRIGO</v>
          </cell>
          <cell r="M370" t="str">
            <v>RAQUEL BARBOSA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  <cell r="H371" t="str">
            <v>DISTRIBUIÇÃO</v>
          </cell>
          <cell r="I371" t="str">
            <v>FOOD SERVICE</v>
          </cell>
          <cell r="J371" t="str">
            <v>FLAC 2</v>
          </cell>
          <cell r="K371" t="str">
            <v>LACTALIS</v>
          </cell>
          <cell r="L371" t="str">
            <v>RODRIGO</v>
          </cell>
          <cell r="M371" t="str">
            <v>RAQUEL BARBOSA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  <cell r="H372" t="str">
            <v>DISTRIBUIÇÃO</v>
          </cell>
          <cell r="I372" t="str">
            <v>FOOD SERVICE</v>
          </cell>
          <cell r="J372" t="str">
            <v>CELIO MARTINS</v>
          </cell>
          <cell r="K372" t="str">
            <v>ITAMBÉ</v>
          </cell>
          <cell r="L372" t="str">
            <v>RODRIGO</v>
          </cell>
          <cell r="M372" t="str">
            <v>CELIO MARTINS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  <cell r="H373" t="str">
            <v>DISTRIBUIÇÃO</v>
          </cell>
          <cell r="I373" t="str">
            <v>FOOD SERVICE</v>
          </cell>
          <cell r="J373" t="str">
            <v>FLAC 2</v>
          </cell>
          <cell r="K373" t="str">
            <v>LACTALIS</v>
          </cell>
          <cell r="L373" t="str">
            <v>RODRIGO</v>
          </cell>
          <cell r="M373" t="str">
            <v>RAQUEL BARBOSA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  <cell r="H374" t="str">
            <v>DISTRIBUIÇÃO</v>
          </cell>
          <cell r="I374" t="str">
            <v>FOOD SERVICE</v>
          </cell>
          <cell r="J374" t="str">
            <v>FLAC 5</v>
          </cell>
          <cell r="K374" t="str">
            <v>LACTALIS</v>
          </cell>
          <cell r="L374" t="str">
            <v>RODRIGO</v>
          </cell>
          <cell r="M374" t="str">
            <v>RAQUEL BARBOSA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  <cell r="H375" t="str">
            <v>DISTRIBUIÇÃO</v>
          </cell>
          <cell r="I375" t="str">
            <v>FOOD SERVICE</v>
          </cell>
          <cell r="J375" t="str">
            <v>FLAC 3</v>
          </cell>
          <cell r="K375" t="str">
            <v>LACTALIS</v>
          </cell>
          <cell r="L375" t="str">
            <v>RODRIGO</v>
          </cell>
          <cell r="M375" t="str">
            <v>RAQUEL BARBOSA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  <cell r="H376" t="str">
            <v>DISTRIBUIÇÃO</v>
          </cell>
          <cell r="I376" t="str">
            <v>FOOD SERVICE</v>
          </cell>
          <cell r="J376" t="str">
            <v>CLAUDIO JORGE</v>
          </cell>
          <cell r="K376" t="str">
            <v>ITAMBÉ</v>
          </cell>
          <cell r="L376" t="str">
            <v>RODRIGO</v>
          </cell>
          <cell r="M376" t="str">
            <v>MARIA LOURDES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  <cell r="H377" t="str">
            <v>DISTRIBUIÇÃO</v>
          </cell>
          <cell r="I377" t="str">
            <v>FOOD SERVICE</v>
          </cell>
          <cell r="J377" t="str">
            <v>FLAC 6</v>
          </cell>
          <cell r="K377" t="str">
            <v>LACTALIS</v>
          </cell>
          <cell r="L377" t="str">
            <v>RODRIGO</v>
          </cell>
          <cell r="M377" t="str">
            <v>RAQUEL BARBOSA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  <cell r="H378" t="str">
            <v>DISTRIBUIÇÃO</v>
          </cell>
          <cell r="I378" t="str">
            <v>FOOD SERVICE</v>
          </cell>
          <cell r="J378" t="str">
            <v>ALEXANDRO RODRIGUES</v>
          </cell>
          <cell r="K378" t="str">
            <v>ITAMBÉ</v>
          </cell>
          <cell r="L378" t="str">
            <v>RODRIGO</v>
          </cell>
          <cell r="M378" t="str">
            <v>ALEXANDRO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  <cell r="H379" t="str">
            <v>DISTRIBUIÇÃO</v>
          </cell>
          <cell r="I379" t="str">
            <v>FOOD SERVICE</v>
          </cell>
          <cell r="J379" t="str">
            <v>WH FOOD SERVICE CE</v>
          </cell>
          <cell r="K379" t="str">
            <v>ITAMBÉ</v>
          </cell>
          <cell r="L379" t="str">
            <v>RODRIGO</v>
          </cell>
          <cell r="M379" t="str">
            <v>MARIA LOURDES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  <cell r="H380" t="str">
            <v>DISTRIBUIÇÃO</v>
          </cell>
          <cell r="I380" t="str">
            <v>FOOD SERVICE</v>
          </cell>
          <cell r="J380" t="str">
            <v>CLAUDIO JORGE/AMANDA SANDS</v>
          </cell>
          <cell r="K380" t="str">
            <v>ITAMBÉ</v>
          </cell>
          <cell r="L380" t="str">
            <v>RODRIGO</v>
          </cell>
          <cell r="M380" t="str">
            <v>MARIA LOURDES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  <cell r="H381" t="str">
            <v>DISTRIBUIÇÃO</v>
          </cell>
          <cell r="I381" t="str">
            <v>FOOD SERVICE</v>
          </cell>
          <cell r="J381" t="str">
            <v>CLAUDIO JORGE/AMANDA SANDS</v>
          </cell>
          <cell r="K381" t="str">
            <v>ITAMBÉ</v>
          </cell>
          <cell r="L381" t="str">
            <v>RODRIGO</v>
          </cell>
          <cell r="M381" t="str">
            <v>MARIA LOURDES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  <cell r="H382" t="str">
            <v>DISTRIBUIÇÃO</v>
          </cell>
          <cell r="I382" t="str">
            <v>FOOD SERVICE</v>
          </cell>
          <cell r="J382" t="str">
            <v>CLAUDIO JORGE/AMANDA SANDS</v>
          </cell>
          <cell r="K382" t="str">
            <v>ITAMBÉ</v>
          </cell>
          <cell r="L382" t="str">
            <v>RODRIGO</v>
          </cell>
          <cell r="M382" t="str">
            <v>MARIA LOURDES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  <cell r="H383" t="str">
            <v>DISTRIBUIÇÃO</v>
          </cell>
          <cell r="I383" t="str">
            <v>FOOD SERVICE</v>
          </cell>
          <cell r="J383" t="str">
            <v>CLAUDIO JORGE/AMANDA SANDS</v>
          </cell>
          <cell r="K383" t="str">
            <v>ITAMBÉ</v>
          </cell>
          <cell r="L383" t="str">
            <v>RODRIGO</v>
          </cell>
          <cell r="M383" t="str">
            <v>MARIA LOURDES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  <cell r="H384" t="str">
            <v>INGREDIENTS</v>
          </cell>
          <cell r="I384" t="str">
            <v>INGREDIENTS</v>
          </cell>
          <cell r="J384" t="str">
            <v>AM ITB FS I DA SILVA SANTOS</v>
          </cell>
          <cell r="K384" t="str">
            <v>ITAMBÉ</v>
          </cell>
          <cell r="L384" t="str">
            <v>MAURICIO</v>
          </cell>
          <cell r="M384" t="str">
            <v>JOEL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  <cell r="H385" t="str">
            <v>DISTRIBUIÇÃO</v>
          </cell>
          <cell r="I385" t="str">
            <v>FOOD SERVICE</v>
          </cell>
          <cell r="J385" t="str">
            <v>CELIO MARTINS</v>
          </cell>
          <cell r="K385" t="str">
            <v>ITAMBÉ</v>
          </cell>
          <cell r="L385" t="str">
            <v>RODRIGO</v>
          </cell>
          <cell r="M385" t="str">
            <v>CELIO MARTINS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  <cell r="H386" t="str">
            <v>DISTRIBUIÇÃO</v>
          </cell>
          <cell r="I386" t="str">
            <v>FOOD SERVICE</v>
          </cell>
          <cell r="J386" t="str">
            <v>ANGELICA BATISTELA</v>
          </cell>
          <cell r="K386" t="str">
            <v>ITAMBÉ</v>
          </cell>
          <cell r="L386" t="str">
            <v>RODRIGO</v>
          </cell>
          <cell r="M386" t="str">
            <v>ANGELICA BATISTELA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  <cell r="H387" t="str">
            <v>DISTRIBUIÇÃO</v>
          </cell>
          <cell r="I387" t="str">
            <v>FOOD SERVICE</v>
          </cell>
          <cell r="J387" t="str">
            <v>MARCELO SILVA</v>
          </cell>
          <cell r="K387" t="str">
            <v>ITAMBÉ</v>
          </cell>
          <cell r="L387" t="str">
            <v>RODRIGO</v>
          </cell>
          <cell r="M387" t="str">
            <v>CELIO MARTINS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  <cell r="H388" t="str">
            <v>DISTRIBUIÇÃO</v>
          </cell>
          <cell r="I388" t="str">
            <v>FOOD SERVICE</v>
          </cell>
          <cell r="J388" t="str">
            <v>RAQUEL BARBOSA</v>
          </cell>
          <cell r="K388" t="str">
            <v>ITAMBÉ</v>
          </cell>
          <cell r="L388" t="str">
            <v>RODRIGO</v>
          </cell>
          <cell r="M388" t="str">
            <v>RAQUEL BARBOSA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  <cell r="H389" t="str">
            <v>DISTRIBUIÇÃO</v>
          </cell>
          <cell r="I389" t="str">
            <v>FOOD SERVICE</v>
          </cell>
          <cell r="J389" t="str">
            <v>RAQUEL BARBOSA</v>
          </cell>
          <cell r="K389" t="str">
            <v>ITAMBÉ</v>
          </cell>
          <cell r="L389" t="str">
            <v>RODRIGO</v>
          </cell>
          <cell r="M389" t="str">
            <v>RAQUEL BARBOSA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  <cell r="H390" t="str">
            <v>DISTRIBUIÇÃO</v>
          </cell>
          <cell r="I390" t="str">
            <v>FOOD SERVICE</v>
          </cell>
          <cell r="J390" t="str">
            <v>RAQUEL BARBOSA</v>
          </cell>
          <cell r="K390" t="str">
            <v>LACTALIS</v>
          </cell>
          <cell r="L390" t="str">
            <v>RODRIGO</v>
          </cell>
          <cell r="M390" t="str">
            <v>RAQUEL BARBOSA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  <cell r="H391" t="str">
            <v>DISTRIBUIÇÃO</v>
          </cell>
          <cell r="I391" t="str">
            <v>FOOD SERVICE</v>
          </cell>
          <cell r="J391" t="str">
            <v>ANGELICA BATISTELA</v>
          </cell>
          <cell r="K391" t="str">
            <v>ITAMBÉ</v>
          </cell>
          <cell r="L391" t="str">
            <v>RODRIGO</v>
          </cell>
          <cell r="M391" t="str">
            <v>ANGELICA BATISTELA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  <cell r="H392" t="str">
            <v>DISTRIBUIÇÃO</v>
          </cell>
          <cell r="I392" t="str">
            <v>FOOD SERVICE</v>
          </cell>
          <cell r="J392" t="str">
            <v>RAQUEL BARBOSA</v>
          </cell>
          <cell r="K392" t="str">
            <v>ITAMBÉ</v>
          </cell>
          <cell r="L392" t="str">
            <v>RODRIGO</v>
          </cell>
          <cell r="M392" t="str">
            <v>RAQUEL BARBOSA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  <cell r="H393" t="str">
            <v>DISTRIBUIÇÃO</v>
          </cell>
          <cell r="I393" t="str">
            <v>FOOD SERVICE</v>
          </cell>
          <cell r="J393" t="str">
            <v>RAQUEL BARBOSA</v>
          </cell>
          <cell r="K393" t="str">
            <v>ITAMBÉ</v>
          </cell>
          <cell r="L393" t="str">
            <v>RODRIGO</v>
          </cell>
          <cell r="M393" t="str">
            <v>RAQUEL BARBOSA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  <cell r="H394" t="str">
            <v>DISTRIBUIÇÃO</v>
          </cell>
          <cell r="I394" t="str">
            <v>FOOD SERVICE</v>
          </cell>
          <cell r="J394" t="str">
            <v>RAQUEL BARBOSA</v>
          </cell>
          <cell r="K394" t="str">
            <v>LACTALIS</v>
          </cell>
          <cell r="L394" t="str">
            <v>RODRIGO</v>
          </cell>
          <cell r="M394" t="str">
            <v>RAQUEL BARBOSA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  <cell r="H395" t="str">
            <v>DISTRIBUIÇÃO</v>
          </cell>
          <cell r="I395" t="str">
            <v>FOOD SERVICE</v>
          </cell>
          <cell r="J395" t="str">
            <v>RAQUEL BARBOSA</v>
          </cell>
          <cell r="K395" t="str">
            <v>LACTALIS</v>
          </cell>
          <cell r="L395" t="str">
            <v>RODRIGO</v>
          </cell>
          <cell r="M395" t="str">
            <v>RAQUEL BARBOSA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  <cell r="H396" t="str">
            <v>DISTRIBUIÇÃO</v>
          </cell>
          <cell r="I396" t="str">
            <v>FOOD SERVICE</v>
          </cell>
          <cell r="J396" t="str">
            <v>FLAC 2</v>
          </cell>
          <cell r="K396" t="str">
            <v>LACTALIS</v>
          </cell>
          <cell r="L396" t="str">
            <v>RODRIGO</v>
          </cell>
          <cell r="M396" t="str">
            <v>RAQUEL BARBOSA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  <cell r="H397" t="str">
            <v>DISTRIBUIÇÃO</v>
          </cell>
          <cell r="I397" t="str">
            <v>FOOD SERVICE</v>
          </cell>
          <cell r="J397" t="str">
            <v>CLAUDIO JORGE</v>
          </cell>
          <cell r="K397" t="str">
            <v>ITAMBÉ</v>
          </cell>
          <cell r="L397" t="str">
            <v>RODRIGO</v>
          </cell>
          <cell r="M397" t="str">
            <v>MARIA LOURDES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  <cell r="H398" t="str">
            <v>DISTRIBUIÇÃO</v>
          </cell>
          <cell r="I398" t="str">
            <v>FOOD SERVICE</v>
          </cell>
          <cell r="J398" t="str">
            <v>WH FOOD SERVICE CE</v>
          </cell>
          <cell r="K398" t="str">
            <v>ITAMBÉ</v>
          </cell>
          <cell r="L398" t="str">
            <v>RODRIGO</v>
          </cell>
          <cell r="M398" t="str">
            <v>MARIA LOURDES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  <cell r="H399" t="str">
            <v>INGREDIENTS</v>
          </cell>
          <cell r="I399" t="str">
            <v>INGREDIENTS</v>
          </cell>
          <cell r="J399" t="str">
            <v>MG ITB FS DRK REP</v>
          </cell>
          <cell r="K399" t="str">
            <v>ITAMBÉ</v>
          </cell>
          <cell r="L399" t="str">
            <v>MAURICIO</v>
          </cell>
          <cell r="M399" t="str">
            <v>JOEL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  <cell r="H400" t="str">
            <v>INGREDIENTS</v>
          </cell>
          <cell r="I400" t="str">
            <v>INGREDIENTS</v>
          </cell>
          <cell r="J400" t="str">
            <v>MG ITB FS DRK REP</v>
          </cell>
          <cell r="K400" t="str">
            <v>ITAMBÉ</v>
          </cell>
          <cell r="L400" t="str">
            <v>MAURICIO</v>
          </cell>
          <cell r="M400" t="str">
            <v>JOEL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  <cell r="H401" t="str">
            <v>DISTRIBUIÇÃO</v>
          </cell>
          <cell r="I401" t="str">
            <v>FOOD SERVICE</v>
          </cell>
          <cell r="J401" t="str">
            <v>SP ITB FS FLAC REP.E COMERCIO</v>
          </cell>
          <cell r="K401" t="str">
            <v>ITAMBÉ</v>
          </cell>
          <cell r="L401" t="str">
            <v>RODRIGO</v>
          </cell>
          <cell r="M401" t="str">
            <v>RAQUEL BARBOSA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  <cell r="H402" t="str">
            <v>DISTRIBUIÇÃO</v>
          </cell>
          <cell r="I402" t="str">
            <v>FOOD SERVICE</v>
          </cell>
          <cell r="J402" t="str">
            <v>FLAC 6</v>
          </cell>
          <cell r="K402" t="str">
            <v>LACTALIS</v>
          </cell>
          <cell r="L402" t="str">
            <v>RODRIGO</v>
          </cell>
          <cell r="M402" t="str">
            <v>RAQUEL BARBOSA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  <cell r="H403" t="str">
            <v>INGREDIENTS</v>
          </cell>
          <cell r="I403" t="str">
            <v>INGREDIENTS</v>
          </cell>
          <cell r="J403" t="str">
            <v>DUAS RODAS</v>
          </cell>
          <cell r="K403" t="str">
            <v>ITAMBÉ</v>
          </cell>
          <cell r="L403" t="str">
            <v>MAURICIO</v>
          </cell>
          <cell r="M403" t="str">
            <v>MARCELO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  <cell r="H404" t="str">
            <v>INGREDIENTS</v>
          </cell>
          <cell r="I404" t="str">
            <v>INGREDIENTS</v>
          </cell>
          <cell r="J404" t="str">
            <v>MARCELO RODRIGUES</v>
          </cell>
          <cell r="K404" t="str">
            <v>ITAMBÉ</v>
          </cell>
          <cell r="L404" t="str">
            <v>MAURICIO</v>
          </cell>
          <cell r="M404" t="str">
            <v>MARCELO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  <cell r="H405" t="str">
            <v>DISTRIBUIÇÃO</v>
          </cell>
          <cell r="I405" t="str">
            <v>FOOD SERVICE</v>
          </cell>
          <cell r="J405" t="str">
            <v>WH FOOD SERVICE CE</v>
          </cell>
          <cell r="K405" t="str">
            <v>ITAMBÉ</v>
          </cell>
          <cell r="L405" t="str">
            <v>RODRIGO</v>
          </cell>
          <cell r="M405" t="str">
            <v>MARIA LOURDES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  <cell r="H406" t="str">
            <v>DISTRIBUIÇÃO</v>
          </cell>
          <cell r="I406" t="str">
            <v>FOOD SERVICE</v>
          </cell>
          <cell r="J406" t="str">
            <v>WH FOOD SERVICE CE</v>
          </cell>
          <cell r="K406" t="str">
            <v>ITAMBÉ</v>
          </cell>
          <cell r="L406" t="str">
            <v>RODRIGO</v>
          </cell>
          <cell r="M406" t="str">
            <v>MARIA LOURDES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  <cell r="H407" t="str">
            <v>DISTRIBUIÇÃO</v>
          </cell>
          <cell r="I407" t="str">
            <v>FOOD SERVICE</v>
          </cell>
          <cell r="J407" t="str">
            <v>WH FOOD SERVICE CE</v>
          </cell>
          <cell r="K407" t="str">
            <v>ITAMBÉ</v>
          </cell>
          <cell r="L407" t="str">
            <v>RODRIGO</v>
          </cell>
          <cell r="M407" t="str">
            <v>MARIA LOURDES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  <cell r="H408" t="str">
            <v>DISTRIBUIÇÃO</v>
          </cell>
          <cell r="I408" t="str">
            <v>FOOD SERVICE</v>
          </cell>
          <cell r="J408" t="str">
            <v>WH FOOD SERVICE CE</v>
          </cell>
          <cell r="K408" t="str">
            <v>ITAMBÉ</v>
          </cell>
          <cell r="L408" t="str">
            <v>RODRIGO</v>
          </cell>
          <cell r="M408" t="str">
            <v>MARIA LOURDES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  <cell r="H409" t="str">
            <v>INGREDIENTS</v>
          </cell>
          <cell r="I409" t="str">
            <v>INGREDIENTS</v>
          </cell>
          <cell r="J409" t="str">
            <v>HENRIQUE FERREIRA</v>
          </cell>
          <cell r="K409" t="str">
            <v>ITAMBÉ</v>
          </cell>
          <cell r="L409" t="str">
            <v>MAURICIO</v>
          </cell>
          <cell r="M409" t="str">
            <v>JOEL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  <cell r="H410" t="str">
            <v>INGREDIENTS</v>
          </cell>
          <cell r="I410" t="str">
            <v>INGREDIENTS</v>
          </cell>
          <cell r="J410" t="str">
            <v>DUAS RODAS</v>
          </cell>
          <cell r="K410" t="str">
            <v>ITAMBÉ</v>
          </cell>
          <cell r="L410" t="str">
            <v>MAURICIO</v>
          </cell>
          <cell r="M410" t="str">
            <v>MARCELO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  <cell r="H411" t="str">
            <v>DISTRIBUIÇÃO</v>
          </cell>
          <cell r="I411" t="str">
            <v>FOOD SERVICE</v>
          </cell>
          <cell r="J411" t="str">
            <v>FLAC 3</v>
          </cell>
          <cell r="K411" t="str">
            <v>LACTALIS</v>
          </cell>
          <cell r="L411" t="str">
            <v>RODRIGO</v>
          </cell>
          <cell r="M411" t="str">
            <v>RAQUEL BARBOSA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  <cell r="H412" t="str">
            <v>DISTRIBUIÇÃO</v>
          </cell>
          <cell r="I412" t="str">
            <v>FOOD SERVICE</v>
          </cell>
          <cell r="J412" t="str">
            <v>FLAC 3</v>
          </cell>
          <cell r="K412" t="str">
            <v>LACTALIS</v>
          </cell>
          <cell r="L412" t="str">
            <v>RODRIGO</v>
          </cell>
          <cell r="M412" t="str">
            <v>RAQUEL BARBOSA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  <cell r="H413" t="str">
            <v>DISTRIBUIÇÃO</v>
          </cell>
          <cell r="I413" t="str">
            <v>FOOD SERVICE</v>
          </cell>
          <cell r="J413" t="str">
            <v>FLAC 2</v>
          </cell>
          <cell r="K413" t="str">
            <v>LACTALIS</v>
          </cell>
          <cell r="L413" t="str">
            <v>RODRIGO</v>
          </cell>
          <cell r="M413" t="str">
            <v>RAQUEL BARBOSA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  <cell r="H414" t="str">
            <v>DISTRIBUIÇÃO</v>
          </cell>
          <cell r="I414" t="str">
            <v>FOOD SERVICE</v>
          </cell>
          <cell r="J414" t="str">
            <v>FLAC 6</v>
          </cell>
          <cell r="K414" t="str">
            <v>LACTALIS</v>
          </cell>
          <cell r="L414" t="str">
            <v>RODRIGO</v>
          </cell>
          <cell r="M414" t="str">
            <v>RAQUEL BARBOSA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  <cell r="H415" t="str">
            <v>INGREDIENTS</v>
          </cell>
          <cell r="I415" t="str">
            <v>INGREDIENTS</v>
          </cell>
          <cell r="J415" t="str">
            <v>HENRIQUE FERREIRA</v>
          </cell>
          <cell r="K415" t="str">
            <v>ITAMBÉ</v>
          </cell>
          <cell r="L415" t="str">
            <v>MAURICIO</v>
          </cell>
          <cell r="M415" t="str">
            <v>JOEL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  <cell r="H416" t="str">
            <v>INGREDIENTS</v>
          </cell>
          <cell r="I416" t="str">
            <v>INGREDIENTS</v>
          </cell>
          <cell r="J416" t="str">
            <v>MARCELO RODRIGUES</v>
          </cell>
          <cell r="K416" t="str">
            <v>LACTALIS</v>
          </cell>
          <cell r="L416" t="str">
            <v>MAURICIO</v>
          </cell>
          <cell r="M416" t="str">
            <v>MARCELO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  <cell r="H417" t="str">
            <v>DISTRIBUIÇÃO</v>
          </cell>
          <cell r="I417" t="str">
            <v>FOOD SERVICE</v>
          </cell>
          <cell r="J417" t="str">
            <v>FLAC 4</v>
          </cell>
          <cell r="K417" t="str">
            <v>LACTALIS</v>
          </cell>
          <cell r="L417" t="str">
            <v>RODRIGO</v>
          </cell>
          <cell r="M417" t="str">
            <v>RAQUEL BARBOSA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  <cell r="H418" t="str">
            <v>DISTRIBUIÇÃO</v>
          </cell>
          <cell r="I418" t="str">
            <v>FOOD SERVICE</v>
          </cell>
          <cell r="J418" t="str">
            <v>FLAC 2</v>
          </cell>
          <cell r="K418" t="str">
            <v>LACTALIS</v>
          </cell>
          <cell r="L418" t="str">
            <v>RODRIGO</v>
          </cell>
          <cell r="M418" t="str">
            <v>RAQUEL BARBOSA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  <cell r="H419" t="str">
            <v>DISTRIBUIÇÃO</v>
          </cell>
          <cell r="I419" t="str">
            <v>FOOD SERVICE</v>
          </cell>
          <cell r="J419" t="str">
            <v>FLAC 1</v>
          </cell>
          <cell r="K419" t="str">
            <v>LACTALIS</v>
          </cell>
          <cell r="L419" t="str">
            <v>RODRIGO</v>
          </cell>
          <cell r="M419" t="str">
            <v>RAQUEL BARBOSA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  <cell r="H420" t="str">
            <v>DISTRIBUIÇÃO</v>
          </cell>
          <cell r="I420" t="str">
            <v>FOOD SERVICE</v>
          </cell>
          <cell r="J420" t="str">
            <v>FLAC 6</v>
          </cell>
          <cell r="K420" t="str">
            <v>LACTALIS</v>
          </cell>
          <cell r="L420" t="str">
            <v>RODRIGO</v>
          </cell>
          <cell r="M420" t="str">
            <v>RAQUEL BARBOSA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  <cell r="H421" t="str">
            <v>INGREDIENTS</v>
          </cell>
          <cell r="I421" t="str">
            <v>INGREDIENTS</v>
          </cell>
          <cell r="J421" t="str">
            <v>TATIANA NITTA</v>
          </cell>
          <cell r="K421" t="str">
            <v>ITAMBÉ</v>
          </cell>
          <cell r="L421" t="str">
            <v>MAURICIO</v>
          </cell>
          <cell r="M421" t="str">
            <v>TATIANA NITTA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  <cell r="H422" t="str">
            <v>INGREDIENTS</v>
          </cell>
          <cell r="I422" t="str">
            <v>INGREDIENTS</v>
          </cell>
          <cell r="J422" t="str">
            <v>TATIANA NITTA</v>
          </cell>
          <cell r="K422" t="str">
            <v>ITAMBÉ</v>
          </cell>
          <cell r="L422" t="str">
            <v>MAURICIO</v>
          </cell>
          <cell r="M422" t="str">
            <v>TATIANA NITTA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  <cell r="H423" t="str">
            <v>DISTRIBUIÇÃO</v>
          </cell>
          <cell r="I423" t="str">
            <v>FOOD SERVICE</v>
          </cell>
          <cell r="J423" t="str">
            <v>FLAC 3</v>
          </cell>
          <cell r="K423" t="str">
            <v>LACTALIS</v>
          </cell>
          <cell r="L423" t="str">
            <v>RODRIGO</v>
          </cell>
          <cell r="M423" t="str">
            <v>RAQUEL BARBOSA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  <cell r="H424" t="str">
            <v>INGREDIENTS</v>
          </cell>
          <cell r="I424" t="str">
            <v>INGREDIENTS</v>
          </cell>
          <cell r="J424" t="str">
            <v>TATIANA NITTA</v>
          </cell>
          <cell r="K424" t="str">
            <v>ITAMBÉ</v>
          </cell>
          <cell r="L424" t="str">
            <v>MAURICIO</v>
          </cell>
          <cell r="M424" t="str">
            <v>TATIANA NITTA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  <cell r="H425" t="str">
            <v>DISTRIBUIÇÃO</v>
          </cell>
          <cell r="I425" t="str">
            <v>FOOD SERVICE</v>
          </cell>
          <cell r="J425" t="str">
            <v>VAGO SP</v>
          </cell>
          <cell r="K425" t="str">
            <v>ITAMBÉ</v>
          </cell>
          <cell r="L425" t="str">
            <v>RODRIGO</v>
          </cell>
          <cell r="M425" t="str">
            <v>RAQUEL BARBOSA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  <cell r="H426" t="str">
            <v>DISTRIBUIÇÃO</v>
          </cell>
          <cell r="I426" t="str">
            <v>FOOD SERVICE</v>
          </cell>
          <cell r="J426" t="str">
            <v>CELIO MARTINS</v>
          </cell>
          <cell r="K426" t="str">
            <v>ITAMBÉ</v>
          </cell>
          <cell r="L426" t="str">
            <v>RODRIGO</v>
          </cell>
          <cell r="M426" t="str">
            <v>CELIO MARTINS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  <cell r="H427" t="str">
            <v>DISTRIBUIÇÃO</v>
          </cell>
          <cell r="I427" t="str">
            <v>FOOD SERVICE</v>
          </cell>
          <cell r="J427" t="str">
            <v>FLAC 2</v>
          </cell>
          <cell r="K427" t="str">
            <v>LACTALIS</v>
          </cell>
          <cell r="L427" t="str">
            <v>RODRIGO</v>
          </cell>
          <cell r="M427" t="str">
            <v>RAQUEL BARBOSA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  <cell r="H428" t="str">
            <v>DISTRIBUIÇÃO</v>
          </cell>
          <cell r="I428" t="str">
            <v>FOOD SERVICE</v>
          </cell>
          <cell r="J428" t="str">
            <v>FLAC 2</v>
          </cell>
          <cell r="K428" t="str">
            <v>LACTALIS</v>
          </cell>
          <cell r="L428" t="str">
            <v>RODRIGO</v>
          </cell>
          <cell r="M428" t="str">
            <v>RAQUEL BARBOSA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  <cell r="H429" t="str">
            <v>INGREDIENTS</v>
          </cell>
          <cell r="I429" t="str">
            <v>INGREDIENTS</v>
          </cell>
          <cell r="J429" t="str">
            <v>MARCELO RODRIGUES</v>
          </cell>
          <cell r="K429" t="str">
            <v>ITAMBÉ</v>
          </cell>
          <cell r="L429" t="str">
            <v>MAURICIO</v>
          </cell>
          <cell r="M429" t="str">
            <v>MARCELO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  <cell r="H430" t="str">
            <v>INGREDIENTS</v>
          </cell>
          <cell r="I430" t="str">
            <v>INGREDIENTS</v>
          </cell>
          <cell r="J430" t="str">
            <v>MARCELO RODRIGUES</v>
          </cell>
          <cell r="K430" t="str">
            <v>LACTALIS</v>
          </cell>
          <cell r="L430" t="str">
            <v>MAURICIO</v>
          </cell>
          <cell r="M430" t="str">
            <v>MARCELO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  <cell r="H431" t="str">
            <v>DISTRIBUIÇÃO</v>
          </cell>
          <cell r="I431" t="str">
            <v>FOOD SERVICE</v>
          </cell>
          <cell r="J431" t="str">
            <v>FLAC 3</v>
          </cell>
          <cell r="K431" t="str">
            <v>LACTALIS</v>
          </cell>
          <cell r="L431" t="str">
            <v>RODRIGO</v>
          </cell>
          <cell r="M431" t="str">
            <v>RAQUEL BARBOSA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  <cell r="H432" t="str">
            <v>DISTRIBUIÇÃO</v>
          </cell>
          <cell r="I432" t="str">
            <v>FOOD SERVICE</v>
          </cell>
          <cell r="J432" t="str">
            <v>GUILHERME NASCIMENTO</v>
          </cell>
          <cell r="K432" t="str">
            <v>ITAMBÉ</v>
          </cell>
          <cell r="L432" t="str">
            <v>RODRIGO</v>
          </cell>
          <cell r="M432" t="str">
            <v>ALEXANDRO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  <cell r="H433" t="str">
            <v>DISTRIBUIÇÃO</v>
          </cell>
          <cell r="I433" t="str">
            <v>FOOD SERVICE</v>
          </cell>
          <cell r="J433" t="str">
            <v>CELIO MARTINS</v>
          </cell>
          <cell r="K433" t="str">
            <v>ITAMBÉ</v>
          </cell>
          <cell r="L433" t="str">
            <v>RODRIGO</v>
          </cell>
          <cell r="M433" t="str">
            <v>CELIO MARTINS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  <cell r="H434" t="str">
            <v>OUTROS</v>
          </cell>
          <cell r="I434" t="str">
            <v>OUTROS</v>
          </cell>
          <cell r="J434" t="str">
            <v>ITAMBE - EXPORTACAO</v>
          </cell>
          <cell r="K434" t="str">
            <v>OUTROS</v>
          </cell>
          <cell r="L434" t="str">
            <v>OUTROS</v>
          </cell>
          <cell r="M434" t="str">
            <v>EXPORTAÇÃO</v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  <cell r="H435" t="str">
            <v>DISTRIBUIÇÃO</v>
          </cell>
          <cell r="I435" t="str">
            <v>FOOD SERVICE</v>
          </cell>
          <cell r="J435" t="str">
            <v>MARCELO DUARTE</v>
          </cell>
          <cell r="K435" t="str">
            <v>ITAMBÉ</v>
          </cell>
          <cell r="L435" t="str">
            <v>RODRIGO</v>
          </cell>
          <cell r="M435" t="str">
            <v>JESSICA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  <cell r="H436" t="str">
            <v>DISTRIBUIÇÃO</v>
          </cell>
          <cell r="I436" t="str">
            <v>FOOD SERVICE</v>
          </cell>
          <cell r="J436" t="str">
            <v>MARCELO SILVA</v>
          </cell>
          <cell r="K436" t="str">
            <v>ITAMBÉ</v>
          </cell>
          <cell r="L436" t="str">
            <v>RODRIGO</v>
          </cell>
          <cell r="M436" t="str">
            <v>CELIO MARTINS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  <cell r="H437" t="str">
            <v>INGREDIENTS</v>
          </cell>
          <cell r="I437" t="str">
            <v>INGREDIENTS</v>
          </cell>
          <cell r="J437" t="str">
            <v>DUAS RODAS</v>
          </cell>
          <cell r="K437" t="str">
            <v>ITAMBÉ</v>
          </cell>
          <cell r="L437" t="str">
            <v>MAURICIO</v>
          </cell>
          <cell r="M437" t="str">
            <v>TATIANA NITTA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  <cell r="H438" t="str">
            <v>DISTRIBUIÇÃO</v>
          </cell>
          <cell r="I438" t="str">
            <v>FOOD SERVICE</v>
          </cell>
          <cell r="J438" t="str">
            <v>MARCO AURELIO</v>
          </cell>
          <cell r="K438" t="str">
            <v>ITAMBÉ</v>
          </cell>
          <cell r="L438" t="str">
            <v>RODRIGO</v>
          </cell>
          <cell r="M438" t="str">
            <v>MARCO AURELIO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  <cell r="H439" t="str">
            <v>DISTRIBUIÇÃO</v>
          </cell>
          <cell r="I439" t="str">
            <v>FOOD SERVICE</v>
          </cell>
          <cell r="J439" t="str">
            <v>CLAUDIO JORGE</v>
          </cell>
          <cell r="K439" t="str">
            <v>ITAMBÉ</v>
          </cell>
          <cell r="L439" t="str">
            <v>RODRIGO</v>
          </cell>
          <cell r="M439" t="str">
            <v>MARIA LOURDES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  <cell r="H440" t="str">
            <v>DISTRIBUIÇÃO</v>
          </cell>
          <cell r="I440" t="str">
            <v>FOOD SERVICE</v>
          </cell>
          <cell r="J440" t="str">
            <v>FLAC 6</v>
          </cell>
          <cell r="K440" t="str">
            <v>LACTALIS</v>
          </cell>
          <cell r="L440" t="str">
            <v>RODRIGO</v>
          </cell>
          <cell r="M440" t="str">
            <v>RAQUEL BARBOSA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  <cell r="H441" t="str">
            <v>INGREDIENTS</v>
          </cell>
          <cell r="I441" t="str">
            <v>INGREDIENTS</v>
          </cell>
          <cell r="J441" t="str">
            <v>JOEL ELEOTÉRIO</v>
          </cell>
          <cell r="K441" t="str">
            <v>ITAMBÉ</v>
          </cell>
          <cell r="L441" t="str">
            <v>MAURICIO</v>
          </cell>
          <cell r="M441" t="str">
            <v>JOEL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  <cell r="H442" t="str">
            <v>DISTRIBUIÇÃO</v>
          </cell>
          <cell r="I442" t="str">
            <v>FOOD SERVICE</v>
          </cell>
          <cell r="J442" t="str">
            <v>FLAC 6</v>
          </cell>
          <cell r="K442" t="str">
            <v>LACTALIS</v>
          </cell>
          <cell r="L442" t="str">
            <v>RODRIGO</v>
          </cell>
          <cell r="M442" t="str">
            <v>RAQUEL BARBOSA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  <cell r="H443" t="str">
            <v>INGREDIENTS</v>
          </cell>
          <cell r="I443" t="str">
            <v>INGREDIENTS</v>
          </cell>
          <cell r="J443" t="str">
            <v>HENRIQUE FERREIRA</v>
          </cell>
          <cell r="K443" t="str">
            <v>ITAMBÉ</v>
          </cell>
          <cell r="L443" t="str">
            <v>MAURICIO</v>
          </cell>
          <cell r="M443" t="str">
            <v>JOEL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  <cell r="H444" t="str">
            <v>INGREDIENTS</v>
          </cell>
          <cell r="I444" t="str">
            <v>INGREDIENTS</v>
          </cell>
          <cell r="J444" t="str">
            <v>JOEL ELEOTÉRIO</v>
          </cell>
          <cell r="K444" t="str">
            <v>LACTALIS</v>
          </cell>
          <cell r="L444" t="str">
            <v>MAURICIO</v>
          </cell>
          <cell r="M444" t="str">
            <v>JOEL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  <cell r="H445" t="str">
            <v>QSR</v>
          </cell>
          <cell r="I445" t="str">
            <v>FOOD SERVICE</v>
          </cell>
          <cell r="J445" t="str">
            <v>NUTRI</v>
          </cell>
          <cell r="K445" t="str">
            <v>LACTALIS</v>
          </cell>
          <cell r="L445" t="str">
            <v>PEDRO</v>
          </cell>
          <cell r="M445" t="str">
            <v>VAGO QSR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  <cell r="H446" t="str">
            <v>DISTRIBUIÇÃO</v>
          </cell>
          <cell r="I446" t="str">
            <v>FOOD SERVICE</v>
          </cell>
          <cell r="J446" t="str">
            <v>WH FOOD SERVICE CE</v>
          </cell>
          <cell r="K446" t="str">
            <v>ITAMBÉ</v>
          </cell>
          <cell r="L446" t="str">
            <v>RODRIGO</v>
          </cell>
          <cell r="M446" t="str">
            <v>MARIA LOURDES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  <cell r="H447" t="str">
            <v>QSR</v>
          </cell>
          <cell r="I447" t="str">
            <v>FOOD SERVICE</v>
          </cell>
          <cell r="J447" t="str">
            <v>ANA MENIQUETE</v>
          </cell>
          <cell r="K447" t="str">
            <v>LACTALIS</v>
          </cell>
          <cell r="L447" t="str">
            <v>PEDRO</v>
          </cell>
          <cell r="M447" t="str">
            <v>ANA MENIQUETE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  <cell r="H448" t="str">
            <v>QSR</v>
          </cell>
          <cell r="I448" t="str">
            <v>FOOD SERVICE</v>
          </cell>
          <cell r="J448" t="str">
            <v>NUTRI</v>
          </cell>
          <cell r="K448" t="str">
            <v>LACTALIS</v>
          </cell>
          <cell r="L448" t="str">
            <v>PEDRO</v>
          </cell>
          <cell r="M448" t="str">
            <v>VAGO QSR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  <cell r="H449" t="str">
            <v>DISTRIBUIÇÃO</v>
          </cell>
          <cell r="I449" t="str">
            <v>FOOD SERVICE</v>
          </cell>
          <cell r="J449" t="str">
            <v>FLAC 2</v>
          </cell>
          <cell r="K449" t="str">
            <v>LACTALIS</v>
          </cell>
          <cell r="L449" t="str">
            <v>RODRIGO</v>
          </cell>
          <cell r="M449" t="str">
            <v>RAQUEL BARBOSA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  <cell r="H450" t="str">
            <v>DISTRIBUIÇÃO</v>
          </cell>
          <cell r="I450" t="str">
            <v>FOOD SERVICE</v>
          </cell>
          <cell r="J450" t="str">
            <v>FLAC 6</v>
          </cell>
          <cell r="K450" t="str">
            <v>LACTALIS</v>
          </cell>
          <cell r="L450" t="str">
            <v>RODRIGO</v>
          </cell>
          <cell r="M450" t="str">
            <v>RAQUEL BARBOSA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  <cell r="H451" t="str">
            <v>DISTRIBUIÇÃO</v>
          </cell>
          <cell r="I451" t="str">
            <v>FOOD SERVICE</v>
          </cell>
          <cell r="J451" t="str">
            <v>FLAC 5</v>
          </cell>
          <cell r="K451" t="str">
            <v>LACTALIS</v>
          </cell>
          <cell r="L451" t="str">
            <v>RODRIGO</v>
          </cell>
          <cell r="M451" t="str">
            <v>RAQUEL BARBOSA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  <cell r="H452" t="str">
            <v>DISTRIBUIÇÃO</v>
          </cell>
          <cell r="I452" t="str">
            <v>FOOD SERVICE</v>
          </cell>
          <cell r="J452" t="str">
            <v>SP ITB FS FLAC REP.E COMERCIO</v>
          </cell>
          <cell r="K452" t="str">
            <v>ITAMBÉ</v>
          </cell>
          <cell r="L452" t="str">
            <v>RODRIGO</v>
          </cell>
          <cell r="M452" t="str">
            <v>RAQUEL BARBOSA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  <cell r="H453" t="str">
            <v>DISTRIBUIÇÃO</v>
          </cell>
          <cell r="I453" t="str">
            <v>FOOD SERVICE</v>
          </cell>
          <cell r="J453" t="str">
            <v>MARCELO SILVA</v>
          </cell>
          <cell r="K453" t="str">
            <v>ITAMBÉ</v>
          </cell>
          <cell r="L453" t="str">
            <v>RODRIGO</v>
          </cell>
          <cell r="M453" t="str">
            <v>CELIO MARTINS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  <cell r="H454" t="str">
            <v>DISTRIBUIÇÃO</v>
          </cell>
          <cell r="I454" t="str">
            <v>FOOD SERVICE</v>
          </cell>
          <cell r="J454" t="str">
            <v>FLAC 3</v>
          </cell>
          <cell r="K454" t="str">
            <v>LACTALIS</v>
          </cell>
          <cell r="L454" t="str">
            <v>RODRIGO</v>
          </cell>
          <cell r="M454" t="str">
            <v>RAQUEL BARBOSA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  <cell r="H455" t="str">
            <v>DISTRIBUIÇÃO</v>
          </cell>
          <cell r="I455" t="str">
            <v>FOOD SERVICE</v>
          </cell>
          <cell r="J455" t="str">
            <v>ANGELICA BATISTELA</v>
          </cell>
          <cell r="K455" t="str">
            <v>ITAMBÉ</v>
          </cell>
          <cell r="L455" t="str">
            <v>RODRIGO</v>
          </cell>
          <cell r="M455" t="str">
            <v>ANGELICA BATISTELA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  <cell r="H456" t="str">
            <v>DISTRIBUIÇÃO</v>
          </cell>
          <cell r="I456" t="str">
            <v>FOOD SERVICE</v>
          </cell>
          <cell r="J456" t="str">
            <v>FLAC 1</v>
          </cell>
          <cell r="K456" t="str">
            <v>LACTALIS</v>
          </cell>
          <cell r="L456" t="str">
            <v>RODRIGO</v>
          </cell>
          <cell r="M456" t="str">
            <v>RAQUEL BARBOSA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  <cell r="H457" t="str">
            <v>DISTRIBUIÇÃO</v>
          </cell>
          <cell r="I457" t="str">
            <v>FOOD SERVICE</v>
          </cell>
          <cell r="J457" t="str">
            <v>FLAC 7</v>
          </cell>
          <cell r="K457" t="str">
            <v>LACTALIS</v>
          </cell>
          <cell r="L457" t="str">
            <v>RODRIGO</v>
          </cell>
          <cell r="M457" t="str">
            <v>RAQUEL BARBOSA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  <cell r="H458" t="str">
            <v>DISTRIBUIÇÃO</v>
          </cell>
          <cell r="I458" t="str">
            <v>FOOD SERVICE</v>
          </cell>
          <cell r="J458" t="str">
            <v>FLAC 3</v>
          </cell>
          <cell r="K458" t="str">
            <v>LACTALIS</v>
          </cell>
          <cell r="L458" t="str">
            <v>RODRIGO</v>
          </cell>
          <cell r="M458" t="str">
            <v>RAQUEL BARBOSA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  <cell r="H459" t="str">
            <v>DISTRIBUIÇÃO</v>
          </cell>
          <cell r="I459" t="str">
            <v>FOOD SERVICE</v>
          </cell>
          <cell r="J459" t="str">
            <v>FLAC 2</v>
          </cell>
          <cell r="K459" t="str">
            <v>LACTALIS</v>
          </cell>
          <cell r="L459" t="str">
            <v>RODRIGO</v>
          </cell>
          <cell r="M459" t="str">
            <v>RAQUEL BARBOSA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  <cell r="H460" t="str">
            <v>DISTRIBUIÇÃO</v>
          </cell>
          <cell r="I460" t="str">
            <v>FOOD SERVICE</v>
          </cell>
          <cell r="J460" t="str">
            <v>FLAC 6</v>
          </cell>
          <cell r="K460" t="str">
            <v>LACTALIS</v>
          </cell>
          <cell r="L460" t="str">
            <v>RODRIGO</v>
          </cell>
          <cell r="M460" t="str">
            <v>RAQUEL BARBOSA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  <cell r="H461" t="str">
            <v>DISTRIBUIÇÃO</v>
          </cell>
          <cell r="I461" t="str">
            <v>FOOD SERVICE</v>
          </cell>
          <cell r="J461" t="str">
            <v>FLAC 6</v>
          </cell>
          <cell r="K461" t="str">
            <v>LACTALIS</v>
          </cell>
          <cell r="L461" t="str">
            <v>RODRIGO</v>
          </cell>
          <cell r="M461" t="str">
            <v>RAQUEL BARBOSA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  <cell r="H462" t="str">
            <v>DISTRIBUIÇÃO</v>
          </cell>
          <cell r="I462" t="str">
            <v>FOOD SERVICE</v>
          </cell>
          <cell r="J462" t="str">
            <v>FLAC 6</v>
          </cell>
          <cell r="K462" t="str">
            <v>LACTALIS</v>
          </cell>
          <cell r="L462" t="str">
            <v>RODRIGO</v>
          </cell>
          <cell r="M462" t="str">
            <v>RAQUEL BARBOSA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  <cell r="H463" t="str">
            <v>DISTRIBUIÇÃO</v>
          </cell>
          <cell r="I463" t="str">
            <v>FOOD SERVICE</v>
          </cell>
          <cell r="J463" t="str">
            <v>FLAC 1</v>
          </cell>
          <cell r="K463" t="str">
            <v>LACTALIS</v>
          </cell>
          <cell r="L463" t="str">
            <v>RODRIGO</v>
          </cell>
          <cell r="M463" t="str">
            <v>RAQUEL BARBOSA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  <cell r="H464" t="str">
            <v>DISTRIBUIÇÃO</v>
          </cell>
          <cell r="I464" t="str">
            <v>FOOD SERVICE</v>
          </cell>
          <cell r="J464" t="str">
            <v>FLAC 3</v>
          </cell>
          <cell r="K464" t="str">
            <v>LACTALIS</v>
          </cell>
          <cell r="L464" t="str">
            <v>RODRIGO</v>
          </cell>
          <cell r="M464" t="str">
            <v>RAQUEL BARBOSA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  <cell r="H465" t="str">
            <v>DISTRIBUIÇÃO</v>
          </cell>
          <cell r="I465" t="str">
            <v>FOOD SERVICE</v>
          </cell>
          <cell r="J465" t="str">
            <v>FLAC 3</v>
          </cell>
          <cell r="K465" t="str">
            <v>LACTALIS</v>
          </cell>
          <cell r="L465" t="str">
            <v>RODRIGO</v>
          </cell>
          <cell r="M465" t="str">
            <v>RAQUEL BARBOSA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  <cell r="H466" t="str">
            <v>DISTRIBUIÇÃO</v>
          </cell>
          <cell r="I466" t="str">
            <v>FOOD SERVICE</v>
          </cell>
          <cell r="J466" t="str">
            <v>CLAUDIO JORGE</v>
          </cell>
          <cell r="K466" t="str">
            <v>ITAMBÉ</v>
          </cell>
          <cell r="L466" t="str">
            <v>RODRIGO</v>
          </cell>
          <cell r="M466" t="str">
            <v>MARIA LOURDES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  <cell r="H467" t="str">
            <v>INGREDIENTS</v>
          </cell>
          <cell r="I467" t="str">
            <v>INGREDIENTS</v>
          </cell>
          <cell r="J467" t="str">
            <v>MARCELO RODRIGUES</v>
          </cell>
          <cell r="K467" t="str">
            <v>LACTALIS</v>
          </cell>
          <cell r="L467" t="str">
            <v>MAURICIO</v>
          </cell>
          <cell r="M467" t="str">
            <v>MARCELO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  <cell r="H468" t="str">
            <v>DISTRIBUIÇÃO</v>
          </cell>
          <cell r="I468" t="str">
            <v>FOOD SERVICE</v>
          </cell>
          <cell r="J468" t="str">
            <v>FLAC 3</v>
          </cell>
          <cell r="K468" t="str">
            <v>LACTALIS</v>
          </cell>
          <cell r="L468" t="str">
            <v>RODRIGO</v>
          </cell>
          <cell r="M468" t="str">
            <v>RAQUEL BARBOSA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  <cell r="H469" t="str">
            <v>INGREDIENTS</v>
          </cell>
          <cell r="I469" t="str">
            <v>INGREDIENTS</v>
          </cell>
          <cell r="J469" t="str">
            <v>HENRIQUE FERREIRA</v>
          </cell>
          <cell r="K469" t="str">
            <v>ITAMBÉ</v>
          </cell>
          <cell r="L469" t="str">
            <v>MAURICIO</v>
          </cell>
          <cell r="M469" t="str">
            <v>JOEL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  <cell r="H470" t="str">
            <v>DISTRIBUIÇÃO</v>
          </cell>
          <cell r="I470" t="str">
            <v>FOOD SERVICE</v>
          </cell>
          <cell r="J470" t="str">
            <v>FLAC 4</v>
          </cell>
          <cell r="K470" t="str">
            <v>LACTALIS</v>
          </cell>
          <cell r="L470" t="str">
            <v>RODRIGO</v>
          </cell>
          <cell r="M470" t="str">
            <v>RAQUEL BARBOSA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  <cell r="H471" t="str">
            <v>DISTRIBUIÇÃO</v>
          </cell>
          <cell r="I471" t="str">
            <v>FOOD SERVICE</v>
          </cell>
          <cell r="J471" t="str">
            <v>FLAC 2</v>
          </cell>
          <cell r="K471" t="str">
            <v>LACTALIS</v>
          </cell>
          <cell r="L471" t="str">
            <v>RODRIGO</v>
          </cell>
          <cell r="M471" t="str">
            <v>RAQUEL BARBOSA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  <cell r="H472" t="str">
            <v>DISTRIBUIÇÃO</v>
          </cell>
          <cell r="I472" t="str">
            <v>FOOD SERVICE</v>
          </cell>
          <cell r="J472" t="str">
            <v>FLAC 3</v>
          </cell>
          <cell r="K472" t="str">
            <v>LACTALIS</v>
          </cell>
          <cell r="L472" t="str">
            <v>RODRIGO</v>
          </cell>
          <cell r="M472" t="str">
            <v>RAQUEL BARBOSA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  <cell r="H473" t="str">
            <v>INGREDIENTS</v>
          </cell>
          <cell r="I473" t="str">
            <v>INGREDIENTS</v>
          </cell>
          <cell r="J473" t="str">
            <v>MARCELO RODRIGUES</v>
          </cell>
          <cell r="K473" t="str">
            <v>ITAMBÉ</v>
          </cell>
          <cell r="L473" t="str">
            <v>MAURICIO</v>
          </cell>
          <cell r="M473" t="str">
            <v>MARCELO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  <cell r="H474" t="str">
            <v>DISTRIBUIÇÃO</v>
          </cell>
          <cell r="I474" t="str">
            <v>FOOD SERVICE</v>
          </cell>
          <cell r="J474" t="str">
            <v>FLAC 6</v>
          </cell>
          <cell r="K474" t="str">
            <v>LACTALIS</v>
          </cell>
          <cell r="L474" t="str">
            <v>RODRIGO</v>
          </cell>
          <cell r="M474" t="str">
            <v>RAQUEL BARBOSA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  <cell r="H475" t="str">
            <v>DISTRIBUIÇÃO</v>
          </cell>
          <cell r="I475" t="str">
            <v>FOOD SERVICE</v>
          </cell>
          <cell r="J475" t="str">
            <v>FLAC 6</v>
          </cell>
          <cell r="K475" t="str">
            <v>LACTALIS</v>
          </cell>
          <cell r="L475" t="str">
            <v>RODRIGO</v>
          </cell>
          <cell r="M475" t="str">
            <v>RAQUEL BARBOSA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  <cell r="H476" t="str">
            <v>DISTRIBUIÇÃO</v>
          </cell>
          <cell r="I476" t="str">
            <v>FOOD SERVICE</v>
          </cell>
          <cell r="J476" t="str">
            <v>WH FOOD SERVICE CE</v>
          </cell>
          <cell r="K476" t="str">
            <v>ITAMBÉ</v>
          </cell>
          <cell r="L476" t="str">
            <v>RODRIGO</v>
          </cell>
          <cell r="M476" t="str">
            <v>MARIA LOURDES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  <cell r="H477" t="str">
            <v>DISTRIBUIÇÃO</v>
          </cell>
          <cell r="I477" t="str">
            <v>FOOD SERVICE</v>
          </cell>
          <cell r="J477" t="str">
            <v>FLAC 6</v>
          </cell>
          <cell r="K477" t="str">
            <v>LACTALIS</v>
          </cell>
          <cell r="L477" t="str">
            <v>RODRIGO</v>
          </cell>
          <cell r="M477" t="str">
            <v>RAQUEL BARBOSA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  <cell r="H478" t="str">
            <v>INGREDIENTS</v>
          </cell>
          <cell r="I478" t="str">
            <v>INGREDIENTS</v>
          </cell>
          <cell r="J478" t="str">
            <v>SP ITB FS LUIZ PEREIRA</v>
          </cell>
          <cell r="K478" t="str">
            <v>ITAMBÉ</v>
          </cell>
          <cell r="L478" t="str">
            <v>MAURICIO</v>
          </cell>
          <cell r="M478" t="str">
            <v>TATIANA NITTA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  <cell r="H479" t="str">
            <v>DISTRIBUIÇÃO</v>
          </cell>
          <cell r="I479" t="str">
            <v>FOOD SERVICE</v>
          </cell>
          <cell r="J479" t="str">
            <v>FLAC 3</v>
          </cell>
          <cell r="K479" t="str">
            <v>LACTALIS</v>
          </cell>
          <cell r="L479" t="str">
            <v>RODRIGO</v>
          </cell>
          <cell r="M479" t="str">
            <v>RAQUEL BARBOSA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  <cell r="H480" t="str">
            <v>DISTRIBUIÇÃO</v>
          </cell>
          <cell r="I480" t="str">
            <v>FOOD SERVICE</v>
          </cell>
          <cell r="J480" t="str">
            <v>SP ITB FS FLAC REP.E COMERCIO</v>
          </cell>
          <cell r="K480" t="str">
            <v>LACTALIS</v>
          </cell>
          <cell r="L480" t="str">
            <v>RODRIGO</v>
          </cell>
          <cell r="M480" t="str">
            <v>RAQUEL BARBOSA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  <cell r="H481" t="str">
            <v>QSR</v>
          </cell>
          <cell r="I481" t="str">
            <v>FOOD SERVICE</v>
          </cell>
          <cell r="J481" t="str">
            <v>NUTRI</v>
          </cell>
          <cell r="K481" t="str">
            <v>LACTALIS</v>
          </cell>
          <cell r="L481" t="str">
            <v>PEDRO</v>
          </cell>
          <cell r="M481" t="str">
            <v>VAGO QSR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  <cell r="H482" t="str">
            <v>DISTRIBUIÇÃO</v>
          </cell>
          <cell r="I482" t="str">
            <v>FOOD SERVICE</v>
          </cell>
          <cell r="J482" t="str">
            <v>SP ITB FS FLAC REP.E COMERCIO</v>
          </cell>
          <cell r="K482" t="str">
            <v>LACTALIS</v>
          </cell>
          <cell r="L482" t="str">
            <v>RODRIGO</v>
          </cell>
          <cell r="M482" t="str">
            <v>RAQUEL BARBOSA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  <cell r="H483" t="str">
            <v>QSR</v>
          </cell>
          <cell r="I483" t="str">
            <v>FOOD SERVICE</v>
          </cell>
          <cell r="J483" t="str">
            <v>NUTRI</v>
          </cell>
          <cell r="K483" t="str">
            <v>LACTALIS</v>
          </cell>
          <cell r="L483" t="str">
            <v>PEDRO</v>
          </cell>
          <cell r="M483" t="str">
            <v>VAGO QSR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  <cell r="H484" t="str">
            <v>QSR</v>
          </cell>
          <cell r="I484" t="str">
            <v>FOOD SERVICE</v>
          </cell>
          <cell r="J484" t="str">
            <v>NUTRI</v>
          </cell>
          <cell r="K484" t="str">
            <v>LACTALIS</v>
          </cell>
          <cell r="L484" t="str">
            <v>PEDRO</v>
          </cell>
          <cell r="M484" t="str">
            <v>VAGO QSR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  <cell r="H485" t="str">
            <v>QSR</v>
          </cell>
          <cell r="I485" t="str">
            <v>FOOD SERVICE</v>
          </cell>
          <cell r="J485" t="str">
            <v>NUTRI</v>
          </cell>
          <cell r="K485" t="str">
            <v>LACTALIS</v>
          </cell>
          <cell r="L485" t="str">
            <v>PEDRO</v>
          </cell>
          <cell r="M485" t="str">
            <v>VAGO QSR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  <cell r="H486" t="str">
            <v>DISTRIBUIÇÃO</v>
          </cell>
          <cell r="I486" t="str">
            <v>FOOD SERVICE</v>
          </cell>
          <cell r="J486" t="str">
            <v>LUCIANA MARTINS</v>
          </cell>
          <cell r="K486" t="str">
            <v>ITAMBÉ</v>
          </cell>
          <cell r="L486" t="str">
            <v>RODRIGO</v>
          </cell>
          <cell r="M486" t="str">
            <v>JESSICA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  <cell r="H487" t="str">
            <v>DISTRIBUIÇÃO</v>
          </cell>
          <cell r="I487" t="str">
            <v>FOOD SERVICE</v>
          </cell>
          <cell r="J487" t="str">
            <v>FLAC 3</v>
          </cell>
          <cell r="K487" t="str">
            <v>LACTALIS</v>
          </cell>
          <cell r="L487" t="str">
            <v>RODRIGO</v>
          </cell>
          <cell r="M487" t="str">
            <v>RAQUEL BARBOSA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  <cell r="H488" t="str">
            <v>OUTROS</v>
          </cell>
          <cell r="I488" t="str">
            <v>OUTROS</v>
          </cell>
          <cell r="J488" t="str">
            <v>INTERCOMPANY EXP</v>
          </cell>
          <cell r="K488" t="str">
            <v>OUTROS</v>
          </cell>
          <cell r="L488" t="str">
            <v>OUTROS</v>
          </cell>
          <cell r="M488" t="str">
            <v>INTERCOMPANY</v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  <cell r="H489" t="str">
            <v>OUTROS</v>
          </cell>
          <cell r="I489" t="str">
            <v>OUTROS</v>
          </cell>
          <cell r="J489" t="str">
            <v>INTERCOMPANY EXP</v>
          </cell>
          <cell r="K489" t="str">
            <v>OUTROS</v>
          </cell>
          <cell r="L489" t="str">
            <v>OUTROS</v>
          </cell>
          <cell r="M489" t="str">
            <v>INTERCOMPANY</v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  <cell r="H490" t="str">
            <v>OUTROS</v>
          </cell>
          <cell r="I490" t="str">
            <v>OUTROS</v>
          </cell>
          <cell r="J490" t="str">
            <v>INTERCOMPANY EXP</v>
          </cell>
          <cell r="K490" t="str">
            <v>OUTROS</v>
          </cell>
          <cell r="L490" t="str">
            <v>OUTROS</v>
          </cell>
          <cell r="M490" t="str">
            <v>INTERCOMPANY</v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  <cell r="H491" t="str">
            <v>OUTROS</v>
          </cell>
          <cell r="I491" t="str">
            <v>OUTROS</v>
          </cell>
          <cell r="J491" t="str">
            <v>INTERCOMPANY EXP</v>
          </cell>
          <cell r="K491" t="str">
            <v>OUTROS</v>
          </cell>
          <cell r="L491" t="str">
            <v>OUTROS</v>
          </cell>
          <cell r="M491" t="str">
            <v>INTERCOMPANY</v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  <cell r="H492" t="str">
            <v>OUTROS</v>
          </cell>
          <cell r="I492" t="str">
            <v>OUTROS</v>
          </cell>
          <cell r="J492" t="str">
            <v>INTERCOMPANY EXP</v>
          </cell>
          <cell r="K492" t="str">
            <v>OUTROS</v>
          </cell>
          <cell r="L492" t="str">
            <v>OUTROS</v>
          </cell>
          <cell r="M492" t="str">
            <v>INTERCOMPANY</v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  <cell r="H493" t="str">
            <v>DISTRIBUIÇÃO</v>
          </cell>
          <cell r="I493" t="str">
            <v>FOOD SERVICE</v>
          </cell>
          <cell r="J493" t="str">
            <v>FLAC 6</v>
          </cell>
          <cell r="K493" t="str">
            <v>LACTALIS</v>
          </cell>
          <cell r="L493" t="str">
            <v>RODRIGO</v>
          </cell>
          <cell r="M493" t="str">
            <v>RAQUEL BARBOSA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  <cell r="H494" t="str">
            <v>DISTRIBUIÇÃO</v>
          </cell>
          <cell r="I494" t="str">
            <v>FOOD SERVICE</v>
          </cell>
          <cell r="J494" t="str">
            <v>MARCELO DUARTE</v>
          </cell>
          <cell r="K494" t="str">
            <v>ITAMBÉ</v>
          </cell>
          <cell r="L494" t="str">
            <v>RODRIGO</v>
          </cell>
          <cell r="M494" t="str">
            <v>JESSICA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  <cell r="H495" t="str">
            <v>DISTRIBUIÇÃO</v>
          </cell>
          <cell r="I495" t="str">
            <v>FOOD SERVICE</v>
          </cell>
          <cell r="J495" t="str">
            <v>MARCELO DUARTE</v>
          </cell>
          <cell r="K495" t="str">
            <v>LACTALIS</v>
          </cell>
          <cell r="L495" t="str">
            <v>RODRIGO</v>
          </cell>
          <cell r="M495" t="str">
            <v>JESSICA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  <cell r="H496" t="str">
            <v>DISTRIBUIÇÃO</v>
          </cell>
          <cell r="I496" t="str">
            <v>FOOD SERVICE</v>
          </cell>
          <cell r="J496" t="str">
            <v>MARCO AURELIO</v>
          </cell>
          <cell r="K496" t="str">
            <v>ITAMBÉ</v>
          </cell>
          <cell r="L496" t="str">
            <v>RODRIGO</v>
          </cell>
          <cell r="M496" t="str">
            <v>MARCO AURELIO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  <cell r="H497" t="str">
            <v>DISTRIBUIÇÃO</v>
          </cell>
          <cell r="I497" t="str">
            <v>FOOD SERVICE</v>
          </cell>
          <cell r="J497" t="str">
            <v>CLAUDIO JORGE/LUIZ</v>
          </cell>
          <cell r="K497" t="str">
            <v>ITAMBÉ</v>
          </cell>
          <cell r="L497" t="str">
            <v>RODRIGO</v>
          </cell>
          <cell r="M497" t="str">
            <v>MARIA LOURDES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  <cell r="H498" t="str">
            <v>DISTRIBUIÇÃO</v>
          </cell>
          <cell r="I498" t="str">
            <v>FOOD SERVICE</v>
          </cell>
          <cell r="J498" t="str">
            <v>CLAUDIO JORGE/LUIZ</v>
          </cell>
          <cell r="K498" t="str">
            <v>ITAMBÉ</v>
          </cell>
          <cell r="L498" t="str">
            <v>RODRIGO</v>
          </cell>
          <cell r="M498" t="str">
            <v>MARIA LOURDES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  <cell r="H499" t="str">
            <v>DISTRIBUIÇÃO</v>
          </cell>
          <cell r="I499" t="str">
            <v>FOOD SERVICE</v>
          </cell>
          <cell r="J499" t="str">
            <v>FLAC 2</v>
          </cell>
          <cell r="K499" t="str">
            <v>LACTALIS</v>
          </cell>
          <cell r="L499" t="str">
            <v>RODRIGO</v>
          </cell>
          <cell r="M499" t="str">
            <v>RAQUEL BARBOSA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  <cell r="H500" t="str">
            <v>DISTRIBUIÇÃO</v>
          </cell>
          <cell r="I500" t="str">
            <v>FOOD SERVICE</v>
          </cell>
          <cell r="J500" t="str">
            <v>FLAC 2</v>
          </cell>
          <cell r="K500" t="str">
            <v>LACTALIS</v>
          </cell>
          <cell r="L500" t="str">
            <v>RODRIGO</v>
          </cell>
          <cell r="M500" t="str">
            <v>RAQUEL BARBOSA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  <cell r="H501" t="str">
            <v>DISTRIBUIÇÃO</v>
          </cell>
          <cell r="I501" t="str">
            <v>FOOD SERVICE</v>
          </cell>
          <cell r="J501" t="str">
            <v>FLAC 3</v>
          </cell>
          <cell r="K501" t="str">
            <v>LACTALIS</v>
          </cell>
          <cell r="L501" t="str">
            <v>RODRIGO</v>
          </cell>
          <cell r="M501" t="str">
            <v>RAQUEL BARBOSA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  <cell r="H502" t="str">
            <v>DISTRIBUIÇÃO</v>
          </cell>
          <cell r="I502" t="str">
            <v>FOOD SERVICE</v>
          </cell>
          <cell r="J502" t="str">
            <v>FLAC 2</v>
          </cell>
          <cell r="K502" t="str">
            <v>LACTALIS</v>
          </cell>
          <cell r="L502" t="str">
            <v>RODRIGO</v>
          </cell>
          <cell r="M502" t="str">
            <v>RAQUEL BARBOSA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  <cell r="H503" t="str">
            <v>DISTRIBUIÇÃO</v>
          </cell>
          <cell r="I503" t="str">
            <v>FOOD SERVICE</v>
          </cell>
          <cell r="J503" t="str">
            <v>FLAC 6</v>
          </cell>
          <cell r="K503" t="str">
            <v>LACTALIS</v>
          </cell>
          <cell r="L503" t="str">
            <v>RODRIGO</v>
          </cell>
          <cell r="M503" t="str">
            <v>RAQUEL BARBOSA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  <cell r="H504" t="str">
            <v>DISTRIBUIÇÃO</v>
          </cell>
          <cell r="I504" t="str">
            <v>FOOD SERVICE</v>
          </cell>
          <cell r="J504" t="str">
            <v>FLAC 6</v>
          </cell>
          <cell r="K504" t="str">
            <v>LACTALIS</v>
          </cell>
          <cell r="L504" t="str">
            <v>RODRIGO</v>
          </cell>
          <cell r="M504" t="str">
            <v>RAQUEL BARBOSA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  <cell r="H505" t="str">
            <v>DISTRIBUIÇÃO</v>
          </cell>
          <cell r="I505" t="str">
            <v>FOOD SERVICE</v>
          </cell>
          <cell r="J505" t="str">
            <v>ANGELICA BATISTELA</v>
          </cell>
          <cell r="K505" t="str">
            <v>ITAMBÉ</v>
          </cell>
          <cell r="L505" t="str">
            <v>RODRIGO</v>
          </cell>
          <cell r="M505" t="str">
            <v>ANGELICA BATISTELA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  <cell r="H506" t="str">
            <v>DISTRIBUIÇÃO</v>
          </cell>
          <cell r="I506" t="str">
            <v>FOOD SERVICE</v>
          </cell>
          <cell r="J506" t="str">
            <v>FLAC 6</v>
          </cell>
          <cell r="K506" t="str">
            <v>LACTALIS</v>
          </cell>
          <cell r="L506" t="str">
            <v>RODRIGO</v>
          </cell>
          <cell r="M506" t="str">
            <v>RAQUEL BARBOSA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  <cell r="H507" t="str">
            <v>DISTRIBUIÇÃO</v>
          </cell>
          <cell r="I507" t="str">
            <v>FOOD SERVICE</v>
          </cell>
          <cell r="J507" t="str">
            <v>FLAC 7</v>
          </cell>
          <cell r="K507" t="str">
            <v>LACTALIS</v>
          </cell>
          <cell r="L507" t="str">
            <v>RODRIGO</v>
          </cell>
          <cell r="M507" t="str">
            <v>RAQUEL BARBOSA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  <cell r="H508" t="str">
            <v>DISTRIBUIÇÃO</v>
          </cell>
          <cell r="I508" t="str">
            <v>FOOD SERVICE</v>
          </cell>
          <cell r="J508" t="str">
            <v>FLAC 6</v>
          </cell>
          <cell r="K508" t="str">
            <v>LACTALIS</v>
          </cell>
          <cell r="L508" t="str">
            <v>RODRIGO</v>
          </cell>
          <cell r="M508" t="str">
            <v>RAQUEL BARBOSA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  <cell r="H509" t="str">
            <v>DISTRIBUIÇÃO</v>
          </cell>
          <cell r="I509" t="str">
            <v>FOOD SERVICE</v>
          </cell>
          <cell r="J509" t="str">
            <v>FLAC 1</v>
          </cell>
          <cell r="K509" t="str">
            <v>LACTALIS</v>
          </cell>
          <cell r="L509" t="str">
            <v>RODRIGO</v>
          </cell>
          <cell r="M509" t="str">
            <v>RAQUEL BARBOSA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  <cell r="H510" t="str">
            <v>DISTRIBUIÇÃO</v>
          </cell>
          <cell r="I510" t="str">
            <v>FOOD SERVICE</v>
          </cell>
          <cell r="J510" t="str">
            <v>ANGELICA BATISTELA</v>
          </cell>
          <cell r="K510" t="str">
            <v>ITAMBÉ</v>
          </cell>
          <cell r="L510" t="str">
            <v>RODRIGO</v>
          </cell>
          <cell r="M510" t="str">
            <v>ANGELICA BATISTELA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  <cell r="H511" t="str">
            <v>DISTRIBUIÇÃO</v>
          </cell>
          <cell r="I511" t="str">
            <v>FOOD SERVICE</v>
          </cell>
          <cell r="J511" t="str">
            <v>FLAC 2</v>
          </cell>
          <cell r="K511" t="str">
            <v>LACTALIS</v>
          </cell>
          <cell r="L511" t="str">
            <v>RODRIGO</v>
          </cell>
          <cell r="M511" t="str">
            <v>RAQUEL BARBOSA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  <cell r="H512" t="str">
            <v>DISTRIBUIÇÃO</v>
          </cell>
          <cell r="I512" t="str">
            <v>FOOD SERVICE</v>
          </cell>
          <cell r="J512" t="str">
            <v>FLAC 3</v>
          </cell>
          <cell r="K512" t="str">
            <v>LACTALIS</v>
          </cell>
          <cell r="L512" t="str">
            <v>RODRIGO</v>
          </cell>
          <cell r="M512" t="str">
            <v>RAQUEL BARBOSA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  <cell r="H513" t="str">
            <v>DISTRIBUIÇÃO</v>
          </cell>
          <cell r="I513" t="str">
            <v>FOOD SERVICE</v>
          </cell>
          <cell r="J513" t="str">
            <v>VAGO SP</v>
          </cell>
          <cell r="K513" t="str">
            <v>ITAMBÉ</v>
          </cell>
          <cell r="L513" t="str">
            <v>RODRIGO</v>
          </cell>
          <cell r="M513" t="str">
            <v>RAQUEL BARBOSA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  <cell r="H514" t="str">
            <v>DISTRIBUIÇÃO</v>
          </cell>
          <cell r="I514" t="str">
            <v>FOOD SERVICE</v>
          </cell>
          <cell r="J514" t="str">
            <v>ANGELICA BATISTELA</v>
          </cell>
          <cell r="K514" t="str">
            <v>ITAMBÉ</v>
          </cell>
          <cell r="L514" t="str">
            <v>RODRIGO</v>
          </cell>
          <cell r="M514" t="str">
            <v>ANGELICA BATISTELA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  <cell r="H515" t="str">
            <v>DISTRIBUIÇÃO</v>
          </cell>
          <cell r="I515" t="str">
            <v>FOOD SERVICE</v>
          </cell>
          <cell r="J515" t="str">
            <v>MARCELO DUARTE</v>
          </cell>
          <cell r="K515" t="str">
            <v>ITAMBÉ</v>
          </cell>
          <cell r="L515" t="str">
            <v>RODRIGO</v>
          </cell>
          <cell r="M515" t="str">
            <v>JESSICA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  <cell r="H516" t="str">
            <v>DISTRIBUIÇÃO</v>
          </cell>
          <cell r="I516" t="str">
            <v>FOOD SERVICE</v>
          </cell>
          <cell r="J516" t="str">
            <v>FLAC 4</v>
          </cell>
          <cell r="K516" t="str">
            <v>LACTALIS</v>
          </cell>
          <cell r="L516" t="str">
            <v>RODRIGO</v>
          </cell>
          <cell r="M516" t="str">
            <v>RAQUEL BARBOSA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  <cell r="H517" t="str">
            <v>DISTRIBUIÇÃO</v>
          </cell>
          <cell r="I517" t="str">
            <v>FOOD SERVICE</v>
          </cell>
          <cell r="J517" t="str">
            <v>FLAC 2</v>
          </cell>
          <cell r="K517" t="str">
            <v>LACTALIS</v>
          </cell>
          <cell r="L517" t="str">
            <v>RODRIGO</v>
          </cell>
          <cell r="M517" t="str">
            <v>RAQUEL BARBOSA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  <cell r="H518" t="str">
            <v>DISTRIBUIÇÃO</v>
          </cell>
          <cell r="I518" t="str">
            <v>FOOD SERVICE</v>
          </cell>
          <cell r="J518" t="str">
            <v>FLAC 2</v>
          </cell>
          <cell r="K518" t="str">
            <v>LACTALIS</v>
          </cell>
          <cell r="L518" t="str">
            <v>RODRIGO</v>
          </cell>
          <cell r="M518" t="str">
            <v>RAQUEL BARBOSA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  <cell r="H519" t="str">
            <v>OUTROS</v>
          </cell>
          <cell r="I519" t="str">
            <v>OUTROS</v>
          </cell>
          <cell r="J519" t="str">
            <v>ITAMBE ALIMENTOS SA - EXPORTAC</v>
          </cell>
          <cell r="K519" t="str">
            <v>OUTROS</v>
          </cell>
          <cell r="L519" t="str">
            <v>OUTROS</v>
          </cell>
          <cell r="M519" t="str">
            <v>EXPORTAÇÃO</v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  <cell r="H520" t="str">
            <v>DISTRIBUIÇÃO</v>
          </cell>
          <cell r="I520" t="str">
            <v>FOOD SERVICE</v>
          </cell>
          <cell r="J520" t="str">
            <v>FLAC 6</v>
          </cell>
          <cell r="K520" t="str">
            <v>LACTALIS</v>
          </cell>
          <cell r="L520" t="str">
            <v>RODRIGO</v>
          </cell>
          <cell r="M520" t="str">
            <v>RAQUEL BARBOSA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  <cell r="H521" t="str">
            <v>DISTRIBUIÇÃO</v>
          </cell>
          <cell r="I521" t="str">
            <v>FOOD SERVICE</v>
          </cell>
          <cell r="J521" t="str">
            <v>FLAC 1</v>
          </cell>
          <cell r="K521" t="str">
            <v>LACTALIS</v>
          </cell>
          <cell r="L521" t="str">
            <v>RODRIGO</v>
          </cell>
          <cell r="M521" t="str">
            <v>RAQUEL BARBOSA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  <cell r="H522" t="str">
            <v>DISTRIBUIÇÃO</v>
          </cell>
          <cell r="I522" t="str">
            <v>FOOD SERVICE</v>
          </cell>
          <cell r="J522" t="str">
            <v>JULIANA CORDEIRO</v>
          </cell>
          <cell r="K522" t="str">
            <v>ITAMBÉ</v>
          </cell>
          <cell r="L522" t="str">
            <v>RODRIGO</v>
          </cell>
          <cell r="M522" t="str">
            <v>JESSICA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  <cell r="H523" t="str">
            <v>DISTRIBUIÇÃO</v>
          </cell>
          <cell r="I523" t="str">
            <v>FOOD SERVICE</v>
          </cell>
          <cell r="J523" t="str">
            <v>FLAC 6</v>
          </cell>
          <cell r="K523" t="str">
            <v>LACTALIS</v>
          </cell>
          <cell r="L523" t="str">
            <v>RODRIGO</v>
          </cell>
          <cell r="M523" t="str">
            <v>RAQUEL BARBOSA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  <cell r="H524" t="str">
            <v>DISTRIBUIÇÃO</v>
          </cell>
          <cell r="I524" t="str">
            <v>FOOD SERVICE</v>
          </cell>
          <cell r="J524" t="str">
            <v>FLAC 6</v>
          </cell>
          <cell r="K524" t="str">
            <v>LACTALIS</v>
          </cell>
          <cell r="L524" t="str">
            <v>RODRIGO</v>
          </cell>
          <cell r="M524" t="str">
            <v>RAQUEL BARBOSA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  <cell r="H525" t="str">
            <v>DISTRIBUIÇÃO</v>
          </cell>
          <cell r="I525" t="str">
            <v>FOOD SERVICE</v>
          </cell>
          <cell r="J525" t="str">
            <v>CELIO MARTINS</v>
          </cell>
          <cell r="K525" t="str">
            <v>ITAMBÉ</v>
          </cell>
          <cell r="L525" t="str">
            <v>RODRIGO</v>
          </cell>
          <cell r="M525" t="str">
            <v>CELIO MARTINS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  <cell r="H526" t="str">
            <v>DISTRIBUIÇÃO</v>
          </cell>
          <cell r="I526" t="str">
            <v>FOOD SERVICE</v>
          </cell>
          <cell r="J526" t="str">
            <v>FLAC 3</v>
          </cell>
          <cell r="K526" t="str">
            <v>LACTALIS</v>
          </cell>
          <cell r="L526" t="str">
            <v>RODRIGO</v>
          </cell>
          <cell r="M526" t="str">
            <v>RAQUEL BARBOSA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  <cell r="H527" t="str">
            <v>DISTRIBUIÇÃO</v>
          </cell>
          <cell r="I527" t="str">
            <v>FOOD SERVICE</v>
          </cell>
          <cell r="J527" t="str">
            <v>FLAC 2</v>
          </cell>
          <cell r="K527" t="str">
            <v>LACTALIS</v>
          </cell>
          <cell r="L527" t="str">
            <v>RODRIGO</v>
          </cell>
          <cell r="M527" t="str">
            <v>RAQUEL BARBOSA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  <cell r="H528" t="str">
            <v>DISTRIBUIÇÃO</v>
          </cell>
          <cell r="I528" t="str">
            <v>FOOD SERVICE</v>
          </cell>
          <cell r="J528" t="str">
            <v>WH FOOD SERVICE CE</v>
          </cell>
          <cell r="K528" t="str">
            <v>ITAMBÉ</v>
          </cell>
          <cell r="L528" t="str">
            <v>RODRIGO</v>
          </cell>
          <cell r="M528" t="str">
            <v>MARIA LOURDES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  <cell r="H529" t="str">
            <v>DISTRIBUIÇÃO</v>
          </cell>
          <cell r="I529" t="str">
            <v>FOOD SERVICE</v>
          </cell>
          <cell r="J529" t="str">
            <v>FLAC 4</v>
          </cell>
          <cell r="K529" t="str">
            <v>LACTALIS</v>
          </cell>
          <cell r="L529" t="str">
            <v>RODRIGO</v>
          </cell>
          <cell r="M529" t="str">
            <v>RAQUEL BARBOSA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  <cell r="H530" t="str">
            <v>DISTRIBUIÇÃO</v>
          </cell>
          <cell r="I530" t="str">
            <v>FOOD SERVICE</v>
          </cell>
          <cell r="J530" t="str">
            <v>FLAC 6</v>
          </cell>
          <cell r="K530" t="str">
            <v>LACTALIS</v>
          </cell>
          <cell r="L530" t="str">
            <v>RODRIGO</v>
          </cell>
          <cell r="M530" t="str">
            <v>RAQUEL BARBOSA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  <cell r="H531" t="str">
            <v>DISTRIBUIÇÃO</v>
          </cell>
          <cell r="I531" t="str">
            <v>FOOD SERVICE</v>
          </cell>
          <cell r="J531" t="str">
            <v>CLAUDIO JORGE</v>
          </cell>
          <cell r="K531" t="str">
            <v>ITAMBÉ</v>
          </cell>
          <cell r="L531" t="str">
            <v>RODRIGO</v>
          </cell>
          <cell r="M531" t="str">
            <v>MARIA LOURDES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  <cell r="H532" t="str">
            <v>INGREDIENTS</v>
          </cell>
          <cell r="I532" t="str">
            <v>INGREDIENTS</v>
          </cell>
          <cell r="J532" t="str">
            <v>JOEL ELEOTÉRIO</v>
          </cell>
          <cell r="K532" t="str">
            <v>ITAMBÉ</v>
          </cell>
          <cell r="L532" t="str">
            <v>MAURICIO</v>
          </cell>
          <cell r="M532" t="str">
            <v>JOEL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  <cell r="H533" t="str">
            <v>INGREDIENTS</v>
          </cell>
          <cell r="I533" t="str">
            <v>INGREDIENTS</v>
          </cell>
          <cell r="J533" t="str">
            <v>JOEL ELEOTÉRIO</v>
          </cell>
          <cell r="K533" t="str">
            <v>LACTALIS</v>
          </cell>
          <cell r="L533" t="str">
            <v>MAURICIO</v>
          </cell>
          <cell r="M533" t="str">
            <v>JOEL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  <cell r="H534" t="str">
            <v>INGREDIENTS</v>
          </cell>
          <cell r="I534" t="str">
            <v>INGREDIENTS</v>
          </cell>
          <cell r="J534" t="str">
            <v>JOEL ELEOTÉRIO</v>
          </cell>
          <cell r="K534" t="str">
            <v>ITAMBÉ</v>
          </cell>
          <cell r="L534" t="str">
            <v>MAURICIO</v>
          </cell>
          <cell r="M534" t="str">
            <v>JOEL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  <cell r="H535" t="str">
            <v>INGREDIENTS</v>
          </cell>
          <cell r="I535" t="str">
            <v>INGREDIENTS</v>
          </cell>
          <cell r="J535" t="str">
            <v>JOEL ELEOTÉRIO</v>
          </cell>
          <cell r="K535" t="str">
            <v>LACTALIS</v>
          </cell>
          <cell r="L535" t="str">
            <v>MAURICIO</v>
          </cell>
          <cell r="M535" t="str">
            <v>JOEL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  <cell r="H536" t="str">
            <v>DISTRIBUIÇÃO</v>
          </cell>
          <cell r="I536" t="str">
            <v>FOOD SERVICE</v>
          </cell>
          <cell r="J536" t="str">
            <v>FLAC 2</v>
          </cell>
          <cell r="K536" t="str">
            <v>LACTALIS</v>
          </cell>
          <cell r="L536" t="str">
            <v>RODRIGO</v>
          </cell>
          <cell r="M536" t="str">
            <v>RAQUEL BARBOSA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  <cell r="H537" t="str">
            <v>DISTRIBUIÇÃO</v>
          </cell>
          <cell r="I537" t="str">
            <v>FOOD SERVICE</v>
          </cell>
          <cell r="J537" t="str">
            <v>WH FOOD SERVICE CE</v>
          </cell>
          <cell r="K537" t="str">
            <v>ITAMBÉ</v>
          </cell>
          <cell r="L537" t="str">
            <v>RODRIGO</v>
          </cell>
          <cell r="M537" t="str">
            <v>MARIA LOURDES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  <cell r="H538" t="str">
            <v>DISTRIBUIÇÃO</v>
          </cell>
          <cell r="I538" t="str">
            <v>FOOD SERVICE</v>
          </cell>
          <cell r="J538" t="str">
            <v>WH FOOD SERVICE CE</v>
          </cell>
          <cell r="K538" t="str">
            <v>ITAMBÉ</v>
          </cell>
          <cell r="L538" t="str">
            <v>RODRIGO</v>
          </cell>
          <cell r="M538" t="str">
            <v>MARIA LOURDES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  <cell r="H539" t="str">
            <v>DISTRIBUIÇÃO</v>
          </cell>
          <cell r="I539" t="str">
            <v>FOOD SERVICE</v>
          </cell>
          <cell r="J539" t="str">
            <v>WH FOOD SERVICE CE</v>
          </cell>
          <cell r="K539" t="str">
            <v>ITAMBÉ</v>
          </cell>
          <cell r="L539" t="str">
            <v>RODRIGO</v>
          </cell>
          <cell r="M539" t="str">
            <v>MARIA LOURDES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  <cell r="H540" t="str">
            <v>DISTRIBUIÇÃO</v>
          </cell>
          <cell r="I540" t="str">
            <v>FOOD SERVICE</v>
          </cell>
          <cell r="J540" t="str">
            <v>CLAUDIO JORGE/LUIZ</v>
          </cell>
          <cell r="K540" t="str">
            <v>ITAMBÉ</v>
          </cell>
          <cell r="L540" t="str">
            <v>RODRIGO</v>
          </cell>
          <cell r="M540" t="str">
            <v>MARIA LOURDES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  <cell r="H541" t="str">
            <v>DISTRIBUIÇÃO</v>
          </cell>
          <cell r="I541" t="str">
            <v>FOOD SERVICE</v>
          </cell>
          <cell r="J541" t="str">
            <v>FLAC 2</v>
          </cell>
          <cell r="K541" t="str">
            <v>LACTALIS</v>
          </cell>
          <cell r="L541" t="str">
            <v>RODRIGO</v>
          </cell>
          <cell r="M541" t="str">
            <v>RAQUEL BARBOSA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  <cell r="H542" t="str">
            <v>DISTRIBUIÇÃO</v>
          </cell>
          <cell r="I542" t="str">
            <v>FOOD SERVICE</v>
          </cell>
          <cell r="J542" t="str">
            <v>FLAC 5</v>
          </cell>
          <cell r="K542" t="str">
            <v>LACTALIS</v>
          </cell>
          <cell r="L542" t="str">
            <v>RODRIGO</v>
          </cell>
          <cell r="M542" t="str">
            <v>RAQUEL BARBOSA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  <cell r="H543" t="str">
            <v>DISTRIBUIÇÃO</v>
          </cell>
          <cell r="I543" t="str">
            <v>FOOD SERVICE</v>
          </cell>
          <cell r="J543" t="str">
            <v>FLAC 2</v>
          </cell>
          <cell r="K543" t="str">
            <v>LACTALIS</v>
          </cell>
          <cell r="L543" t="str">
            <v>RODRIGO</v>
          </cell>
          <cell r="M543" t="str">
            <v>RAQUEL BARBOSA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  <cell r="H544" t="str">
            <v>DISTRIBUIÇÃO</v>
          </cell>
          <cell r="I544" t="str">
            <v>FOOD SERVICE</v>
          </cell>
          <cell r="J544" t="str">
            <v>FLAC 2</v>
          </cell>
          <cell r="K544" t="str">
            <v>LACTALIS</v>
          </cell>
          <cell r="L544" t="str">
            <v>RODRIGO</v>
          </cell>
          <cell r="M544" t="str">
            <v>RAQUEL BARBOSA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  <cell r="H545" t="str">
            <v>DISTRIBUIÇÃO</v>
          </cell>
          <cell r="I545" t="str">
            <v>FOOD SERVICE</v>
          </cell>
          <cell r="J545" t="str">
            <v>WH FOOD SERVICE CE</v>
          </cell>
          <cell r="K545" t="str">
            <v>ITAMBÉ</v>
          </cell>
          <cell r="L545" t="str">
            <v>RODRIGO</v>
          </cell>
          <cell r="M545" t="str">
            <v>MARIA LOURDES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  <cell r="H546" t="str">
            <v>DISTRIBUIÇÃO</v>
          </cell>
          <cell r="I546" t="str">
            <v>FOOD SERVICE</v>
          </cell>
          <cell r="J546" t="str">
            <v>FLAC 2</v>
          </cell>
          <cell r="K546" t="str">
            <v>LACTALIS</v>
          </cell>
          <cell r="L546" t="str">
            <v>RODRIGO</v>
          </cell>
          <cell r="M546" t="str">
            <v>RAQUEL BARBOSA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  <cell r="H547" t="str">
            <v>INGREDIENTS</v>
          </cell>
          <cell r="I547" t="str">
            <v>INGREDIENTS</v>
          </cell>
          <cell r="J547" t="str">
            <v>MARCELO RODRIGUES</v>
          </cell>
          <cell r="K547" t="str">
            <v>LACTALIS</v>
          </cell>
          <cell r="L547" t="str">
            <v>MAURICIO</v>
          </cell>
          <cell r="M547" t="str">
            <v>MARCELO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  <cell r="H548" t="str">
            <v>INGREDIENTS</v>
          </cell>
          <cell r="I548" t="str">
            <v>INGREDIENTS</v>
          </cell>
          <cell r="J548" t="str">
            <v>MARCELO RODRIGUES</v>
          </cell>
          <cell r="K548" t="str">
            <v>LACTALIS</v>
          </cell>
          <cell r="L548" t="str">
            <v>MAURICIO</v>
          </cell>
          <cell r="M548" t="str">
            <v>MARCELO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  <cell r="H549" t="str">
            <v>INGREDIENTS</v>
          </cell>
          <cell r="I549" t="str">
            <v>INGREDIENTS</v>
          </cell>
          <cell r="J549" t="str">
            <v>JOEL ELEOTÉRIO</v>
          </cell>
          <cell r="K549" t="str">
            <v>ITAMBÉ</v>
          </cell>
          <cell r="L549" t="str">
            <v>MAURICIO</v>
          </cell>
          <cell r="M549" t="str">
            <v>JOEL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  <cell r="H550" t="str">
            <v>OUTROS</v>
          </cell>
          <cell r="I550" t="str">
            <v>OUTROS</v>
          </cell>
          <cell r="J550" t="str">
            <v>E-COMMERCE</v>
          </cell>
          <cell r="K550" t="str">
            <v>OUTROS</v>
          </cell>
          <cell r="L550" t="str">
            <v>OUTROS</v>
          </cell>
          <cell r="M550" t="str">
            <v>E-COMMERCE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  <cell r="H551" t="str">
            <v>OUTROS</v>
          </cell>
          <cell r="I551" t="str">
            <v>OUTROS</v>
          </cell>
          <cell r="J551" t="str">
            <v>E-COMMERCE</v>
          </cell>
          <cell r="K551" t="str">
            <v>OUTROS</v>
          </cell>
          <cell r="L551" t="str">
            <v>OUTROS</v>
          </cell>
          <cell r="M551" t="str">
            <v>E-COMMERCE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  <cell r="H552" t="str">
            <v>OUTROS</v>
          </cell>
          <cell r="I552" t="str">
            <v>OUTROS</v>
          </cell>
          <cell r="J552" t="str">
            <v>E-COMMERCE</v>
          </cell>
          <cell r="K552" t="str">
            <v>OUTROS</v>
          </cell>
          <cell r="L552" t="str">
            <v>OUTROS</v>
          </cell>
          <cell r="M552" t="str">
            <v>E-COMMERCE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  <cell r="H553" t="str">
            <v>OUTROS</v>
          </cell>
          <cell r="I553" t="str">
            <v>OUTROS</v>
          </cell>
          <cell r="J553" t="str">
            <v>E-COMMERCE</v>
          </cell>
          <cell r="K553" t="str">
            <v>OUTROS</v>
          </cell>
          <cell r="L553" t="str">
            <v>OUTROS</v>
          </cell>
          <cell r="M553" t="str">
            <v>E-COMMERCE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  <cell r="H554" t="str">
            <v>OUTROS</v>
          </cell>
          <cell r="I554" t="str">
            <v>OUTROS</v>
          </cell>
          <cell r="J554" t="str">
            <v>E-COMMERCE</v>
          </cell>
          <cell r="K554" t="str">
            <v>OUTROS</v>
          </cell>
          <cell r="L554" t="str">
            <v>OUTROS</v>
          </cell>
          <cell r="M554" t="str">
            <v>E-COMMERCE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  <cell r="H555" t="str">
            <v>OUTROS</v>
          </cell>
          <cell r="I555" t="str">
            <v>OUTROS</v>
          </cell>
          <cell r="J555" t="str">
            <v>E-COMMERCE</v>
          </cell>
          <cell r="K555" t="str">
            <v>OUTROS</v>
          </cell>
          <cell r="L555" t="str">
            <v>OUTROS</v>
          </cell>
          <cell r="M555" t="str">
            <v>E-COMMERCE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  <cell r="H556" t="str">
            <v>OUTROS</v>
          </cell>
          <cell r="I556" t="str">
            <v>OUTROS</v>
          </cell>
          <cell r="J556" t="str">
            <v>E-COMMERCE</v>
          </cell>
          <cell r="K556" t="str">
            <v>OUTROS</v>
          </cell>
          <cell r="L556" t="str">
            <v>OUTROS</v>
          </cell>
          <cell r="M556" t="str">
            <v>E-COMMERCE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  <cell r="H557" t="str">
            <v>OUTROS</v>
          </cell>
          <cell r="I557" t="str">
            <v>OUTROS</v>
          </cell>
          <cell r="J557" t="str">
            <v>E-COMMERCE</v>
          </cell>
          <cell r="K557" t="str">
            <v>OUTROS</v>
          </cell>
          <cell r="L557" t="str">
            <v>OUTROS</v>
          </cell>
          <cell r="M557" t="str">
            <v>E-COMMERCE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  <cell r="H558" t="str">
            <v>OUTROS</v>
          </cell>
          <cell r="I558" t="str">
            <v>OUTROS</v>
          </cell>
          <cell r="J558" t="str">
            <v>E-COMMERCE</v>
          </cell>
          <cell r="K558" t="str">
            <v>OUTROS</v>
          </cell>
          <cell r="L558" t="str">
            <v>OUTROS</v>
          </cell>
          <cell r="M558" t="str">
            <v>E-COMMERCE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  <cell r="H559" t="str">
            <v>INGREDIENTS</v>
          </cell>
          <cell r="I559" t="str">
            <v>INGREDIENTS</v>
          </cell>
          <cell r="J559" t="str">
            <v>JOEL ELEOTÉRIO</v>
          </cell>
          <cell r="K559" t="str">
            <v>LACTALIS</v>
          </cell>
          <cell r="L559" t="str">
            <v>MAURICIO</v>
          </cell>
          <cell r="M559" t="str">
            <v>JOEL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  <cell r="H560" t="str">
            <v>INGREDIENTS</v>
          </cell>
          <cell r="I560" t="str">
            <v>INGREDIENTS</v>
          </cell>
          <cell r="J560" t="str">
            <v>JOEL ELEOTÉRIO</v>
          </cell>
          <cell r="K560" t="str">
            <v>ITAMBÉ</v>
          </cell>
          <cell r="L560" t="str">
            <v>MAURICIO</v>
          </cell>
          <cell r="M560" t="str">
            <v>JOEL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  <cell r="H561" t="str">
            <v>DISTRIBUIÇÃO</v>
          </cell>
          <cell r="I561" t="str">
            <v>FOOD SERVICE</v>
          </cell>
          <cell r="J561" t="str">
            <v>FLAC 3</v>
          </cell>
          <cell r="K561" t="str">
            <v>LACTALIS</v>
          </cell>
          <cell r="L561" t="str">
            <v>RODRIGO</v>
          </cell>
          <cell r="M561" t="str">
            <v>RAQUEL BARBOSA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  <cell r="H562" t="str">
            <v>INGREDIENTS</v>
          </cell>
          <cell r="I562" t="str">
            <v>INGREDIENTS</v>
          </cell>
          <cell r="J562" t="str">
            <v>HENRIQUE FERREIRA</v>
          </cell>
          <cell r="K562" t="str">
            <v>ITAMBÉ</v>
          </cell>
          <cell r="L562" t="str">
            <v>MAURICIO</v>
          </cell>
          <cell r="M562" t="str">
            <v>JOEL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  <cell r="H563" t="str">
            <v>DISTRIBUIÇÃO</v>
          </cell>
          <cell r="I563" t="str">
            <v>FOOD SERVICE</v>
          </cell>
          <cell r="J563" t="str">
            <v>MARCO AURELIO</v>
          </cell>
          <cell r="K563" t="str">
            <v>ITAMBÉ</v>
          </cell>
          <cell r="L563" t="str">
            <v>RODRIGO</v>
          </cell>
          <cell r="M563" t="str">
            <v>MARCO AURELIO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  <cell r="H564" t="str">
            <v>DISTRIBUIÇÃO</v>
          </cell>
          <cell r="I564" t="str">
            <v>FOOD SERVICE</v>
          </cell>
          <cell r="J564" t="str">
            <v>FLAC 3</v>
          </cell>
          <cell r="K564" t="str">
            <v>LACTALIS</v>
          </cell>
          <cell r="L564" t="str">
            <v>RODRIGO</v>
          </cell>
          <cell r="M564" t="str">
            <v>RAQUEL BARBOSA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  <cell r="H565" t="str">
            <v>DISTRIBUIÇÃO</v>
          </cell>
          <cell r="I565" t="str">
            <v>FOOD SERVICE</v>
          </cell>
          <cell r="J565" t="str">
            <v>FLAC 3</v>
          </cell>
          <cell r="K565" t="str">
            <v>LACTALIS</v>
          </cell>
          <cell r="L565" t="str">
            <v>RODRIGO</v>
          </cell>
          <cell r="M565" t="str">
            <v>RAQUEL BARBOSA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  <cell r="H566" t="str">
            <v>DISTRIBUIÇÃO</v>
          </cell>
          <cell r="I566" t="str">
            <v>FOOD SERVICE</v>
          </cell>
          <cell r="J566" t="str">
            <v>VAGO SP</v>
          </cell>
          <cell r="K566" t="str">
            <v>ITAMBÉ</v>
          </cell>
          <cell r="L566" t="str">
            <v>RODRIGO</v>
          </cell>
          <cell r="M566" t="str">
            <v>RAQUEL BARBOSA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  <cell r="H567" t="str">
            <v>QSR</v>
          </cell>
          <cell r="I567" t="str">
            <v>FOOD SERVICE</v>
          </cell>
          <cell r="J567" t="str">
            <v>NUTRI</v>
          </cell>
          <cell r="K567" t="str">
            <v>LACTALIS</v>
          </cell>
          <cell r="L567" t="str">
            <v>PEDRO</v>
          </cell>
          <cell r="M567" t="str">
            <v>VAGO QSR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  <cell r="H568" t="str">
            <v>DISTRIBUIÇÃO</v>
          </cell>
          <cell r="I568" t="str">
            <v>FOOD SERVICE</v>
          </cell>
          <cell r="J568" t="str">
            <v>FLAC 6</v>
          </cell>
          <cell r="K568" t="str">
            <v>LACTALIS</v>
          </cell>
          <cell r="L568" t="str">
            <v>RODRIGO</v>
          </cell>
          <cell r="M568" t="str">
            <v>RAQUEL BARBOSA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  <cell r="H569" t="str">
            <v>DISTRIBUIÇÃO</v>
          </cell>
          <cell r="I569" t="str">
            <v>FOOD SERVICE</v>
          </cell>
          <cell r="J569" t="str">
            <v>VAGO SP</v>
          </cell>
          <cell r="K569" t="str">
            <v>LACTALIS</v>
          </cell>
          <cell r="L569" t="str">
            <v>RODRIGO</v>
          </cell>
          <cell r="M569" t="str">
            <v>RAQUEL BARBOSA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  <cell r="H570" t="str">
            <v>DISTRIBUIÇÃO</v>
          </cell>
          <cell r="I570" t="str">
            <v>FOOD SERVICE</v>
          </cell>
          <cell r="J570" t="str">
            <v>VAGO SP</v>
          </cell>
          <cell r="K570" t="str">
            <v>ITAMBÉ</v>
          </cell>
          <cell r="L570" t="str">
            <v>RODRIGO</v>
          </cell>
          <cell r="M570" t="str">
            <v>RAQUEL BARBOSA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  <cell r="H571" t="str">
            <v>INGREDIENTS</v>
          </cell>
          <cell r="I571" t="str">
            <v>INGREDIENTS</v>
          </cell>
          <cell r="J571" t="str">
            <v>MARCELO RODRIGUES</v>
          </cell>
          <cell r="K571" t="str">
            <v>ITAMBÉ</v>
          </cell>
          <cell r="L571" t="str">
            <v>MAURICIO</v>
          </cell>
          <cell r="M571" t="str">
            <v>MARCELO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  <cell r="H572" t="str">
            <v>QSR</v>
          </cell>
          <cell r="I572" t="str">
            <v>FOOD SERVICE</v>
          </cell>
          <cell r="J572" t="str">
            <v>ANA MENIQUETE</v>
          </cell>
          <cell r="K572" t="str">
            <v>LACTALIS</v>
          </cell>
          <cell r="L572" t="str">
            <v>PEDRO</v>
          </cell>
          <cell r="M572" t="str">
            <v>ANA MENIQUETE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  <cell r="H573" t="str">
            <v>QSR</v>
          </cell>
          <cell r="I573" t="str">
            <v>FOOD SERVICE</v>
          </cell>
          <cell r="J573" t="str">
            <v>NUTRI</v>
          </cell>
          <cell r="K573" t="str">
            <v>LACTALIS</v>
          </cell>
          <cell r="L573" t="str">
            <v>PEDRO</v>
          </cell>
          <cell r="M573" t="str">
            <v>VAGO QSR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  <cell r="H574" t="str">
            <v>DISTRIBUIÇÃO</v>
          </cell>
          <cell r="I574" t="str">
            <v>FOOD SERVICE</v>
          </cell>
          <cell r="J574" t="str">
            <v>WH FOOD SERVICE CE</v>
          </cell>
          <cell r="K574" t="str">
            <v>ITAMBÉ</v>
          </cell>
          <cell r="L574" t="str">
            <v>RODRIGO</v>
          </cell>
          <cell r="M574" t="str">
            <v>MARIA LOURDES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  <cell r="H575" t="str">
            <v>DISTRIBUIÇÃO</v>
          </cell>
          <cell r="I575" t="str">
            <v>FOOD SERVICE</v>
          </cell>
          <cell r="J575" t="str">
            <v>FLAC 6</v>
          </cell>
          <cell r="K575" t="str">
            <v>LACTALIS</v>
          </cell>
          <cell r="L575" t="str">
            <v>RODRIGO</v>
          </cell>
          <cell r="M575" t="str">
            <v>RAQUEL BARBOSA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  <cell r="H576" t="str">
            <v>DISTRIBUIÇÃO</v>
          </cell>
          <cell r="I576" t="str">
            <v>FOOD SERVICE</v>
          </cell>
          <cell r="J576" t="str">
            <v>CLAUDIO JORGE/LUIZ</v>
          </cell>
          <cell r="K576" t="str">
            <v>ITAMBÉ</v>
          </cell>
          <cell r="L576" t="str">
            <v>RODRIGO</v>
          </cell>
          <cell r="M576" t="str">
            <v>MARIA LOURDES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  <cell r="H577" t="str">
            <v>INGREDIENTS</v>
          </cell>
          <cell r="I577" t="str">
            <v>INGREDIENTS</v>
          </cell>
          <cell r="J577" t="str">
            <v>DUAS RODAS</v>
          </cell>
          <cell r="K577" t="str">
            <v>ITAMBÉ</v>
          </cell>
          <cell r="L577" t="str">
            <v>MAURICIO</v>
          </cell>
          <cell r="M577" t="str">
            <v>MARCELO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  <cell r="H578" t="str">
            <v>OUTROS</v>
          </cell>
          <cell r="I578" t="str">
            <v>OUTROS</v>
          </cell>
          <cell r="J578" t="str">
            <v>ITAMBE - EXPORTACAO</v>
          </cell>
          <cell r="K578" t="str">
            <v>OUTROS</v>
          </cell>
          <cell r="L578" t="str">
            <v>OUTROS</v>
          </cell>
          <cell r="M578" t="str">
            <v>EXPORTAÇÃO</v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  <cell r="H579" t="str">
            <v>DISTRIBUIÇÃO</v>
          </cell>
          <cell r="I579" t="str">
            <v>FOOD SERVICE</v>
          </cell>
          <cell r="J579" t="str">
            <v>FLAC 2</v>
          </cell>
          <cell r="K579" t="str">
            <v>LACTALIS</v>
          </cell>
          <cell r="L579" t="str">
            <v>RODRIGO</v>
          </cell>
          <cell r="M579" t="str">
            <v>RAQUEL BARBOSA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  <cell r="H580" t="str">
            <v>DISTRIBUIÇÃO</v>
          </cell>
          <cell r="I580" t="str">
            <v>FOOD SERVICE</v>
          </cell>
          <cell r="J580" t="str">
            <v>VAGO SP</v>
          </cell>
          <cell r="K580" t="str">
            <v>LACTALIS</v>
          </cell>
          <cell r="L580" t="str">
            <v>RODRIGO</v>
          </cell>
          <cell r="M580" t="str">
            <v>RAQUEL BARBOSA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  <cell r="H581" t="str">
            <v>DISTRIBUIÇÃO</v>
          </cell>
          <cell r="I581" t="str">
            <v>FOOD SERVICE</v>
          </cell>
          <cell r="J581" t="str">
            <v>MARCO AURELIO</v>
          </cell>
          <cell r="K581" t="str">
            <v>ITAMBÉ</v>
          </cell>
          <cell r="L581" t="str">
            <v>RODRIGO</v>
          </cell>
          <cell r="M581" t="str">
            <v>MARCO AURELIO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  <cell r="H582" t="str">
            <v>QSR</v>
          </cell>
          <cell r="I582" t="str">
            <v>FOOD SERVICE</v>
          </cell>
          <cell r="J582" t="str">
            <v>NUTRI</v>
          </cell>
          <cell r="K582" t="str">
            <v>LACTALIS</v>
          </cell>
          <cell r="L582" t="str">
            <v>PEDRO</v>
          </cell>
          <cell r="M582" t="str">
            <v>VAGO QSR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  <cell r="H583" t="str">
            <v>QSR</v>
          </cell>
          <cell r="I583" t="str">
            <v>FOOD SERVICE</v>
          </cell>
          <cell r="J583" t="str">
            <v>ANA MENIQUETE</v>
          </cell>
          <cell r="K583" t="str">
            <v>ITAMBÉ</v>
          </cell>
          <cell r="L583" t="str">
            <v>PEDRO</v>
          </cell>
          <cell r="M583" t="str">
            <v>ANA MENIQUETE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  <cell r="H584" t="str">
            <v>QSR</v>
          </cell>
          <cell r="I584" t="str">
            <v>FOOD SERVICE</v>
          </cell>
          <cell r="J584" t="str">
            <v>ANA MENIQUETE</v>
          </cell>
          <cell r="K584" t="str">
            <v>LACTALIS</v>
          </cell>
          <cell r="L584" t="str">
            <v>PEDRO</v>
          </cell>
          <cell r="M584" t="str">
            <v>ANA MENIQUETE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  <cell r="H585" t="str">
            <v>QSR</v>
          </cell>
          <cell r="I585" t="str">
            <v>FOOD SERVICE</v>
          </cell>
          <cell r="J585" t="str">
            <v>ANA MENIQUETE</v>
          </cell>
          <cell r="K585" t="str">
            <v>LACTALIS</v>
          </cell>
          <cell r="L585" t="str">
            <v>PEDRO</v>
          </cell>
          <cell r="M585" t="str">
            <v>ANA MENIQUETE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  <cell r="H586" t="str">
            <v>DISTRIBUIÇÃO</v>
          </cell>
          <cell r="I586" t="str">
            <v>FOOD SERVICE</v>
          </cell>
          <cell r="J586" t="str">
            <v>CLAUDIO JORGE/LUIZ</v>
          </cell>
          <cell r="K586" t="str">
            <v>ITAMBÉ</v>
          </cell>
          <cell r="L586" t="str">
            <v>RODRIGO</v>
          </cell>
          <cell r="M586" t="str">
            <v>MARIA LOURDES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  <cell r="H587" t="str">
            <v>INGREDIENTS</v>
          </cell>
          <cell r="I587" t="str">
            <v>INGREDIENTS</v>
          </cell>
          <cell r="J587" t="str">
            <v>MARCELO RODRIGUES</v>
          </cell>
          <cell r="K587" t="str">
            <v>ITAMBÉ</v>
          </cell>
          <cell r="L587" t="str">
            <v>MAURICIO</v>
          </cell>
          <cell r="M587" t="str">
            <v>MARCELO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  <cell r="H588" t="str">
            <v>DISTRIBUIÇÃO</v>
          </cell>
          <cell r="I588" t="str">
            <v>FOOD SERVICE</v>
          </cell>
          <cell r="J588" t="str">
            <v>CLAUDIO JORGE/LUIZ</v>
          </cell>
          <cell r="K588" t="str">
            <v>ITAMBÉ</v>
          </cell>
          <cell r="L588" t="str">
            <v>RODRIGO</v>
          </cell>
          <cell r="M588" t="str">
            <v>MARIA LOURDES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  <cell r="H589" t="str">
            <v>DISTRIBUIÇÃO</v>
          </cell>
          <cell r="I589" t="str">
            <v>FOOD SERVICE</v>
          </cell>
          <cell r="J589" t="str">
            <v>CLAUDIO JORGE/LUIZ</v>
          </cell>
          <cell r="K589" t="str">
            <v>ITAMBÉ</v>
          </cell>
          <cell r="L589" t="str">
            <v>RODRIGO</v>
          </cell>
          <cell r="M589" t="str">
            <v>MARIA LOURDES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  <cell r="H590" t="str">
            <v>DISTRIBUIÇÃO</v>
          </cell>
          <cell r="I590" t="str">
            <v>FOOD SERVICE</v>
          </cell>
          <cell r="J590" t="str">
            <v>FLAC 6</v>
          </cell>
          <cell r="K590" t="str">
            <v>LACTALIS</v>
          </cell>
          <cell r="L590" t="str">
            <v>RODRIGO</v>
          </cell>
          <cell r="M590" t="str">
            <v>RAQUEL BARBOSA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  <cell r="H591" t="str">
            <v>DISTRIBUIÇÃO</v>
          </cell>
          <cell r="I591" t="str">
            <v>FOOD SERVICE</v>
          </cell>
          <cell r="J591" t="str">
            <v>FLAC 6</v>
          </cell>
          <cell r="K591" t="str">
            <v>LACTALIS</v>
          </cell>
          <cell r="L591" t="str">
            <v>RODRIGO</v>
          </cell>
          <cell r="M591" t="str">
            <v>RAQUEL BARBOSA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  <cell r="H592" t="str">
            <v>INGREDIENTS</v>
          </cell>
          <cell r="I592" t="str">
            <v>INGREDIENTS</v>
          </cell>
          <cell r="J592" t="str">
            <v>MARCELO RODRIGUES</v>
          </cell>
          <cell r="K592" t="str">
            <v>LACTALIS</v>
          </cell>
          <cell r="L592" t="str">
            <v>MAURICIO</v>
          </cell>
          <cell r="M592" t="str">
            <v>MARCELO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  <cell r="H593" t="str">
            <v>DISTRIBUIÇÃO</v>
          </cell>
          <cell r="I593" t="str">
            <v>FOOD SERVICE</v>
          </cell>
          <cell r="J593" t="str">
            <v>FLAC 6</v>
          </cell>
          <cell r="K593" t="str">
            <v>LACTALIS</v>
          </cell>
          <cell r="L593" t="str">
            <v>RODRIGO</v>
          </cell>
          <cell r="M593" t="str">
            <v>RAQUEL BARBOSA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  <cell r="H594" t="str">
            <v>DISTRIBUIÇÃO</v>
          </cell>
          <cell r="I594" t="str">
            <v>FOOD SERVICE</v>
          </cell>
          <cell r="J594" t="str">
            <v>CLAUDIO JORGE</v>
          </cell>
          <cell r="K594" t="str">
            <v>ITAMBÉ</v>
          </cell>
          <cell r="L594" t="str">
            <v>RODRIGO</v>
          </cell>
          <cell r="M594" t="str">
            <v>MARIA LOURDES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  <cell r="H595" t="str">
            <v>DISTRIBUIÇÃO</v>
          </cell>
          <cell r="I595" t="str">
            <v>FOOD SERVICE</v>
          </cell>
          <cell r="J595" t="str">
            <v>FLAC 7</v>
          </cell>
          <cell r="K595" t="str">
            <v>LACTALIS</v>
          </cell>
          <cell r="L595" t="str">
            <v>RODRIGO</v>
          </cell>
          <cell r="M595" t="str">
            <v>RAQUEL BARBOSA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  <cell r="H596" t="str">
            <v>DISTRIBUIÇÃO</v>
          </cell>
          <cell r="I596" t="str">
            <v>FOOD SERVICE</v>
          </cell>
          <cell r="J596" t="str">
            <v>FLAC 6</v>
          </cell>
          <cell r="K596" t="str">
            <v>LACTALIS</v>
          </cell>
          <cell r="L596" t="str">
            <v>RODRIGO</v>
          </cell>
          <cell r="M596" t="str">
            <v>RAQUEL BARBOSA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  <cell r="H597" t="str">
            <v>OUTROS</v>
          </cell>
          <cell r="I597" t="str">
            <v>OUTROS</v>
          </cell>
          <cell r="J597" t="str">
            <v>ITAMBE - EXPORTACAO</v>
          </cell>
          <cell r="K597" t="str">
            <v>OUTROS</v>
          </cell>
          <cell r="L597" t="str">
            <v>OUTROS</v>
          </cell>
          <cell r="M597" t="str">
            <v>EXPORTAÇÃO</v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  <cell r="H598" t="str">
            <v>DISTRIBUIÇÃO</v>
          </cell>
          <cell r="I598" t="str">
            <v>FOOD SERVICE</v>
          </cell>
          <cell r="J598" t="str">
            <v>ANGELICA BATISTELA</v>
          </cell>
          <cell r="K598" t="str">
            <v>ITAMBÉ</v>
          </cell>
          <cell r="L598" t="str">
            <v>RODRIGO</v>
          </cell>
          <cell r="M598" t="str">
            <v>ANGELICA BATISTELA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  <cell r="H599" t="str">
            <v>DISTRIBUIÇÃO</v>
          </cell>
          <cell r="I599" t="str">
            <v>FOOD SERVICE</v>
          </cell>
          <cell r="J599" t="str">
            <v>FLAC 3</v>
          </cell>
          <cell r="K599" t="str">
            <v>LACTALIS</v>
          </cell>
          <cell r="L599" t="str">
            <v>RODRIGO</v>
          </cell>
          <cell r="M599" t="str">
            <v>RAQUEL BARBOSA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  <cell r="H600" t="str">
            <v>DISTRIBUIÇÃO</v>
          </cell>
          <cell r="I600" t="str">
            <v>FOOD SERVICE</v>
          </cell>
          <cell r="J600" t="str">
            <v>FLAC 6</v>
          </cell>
          <cell r="K600" t="str">
            <v>LACTALIS</v>
          </cell>
          <cell r="L600" t="str">
            <v>RODRIGO</v>
          </cell>
          <cell r="M600" t="str">
            <v>RAQUEL BARBOSA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  <cell r="H601" t="str">
            <v>DISTRIBUIÇÃO</v>
          </cell>
          <cell r="I601" t="str">
            <v>FOOD SERVICE</v>
          </cell>
          <cell r="J601" t="str">
            <v>FLAC 6</v>
          </cell>
          <cell r="K601" t="str">
            <v>LACTALIS</v>
          </cell>
          <cell r="L601" t="str">
            <v>RODRIGO</v>
          </cell>
          <cell r="M601" t="str">
            <v>RAQUEL BARBOSA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  <cell r="H602" t="str">
            <v>DISTRIBUIÇÃO</v>
          </cell>
          <cell r="I602" t="str">
            <v>FOOD SERVICE</v>
          </cell>
          <cell r="J602" t="str">
            <v>FLAC 2</v>
          </cell>
          <cell r="K602" t="str">
            <v>LACTALIS</v>
          </cell>
          <cell r="L602" t="str">
            <v>RODRIGO</v>
          </cell>
          <cell r="M602" t="str">
            <v>RAQUEL BARBOSA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  <cell r="H603" t="str">
            <v>DISTRIBUIÇÃO</v>
          </cell>
          <cell r="I603" t="str">
            <v>FOOD SERVICE</v>
          </cell>
          <cell r="J603" t="str">
            <v>FLAC 6</v>
          </cell>
          <cell r="K603" t="str">
            <v>LACTALIS</v>
          </cell>
          <cell r="L603" t="str">
            <v>RODRIGO</v>
          </cell>
          <cell r="M603" t="str">
            <v>RAQUEL BARBOSA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  <cell r="H604" t="str">
            <v>INGREDIENTS</v>
          </cell>
          <cell r="I604" t="str">
            <v>INGREDIENTS</v>
          </cell>
          <cell r="J604" t="str">
            <v>JOEL ELEOTÉRIO</v>
          </cell>
          <cell r="K604" t="str">
            <v>ITAMBÉ</v>
          </cell>
          <cell r="L604" t="str">
            <v>MAURICIO</v>
          </cell>
          <cell r="M604" t="str">
            <v>JOEL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  <cell r="H605" t="str">
            <v>DISTRIBUIÇÃO</v>
          </cell>
          <cell r="I605" t="str">
            <v>FOOD SERVICE</v>
          </cell>
          <cell r="J605" t="str">
            <v>ANGELICA BATISTELA</v>
          </cell>
          <cell r="K605" t="str">
            <v>ITAMBÉ</v>
          </cell>
          <cell r="L605" t="str">
            <v>RODRIGO</v>
          </cell>
          <cell r="M605" t="str">
            <v>ANGELICA BATISTELA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  <cell r="H606" t="str">
            <v>DISTRIBUIÇÃO</v>
          </cell>
          <cell r="I606" t="str">
            <v>FOOD SERVICE</v>
          </cell>
          <cell r="J606" t="str">
            <v>FLAC 2</v>
          </cell>
          <cell r="K606" t="str">
            <v>LACTALIS</v>
          </cell>
          <cell r="L606" t="str">
            <v>RODRIGO</v>
          </cell>
          <cell r="M606" t="str">
            <v>RAQUEL BARBOSA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  <cell r="H607" t="str">
            <v>DISTRIBUIÇÃO</v>
          </cell>
          <cell r="I607" t="str">
            <v>FOOD SERVICE</v>
          </cell>
          <cell r="J607" t="str">
            <v>MARCO AURELIO</v>
          </cell>
          <cell r="K607" t="str">
            <v>ITAMBÉ</v>
          </cell>
          <cell r="L607" t="str">
            <v>RODRIGO</v>
          </cell>
          <cell r="M607" t="str">
            <v>MARCO AURELIO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  <cell r="H608" t="str">
            <v>DISTRIBUIÇÃO</v>
          </cell>
          <cell r="I608" t="str">
            <v>FOOD SERVICE</v>
          </cell>
          <cell r="J608" t="str">
            <v>MARCELO DUARTE</v>
          </cell>
          <cell r="K608" t="str">
            <v>ITAMBÉ</v>
          </cell>
          <cell r="L608" t="str">
            <v>RODRIGO</v>
          </cell>
          <cell r="M608" t="str">
            <v>JESSICA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  <cell r="H609" t="str">
            <v>QSR</v>
          </cell>
          <cell r="I609" t="str">
            <v>FOOD SERVICE</v>
          </cell>
          <cell r="J609" t="str">
            <v>NUTRI</v>
          </cell>
          <cell r="K609" t="str">
            <v>ITAMBÉ</v>
          </cell>
          <cell r="L609" t="str">
            <v>PEDRO</v>
          </cell>
          <cell r="M609" t="str">
            <v>VAGO QSR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  <cell r="H610" t="str">
            <v>QSR</v>
          </cell>
          <cell r="I610" t="str">
            <v>FOOD SERVICE</v>
          </cell>
          <cell r="J610" t="str">
            <v>NUTRI</v>
          </cell>
          <cell r="K610" t="str">
            <v>ITAMBÉ</v>
          </cell>
          <cell r="L610" t="str">
            <v>PEDRO</v>
          </cell>
          <cell r="M610" t="str">
            <v>VAGO QSR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  <cell r="H611" t="str">
            <v>QSR</v>
          </cell>
          <cell r="I611" t="str">
            <v>FOOD SERVICE</v>
          </cell>
          <cell r="J611" t="str">
            <v>NUTRI</v>
          </cell>
          <cell r="K611" t="str">
            <v>ITAMBÉ</v>
          </cell>
          <cell r="L611" t="str">
            <v>PEDRO</v>
          </cell>
          <cell r="M611" t="str">
            <v>VAGO QSR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  <cell r="H612" t="str">
            <v>QSR</v>
          </cell>
          <cell r="I612" t="str">
            <v>FOOD SERVICE</v>
          </cell>
          <cell r="J612" t="str">
            <v>NUTRI</v>
          </cell>
          <cell r="K612" t="str">
            <v>ITAMBÉ</v>
          </cell>
          <cell r="L612" t="str">
            <v>PEDRO</v>
          </cell>
          <cell r="M612" t="str">
            <v>VAGO QSR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  <cell r="H613" t="str">
            <v>QSR</v>
          </cell>
          <cell r="I613" t="str">
            <v>FOOD SERVICE</v>
          </cell>
          <cell r="J613" t="str">
            <v>NUTRI</v>
          </cell>
          <cell r="K613" t="str">
            <v>ITAMBÉ</v>
          </cell>
          <cell r="L613" t="str">
            <v>PEDRO</v>
          </cell>
          <cell r="M613" t="str">
            <v>VAGO QSR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  <cell r="H614" t="str">
            <v>QSR</v>
          </cell>
          <cell r="I614" t="str">
            <v>FOOD SERVICE</v>
          </cell>
          <cell r="J614" t="str">
            <v>NUTRI</v>
          </cell>
          <cell r="K614" t="str">
            <v>ITAMBÉ</v>
          </cell>
          <cell r="L614" t="str">
            <v>PEDRO</v>
          </cell>
          <cell r="M614" t="str">
            <v>VAGO QSR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  <cell r="H615" t="str">
            <v>QSR</v>
          </cell>
          <cell r="I615" t="str">
            <v>FOOD SERVICE</v>
          </cell>
          <cell r="J615" t="str">
            <v>NUTRI</v>
          </cell>
          <cell r="K615" t="str">
            <v>ITAMBÉ</v>
          </cell>
          <cell r="L615" t="str">
            <v>PEDRO</v>
          </cell>
          <cell r="M615" t="str">
            <v>VAGO QSR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  <cell r="H616" t="str">
            <v>QSR</v>
          </cell>
          <cell r="I616" t="str">
            <v>FOOD SERVICE</v>
          </cell>
          <cell r="J616" t="str">
            <v>NUTRI</v>
          </cell>
          <cell r="K616" t="str">
            <v>ITAMBÉ</v>
          </cell>
          <cell r="L616" t="str">
            <v>PEDRO</v>
          </cell>
          <cell r="M616" t="str">
            <v>VAGO QSR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  <cell r="H617" t="str">
            <v>QSR</v>
          </cell>
          <cell r="I617" t="str">
            <v>FOOD SERVICE</v>
          </cell>
          <cell r="J617" t="str">
            <v>NUTRI</v>
          </cell>
          <cell r="K617" t="str">
            <v>LACTALIS</v>
          </cell>
          <cell r="L617" t="str">
            <v>PEDRO</v>
          </cell>
          <cell r="M617" t="str">
            <v>VAGO QSR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  <cell r="H618" t="str">
            <v>QSR</v>
          </cell>
          <cell r="I618" t="str">
            <v>FOOD SERVICE</v>
          </cell>
          <cell r="J618" t="str">
            <v>NUTRI</v>
          </cell>
          <cell r="K618" t="str">
            <v>LACTALIS</v>
          </cell>
          <cell r="L618" t="str">
            <v>PEDRO</v>
          </cell>
          <cell r="M618" t="str">
            <v>VAGO QSR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  <cell r="H619" t="str">
            <v>DISTRIBUIÇÃO</v>
          </cell>
          <cell r="I619" t="str">
            <v>FOOD SERVICE</v>
          </cell>
          <cell r="J619" t="str">
            <v>FLAC 6</v>
          </cell>
          <cell r="K619" t="str">
            <v>LACTALIS</v>
          </cell>
          <cell r="L619" t="str">
            <v>RODRIGO</v>
          </cell>
          <cell r="M619" t="str">
            <v>RAQUEL BARBOSA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  <cell r="H620" t="str">
            <v>OUTROS</v>
          </cell>
          <cell r="I620" t="str">
            <v>OUTROS</v>
          </cell>
          <cell r="J620" t="str">
            <v>INTERCOMPANY EXP</v>
          </cell>
          <cell r="K620" t="str">
            <v>OUTROS</v>
          </cell>
          <cell r="L620" t="str">
            <v>OUTROS</v>
          </cell>
          <cell r="M620" t="str">
            <v>INTERCOMPANY</v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  <cell r="H621" t="str">
            <v>QSR</v>
          </cell>
          <cell r="I621" t="str">
            <v>FOOD SERVICE</v>
          </cell>
          <cell r="J621" t="str">
            <v>NUTRI</v>
          </cell>
          <cell r="K621" t="str">
            <v>ITAMBÉ</v>
          </cell>
          <cell r="L621" t="str">
            <v>PEDRO</v>
          </cell>
          <cell r="M621" t="str">
            <v>VAGO QSR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  <cell r="H622" t="str">
            <v>QSR</v>
          </cell>
          <cell r="I622" t="str">
            <v>FOOD SERVICE</v>
          </cell>
          <cell r="J622" t="str">
            <v>NUTRI</v>
          </cell>
          <cell r="K622" t="str">
            <v>LACTALIS</v>
          </cell>
          <cell r="L622" t="str">
            <v>PEDRO</v>
          </cell>
          <cell r="M622" t="str">
            <v>VAGO QSR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  <cell r="H623" t="str">
            <v>QSR</v>
          </cell>
          <cell r="I623" t="str">
            <v>FOOD SERVICE</v>
          </cell>
          <cell r="J623" t="str">
            <v>NUTRI</v>
          </cell>
          <cell r="K623" t="str">
            <v>LACTALIS</v>
          </cell>
          <cell r="L623" t="str">
            <v>PEDRO</v>
          </cell>
          <cell r="M623" t="str">
            <v>VAGO QSR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  <cell r="H624" t="str">
            <v>DISTRIBUIÇÃO</v>
          </cell>
          <cell r="I624" t="str">
            <v>FOOD SERVICE</v>
          </cell>
          <cell r="J624" t="str">
            <v>FLAC 4</v>
          </cell>
          <cell r="K624" t="str">
            <v>LACTALIS</v>
          </cell>
          <cell r="L624" t="str">
            <v>RODRIGO</v>
          </cell>
          <cell r="M624" t="str">
            <v>RAQUEL BARBOSA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  <cell r="H625" t="str">
            <v>DISTRIBUIÇÃO</v>
          </cell>
          <cell r="I625" t="str">
            <v>FOOD SERVICE</v>
          </cell>
          <cell r="J625" t="str">
            <v>VAGO SP</v>
          </cell>
          <cell r="K625" t="str">
            <v>ITAMBÉ</v>
          </cell>
          <cell r="L625" t="str">
            <v>RODRIGO</v>
          </cell>
          <cell r="M625" t="str">
            <v>RAQUEL BARBOSA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  <cell r="H626" t="str">
            <v>DISTRIBUIÇÃO</v>
          </cell>
          <cell r="I626" t="str">
            <v>FOOD SERVICE</v>
          </cell>
          <cell r="J626" t="str">
            <v>FLAC 6</v>
          </cell>
          <cell r="K626" t="str">
            <v>LACTALIS</v>
          </cell>
          <cell r="L626" t="str">
            <v>RODRIGO</v>
          </cell>
          <cell r="M626" t="str">
            <v>RAQUEL BARBOSA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  <cell r="H627" t="str">
            <v>DISTRIBUIÇÃO</v>
          </cell>
          <cell r="I627" t="str">
            <v>FOOD SERVICE</v>
          </cell>
          <cell r="J627" t="str">
            <v>FLAC 6</v>
          </cell>
          <cell r="K627" t="str">
            <v>LACTALIS</v>
          </cell>
          <cell r="L627" t="str">
            <v>RODRIGO</v>
          </cell>
          <cell r="M627" t="str">
            <v>RAQUEL BARBOSA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  <cell r="H628" t="str">
            <v>INGREDIENTS</v>
          </cell>
          <cell r="I628" t="str">
            <v>INGREDIENTS</v>
          </cell>
          <cell r="J628" t="str">
            <v>JOEL ELEOTÉRIO</v>
          </cell>
          <cell r="K628" t="str">
            <v>LACTALIS</v>
          </cell>
          <cell r="L628" t="str">
            <v>MAURICIO</v>
          </cell>
          <cell r="M628" t="str">
            <v>JOEL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  <cell r="H629" t="str">
            <v>DISTRIBUIÇÃO</v>
          </cell>
          <cell r="I629" t="str">
            <v>FOOD SERVICE</v>
          </cell>
          <cell r="J629" t="str">
            <v>FLAC 6</v>
          </cell>
          <cell r="K629" t="str">
            <v>LACTALIS</v>
          </cell>
          <cell r="L629" t="str">
            <v>RODRIGO</v>
          </cell>
          <cell r="M629" t="str">
            <v>RAQUEL BARBOSA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  <cell r="H630" t="str">
            <v>DISTRIBUIÇÃO</v>
          </cell>
          <cell r="I630" t="str">
            <v>FOOD SERVICE</v>
          </cell>
          <cell r="J630" t="str">
            <v>FLAC 5</v>
          </cell>
          <cell r="K630" t="str">
            <v>LACTALIS</v>
          </cell>
          <cell r="L630" t="str">
            <v>RODRIGO</v>
          </cell>
          <cell r="M630" t="str">
            <v>RAQUEL BARBOSA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  <cell r="H631" t="str">
            <v>DISTRIBUIÇÃO</v>
          </cell>
          <cell r="I631" t="str">
            <v>FOOD SERVICE</v>
          </cell>
          <cell r="J631" t="str">
            <v>FLAC 6</v>
          </cell>
          <cell r="K631" t="str">
            <v>LACTALIS</v>
          </cell>
          <cell r="L631" t="str">
            <v>RODRIGO</v>
          </cell>
          <cell r="M631" t="str">
            <v>RAQUEL BARBOSA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  <cell r="H632" t="str">
            <v>DISTRIBUIÇÃO</v>
          </cell>
          <cell r="I632" t="str">
            <v>FOOD SERVICE</v>
          </cell>
          <cell r="J632" t="str">
            <v>WH FOOD SERVICE CE</v>
          </cell>
          <cell r="K632" t="str">
            <v>ITAMBÉ</v>
          </cell>
          <cell r="L632" t="str">
            <v>RODRIGO</v>
          </cell>
          <cell r="M632" t="str">
            <v>MARIA LOURDES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  <cell r="H633" t="str">
            <v>DISTRIBUIÇÃO</v>
          </cell>
          <cell r="I633" t="str">
            <v>FOOD SERVICE</v>
          </cell>
          <cell r="J633" t="str">
            <v>WH FOOD SERVICE CE</v>
          </cell>
          <cell r="K633" t="str">
            <v>ITAMBÉ</v>
          </cell>
          <cell r="L633" t="str">
            <v>RODRIGO</v>
          </cell>
          <cell r="M633" t="str">
            <v>MARIA LOURDES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  <cell r="H634" t="str">
            <v>DISTRIBUIÇÃO</v>
          </cell>
          <cell r="I634" t="str">
            <v>FOOD SERVICE</v>
          </cell>
          <cell r="J634" t="str">
            <v>MARCELO DUARTE</v>
          </cell>
          <cell r="K634" t="str">
            <v>ITAMBÉ</v>
          </cell>
          <cell r="L634" t="str">
            <v>RODRIGO</v>
          </cell>
          <cell r="M634" t="str">
            <v>JESSICA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  <cell r="H635" t="str">
            <v>DISTRIBUIÇÃO</v>
          </cell>
          <cell r="I635" t="str">
            <v>FOOD SERVICE</v>
          </cell>
          <cell r="J635" t="str">
            <v>FLAC 6</v>
          </cell>
          <cell r="K635" t="str">
            <v>LACTALIS</v>
          </cell>
          <cell r="L635" t="str">
            <v>RODRIGO</v>
          </cell>
          <cell r="M635" t="str">
            <v>RAQUEL BARBOSA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  <cell r="H636" t="str">
            <v>QSR</v>
          </cell>
          <cell r="I636" t="str">
            <v>FOOD SERVICE</v>
          </cell>
          <cell r="J636" t="str">
            <v>NUTRI</v>
          </cell>
          <cell r="K636" t="str">
            <v>LACTALIS</v>
          </cell>
          <cell r="L636" t="str">
            <v>PEDRO</v>
          </cell>
          <cell r="M636" t="str">
            <v>VAGO QSR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  <cell r="H637" t="str">
            <v>INGREDIENTS</v>
          </cell>
          <cell r="I637" t="str">
            <v>INGREDIENTS</v>
          </cell>
          <cell r="J637" t="str">
            <v>DUAS RODAS</v>
          </cell>
          <cell r="K637" t="str">
            <v>ITAMBÉ</v>
          </cell>
          <cell r="L637" t="str">
            <v>MAURICIO</v>
          </cell>
          <cell r="M637" t="str">
            <v>TATIANA NITTA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  <cell r="H638" t="str">
            <v>DISTRIBUIÇÃO</v>
          </cell>
          <cell r="I638" t="str">
            <v>FOOD SERVICE</v>
          </cell>
          <cell r="J638" t="str">
            <v>FLAC 3</v>
          </cell>
          <cell r="K638" t="str">
            <v>LACTALIS</v>
          </cell>
          <cell r="L638" t="str">
            <v>RODRIGO</v>
          </cell>
          <cell r="M638" t="str">
            <v>RAQUEL BARBOSA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  <cell r="H639" t="str">
            <v>DISTRIBUIÇÃO</v>
          </cell>
          <cell r="I639" t="str">
            <v>FOOD SERVICE</v>
          </cell>
          <cell r="J639" t="str">
            <v>FLAC 4</v>
          </cell>
          <cell r="K639" t="str">
            <v>LACTALIS</v>
          </cell>
          <cell r="L639" t="str">
            <v>RODRIGO</v>
          </cell>
          <cell r="M639" t="str">
            <v>RAQUEL BARBOSA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  <cell r="H640" t="str">
            <v>INGREDIENTS</v>
          </cell>
          <cell r="I640" t="str">
            <v>INGREDIENTS</v>
          </cell>
          <cell r="J640" t="str">
            <v>MARCELO RODRIGUES</v>
          </cell>
          <cell r="K640" t="str">
            <v>ITAMBÉ</v>
          </cell>
          <cell r="L640" t="str">
            <v>MAURICIO</v>
          </cell>
          <cell r="M640" t="str">
            <v>MARCELO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  <cell r="H641" t="str">
            <v>DISTRIBUIÇÃO</v>
          </cell>
          <cell r="I641" t="str">
            <v>FOOD SERVICE</v>
          </cell>
          <cell r="J641" t="str">
            <v>WH FOOD SERVICE CE</v>
          </cell>
          <cell r="K641" t="str">
            <v>ITAMBÉ</v>
          </cell>
          <cell r="L641" t="str">
            <v>RODRIGO</v>
          </cell>
          <cell r="M641" t="str">
            <v>MARIA LOURDES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  <cell r="H642" t="str">
            <v>DISTRIBUIÇÃO</v>
          </cell>
          <cell r="I642" t="str">
            <v>FOOD SERVICE</v>
          </cell>
          <cell r="J642" t="str">
            <v>CLAUDIO JORGE/LUIZ</v>
          </cell>
          <cell r="K642" t="str">
            <v>ITAMBÉ</v>
          </cell>
          <cell r="L642" t="str">
            <v>RODRIGO</v>
          </cell>
          <cell r="M642" t="str">
            <v>MARIA LOURDES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  <cell r="H643" t="str">
            <v>DISTRIBUIÇÃO</v>
          </cell>
          <cell r="I643" t="str">
            <v>FOOD SERVICE</v>
          </cell>
          <cell r="J643" t="str">
            <v>SP ITB FS FLAC REP.E COMERCIO</v>
          </cell>
          <cell r="K643" t="str">
            <v>ITAMBÉ</v>
          </cell>
          <cell r="L643" t="str">
            <v>RODRIGO</v>
          </cell>
          <cell r="M643" t="str">
            <v>RAQUEL BARBOSA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  <cell r="H644" t="str">
            <v>DISTRIBUIÇÃO</v>
          </cell>
          <cell r="I644" t="str">
            <v>FOOD SERVICE</v>
          </cell>
          <cell r="J644" t="str">
            <v>FLAC 5</v>
          </cell>
          <cell r="K644" t="str">
            <v>LACTALIS</v>
          </cell>
          <cell r="L644" t="str">
            <v>RODRIGO</v>
          </cell>
          <cell r="M644" t="str">
            <v>RAQUEL BARBOSA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  <cell r="H645" t="str">
            <v>DISTRIBUIÇÃO</v>
          </cell>
          <cell r="I645" t="str">
            <v>FOOD SERVICE</v>
          </cell>
          <cell r="J645" t="str">
            <v>SP ITB FS FLAC REP.E COMERCIO</v>
          </cell>
          <cell r="K645" t="str">
            <v>ITAMBÉ</v>
          </cell>
          <cell r="L645" t="str">
            <v>RODRIGO</v>
          </cell>
          <cell r="M645" t="str">
            <v>RAQUEL BARBOSA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  <cell r="H646" t="str">
            <v>DISTRIBUIÇÃO</v>
          </cell>
          <cell r="I646" t="str">
            <v>FOOD SERVICE</v>
          </cell>
          <cell r="J646" t="str">
            <v>FLAC 6</v>
          </cell>
          <cell r="K646" t="str">
            <v>LACTALIS</v>
          </cell>
          <cell r="L646" t="str">
            <v>RODRIGO</v>
          </cell>
          <cell r="M646" t="str">
            <v>RAQUEL BARBOSA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  <cell r="H647" t="str">
            <v>DISTRIBUIÇÃO</v>
          </cell>
          <cell r="I647" t="str">
            <v>FOOD SERVICE</v>
          </cell>
          <cell r="J647" t="str">
            <v>MARCELO SILVA</v>
          </cell>
          <cell r="K647" t="str">
            <v>ITAMBÉ</v>
          </cell>
          <cell r="L647" t="str">
            <v>RODRIGO</v>
          </cell>
          <cell r="M647" t="str">
            <v>CELIO MARTINS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  <cell r="H648" t="str">
            <v>QSR</v>
          </cell>
          <cell r="I648" t="str">
            <v>FOOD SERVICE</v>
          </cell>
          <cell r="J648" t="str">
            <v>NUTRI</v>
          </cell>
          <cell r="K648" t="str">
            <v>LACTALIS</v>
          </cell>
          <cell r="L648" t="str">
            <v>PEDRO</v>
          </cell>
          <cell r="M648" t="str">
            <v>VAGO QSR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  <cell r="H649" t="str">
            <v>DISTRIBUIÇÃO</v>
          </cell>
          <cell r="I649" t="str">
            <v>FOOD SERVICE</v>
          </cell>
          <cell r="J649" t="str">
            <v>FLAC 4</v>
          </cell>
          <cell r="K649" t="str">
            <v>LACTALIS</v>
          </cell>
          <cell r="L649" t="str">
            <v>RODRIGO</v>
          </cell>
          <cell r="M649" t="str">
            <v>RAQUEL BARBOSA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  <cell r="H650" t="str">
            <v>DISTRIBUIÇÃO</v>
          </cell>
          <cell r="I650" t="str">
            <v>FOOD SERVICE</v>
          </cell>
          <cell r="J650" t="str">
            <v>FLAC 5</v>
          </cell>
          <cell r="K650" t="str">
            <v>LACTALIS</v>
          </cell>
          <cell r="L650" t="str">
            <v>RODRIGO</v>
          </cell>
          <cell r="M650" t="str">
            <v>RAQUEL BARBOSA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  <cell r="H651" t="str">
            <v>DISTRIBUIÇÃO</v>
          </cell>
          <cell r="I651" t="str">
            <v>FOOD SERVICE</v>
          </cell>
          <cell r="J651" t="str">
            <v>CLAUDIO JORGE/LUIZ</v>
          </cell>
          <cell r="K651" t="str">
            <v>ITAMBÉ</v>
          </cell>
          <cell r="L651" t="str">
            <v>RODRIGO</v>
          </cell>
          <cell r="M651" t="str">
            <v>MARIA LOURDES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  <cell r="H652" t="str">
            <v>DISTRIBUIÇÃO</v>
          </cell>
          <cell r="I652" t="str">
            <v>FOOD SERVICE</v>
          </cell>
          <cell r="J652" t="str">
            <v>FLAC 6</v>
          </cell>
          <cell r="K652" t="str">
            <v>LACTALIS</v>
          </cell>
          <cell r="L652" t="str">
            <v>RODRIGO</v>
          </cell>
          <cell r="M652" t="str">
            <v>RAQUEL BARBOSA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  <cell r="H653" t="str">
            <v>DISTRIBUIÇÃO</v>
          </cell>
          <cell r="I653" t="str">
            <v>FOOD SERVICE</v>
          </cell>
          <cell r="J653" t="str">
            <v>FLAC 4</v>
          </cell>
          <cell r="K653" t="str">
            <v>LACTALIS</v>
          </cell>
          <cell r="L653" t="str">
            <v>RODRIGO</v>
          </cell>
          <cell r="M653" t="str">
            <v>RAQUEL BARBOSA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  <cell r="H654" t="str">
            <v>DISTRIBUIÇÃO</v>
          </cell>
          <cell r="I654" t="str">
            <v>FOOD SERVICE</v>
          </cell>
          <cell r="J654" t="str">
            <v>FLAC 5</v>
          </cell>
          <cell r="K654" t="str">
            <v>LACTALIS</v>
          </cell>
          <cell r="L654" t="str">
            <v>RODRIGO</v>
          </cell>
          <cell r="M654" t="str">
            <v>RAQUEL BARBOSA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  <cell r="H655" t="str">
            <v>DISTRIBUIÇÃO</v>
          </cell>
          <cell r="I655" t="str">
            <v>FOOD SERVICE</v>
          </cell>
          <cell r="J655" t="str">
            <v>FLAC 5</v>
          </cell>
          <cell r="K655" t="str">
            <v>LACTALIS</v>
          </cell>
          <cell r="L655" t="str">
            <v>RODRIGO</v>
          </cell>
          <cell r="M655" t="str">
            <v>RAQUEL BARBOSA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  <cell r="H656" t="str">
            <v>DISTRIBUIÇÃO</v>
          </cell>
          <cell r="I656" t="str">
            <v>FOOD SERVICE</v>
          </cell>
          <cell r="J656" t="str">
            <v>FLAC 6</v>
          </cell>
          <cell r="K656" t="str">
            <v>LACTALIS</v>
          </cell>
          <cell r="L656" t="str">
            <v>RODRIGO</v>
          </cell>
          <cell r="M656" t="str">
            <v>RAQUEL BARBOSA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  <cell r="H657" t="str">
            <v>DISTRIBUIÇÃO</v>
          </cell>
          <cell r="I657" t="str">
            <v>FOOD SERVICE</v>
          </cell>
          <cell r="J657" t="str">
            <v>FLAC 7</v>
          </cell>
          <cell r="K657" t="str">
            <v>LACTALIS</v>
          </cell>
          <cell r="L657" t="str">
            <v>RODRIGO</v>
          </cell>
          <cell r="M657" t="str">
            <v>RAQUEL BARBOSA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  <cell r="H658" t="str">
            <v>DISTRIBUIÇÃO</v>
          </cell>
          <cell r="I658" t="str">
            <v>FOOD SERVICE</v>
          </cell>
          <cell r="J658" t="str">
            <v>MARCELO SILVA</v>
          </cell>
          <cell r="K658" t="str">
            <v>ITAMBÉ</v>
          </cell>
          <cell r="L658" t="str">
            <v>RODRIGO</v>
          </cell>
          <cell r="M658" t="str">
            <v>CELIO MARTINS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  <cell r="H659" t="str">
            <v>DISTRIBUIÇÃO</v>
          </cell>
          <cell r="I659" t="str">
            <v>FOOD SERVICE</v>
          </cell>
          <cell r="J659" t="str">
            <v>FLAC 6</v>
          </cell>
          <cell r="K659" t="str">
            <v>LACTALIS</v>
          </cell>
          <cell r="L659" t="str">
            <v>RODRIGO</v>
          </cell>
          <cell r="M659" t="str">
            <v>RAQUEL BARBOSA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  <cell r="H660" t="str">
            <v>DISTRIBUIÇÃO</v>
          </cell>
          <cell r="I660" t="str">
            <v>FOOD SERVICE</v>
          </cell>
          <cell r="J660" t="str">
            <v>FLAC 6</v>
          </cell>
          <cell r="K660" t="str">
            <v>LACTALIS</v>
          </cell>
          <cell r="L660" t="str">
            <v>RODRIGO</v>
          </cell>
          <cell r="M660" t="str">
            <v>RAQUEL BARBOSA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  <cell r="H661" t="str">
            <v>DISTRIBUIÇÃO</v>
          </cell>
          <cell r="I661" t="str">
            <v>FOOD SERVICE</v>
          </cell>
          <cell r="J661" t="str">
            <v>MARCELO SILVA</v>
          </cell>
          <cell r="K661" t="str">
            <v>ITAMBÉ</v>
          </cell>
          <cell r="L661" t="str">
            <v>RODRIGO</v>
          </cell>
          <cell r="M661" t="str">
            <v>CELIO MARTINS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  <cell r="H662" t="str">
            <v>DISTRIBUIÇÃO</v>
          </cell>
          <cell r="I662" t="str">
            <v>FOOD SERVICE</v>
          </cell>
          <cell r="J662" t="str">
            <v>FLAC 3</v>
          </cell>
          <cell r="K662" t="str">
            <v>LACTALIS</v>
          </cell>
          <cell r="L662" t="str">
            <v>RODRIGO</v>
          </cell>
          <cell r="M662" t="str">
            <v>RAQUEL BARBOSA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  <cell r="H663" t="str">
            <v>DISTRIBUIÇÃO</v>
          </cell>
          <cell r="I663" t="str">
            <v>FOOD SERVICE</v>
          </cell>
          <cell r="J663" t="str">
            <v>FLAC 2</v>
          </cell>
          <cell r="K663" t="str">
            <v>LACTALIS</v>
          </cell>
          <cell r="L663" t="str">
            <v>RODRIGO</v>
          </cell>
          <cell r="M663" t="str">
            <v>RAQUEL BARBOSA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  <cell r="H664" t="str">
            <v>DISTRIBUIÇÃO</v>
          </cell>
          <cell r="I664" t="str">
            <v>FOOD SERVICE</v>
          </cell>
          <cell r="J664" t="str">
            <v>FLAC 5</v>
          </cell>
          <cell r="K664" t="str">
            <v>LACTALIS</v>
          </cell>
          <cell r="L664" t="str">
            <v>RODRIGO</v>
          </cell>
          <cell r="M664" t="str">
            <v>RAQUEL BARBOSA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  <cell r="H665" t="str">
            <v>DISTRIBUIÇÃO</v>
          </cell>
          <cell r="I665" t="str">
            <v>FOOD SERVICE</v>
          </cell>
          <cell r="J665" t="str">
            <v>FLAC 3</v>
          </cell>
          <cell r="K665" t="str">
            <v>LACTALIS</v>
          </cell>
          <cell r="L665" t="str">
            <v>RODRIGO</v>
          </cell>
          <cell r="M665" t="str">
            <v>RAQUEL BARBOSA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  <cell r="H666" t="str">
            <v>DISTRIBUIÇÃO</v>
          </cell>
          <cell r="I666" t="str">
            <v>FOOD SERVICE</v>
          </cell>
          <cell r="J666" t="str">
            <v>FLAC 6</v>
          </cell>
          <cell r="K666" t="str">
            <v>LACTALIS</v>
          </cell>
          <cell r="L666" t="str">
            <v>RODRIGO</v>
          </cell>
          <cell r="M666" t="str">
            <v>RAQUEL BARBOSA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  <cell r="H667" t="str">
            <v>DISTRIBUIÇÃO</v>
          </cell>
          <cell r="I667" t="str">
            <v>FOOD SERVICE</v>
          </cell>
          <cell r="J667" t="str">
            <v>FLAC 3</v>
          </cell>
          <cell r="K667" t="str">
            <v>LACTALIS</v>
          </cell>
          <cell r="L667" t="str">
            <v>RODRIGO</v>
          </cell>
          <cell r="M667" t="str">
            <v>RAQUEL BARBOSA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  <cell r="H668" t="str">
            <v>DISTRIBUIÇÃO</v>
          </cell>
          <cell r="I668" t="str">
            <v>FOOD SERVICE</v>
          </cell>
          <cell r="J668" t="str">
            <v>FLAC 3</v>
          </cell>
          <cell r="K668" t="str">
            <v>LACTALIS</v>
          </cell>
          <cell r="L668" t="str">
            <v>RODRIGO</v>
          </cell>
          <cell r="M668" t="str">
            <v>RAQUEL BARBOSA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  <cell r="H669" t="str">
            <v>DISTRIBUIÇÃO</v>
          </cell>
          <cell r="I669" t="str">
            <v>FOOD SERVICE</v>
          </cell>
          <cell r="J669" t="str">
            <v>FLAC 2</v>
          </cell>
          <cell r="K669" t="str">
            <v>LACTALIS</v>
          </cell>
          <cell r="L669" t="str">
            <v>RODRIGO</v>
          </cell>
          <cell r="M669" t="str">
            <v>RAQUEL BARBOSA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  <cell r="H670" t="str">
            <v>DISTRIBUIÇÃO</v>
          </cell>
          <cell r="I670" t="str">
            <v>FOOD SERVICE</v>
          </cell>
          <cell r="J670" t="str">
            <v>FLAC 6</v>
          </cell>
          <cell r="K670" t="str">
            <v>LACTALIS</v>
          </cell>
          <cell r="L670" t="str">
            <v>RODRIGO</v>
          </cell>
          <cell r="M670" t="str">
            <v>RAQUEL BARBOSA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  <cell r="H671" t="str">
            <v>DISTRIBUIÇÃO</v>
          </cell>
          <cell r="I671" t="str">
            <v>FOOD SERVICE</v>
          </cell>
          <cell r="J671" t="str">
            <v>FLAC 3</v>
          </cell>
          <cell r="K671" t="str">
            <v>LACTALIS</v>
          </cell>
          <cell r="L671" t="str">
            <v>RODRIGO</v>
          </cell>
          <cell r="M671" t="str">
            <v>RAQUEL BARBOSA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  <cell r="H672" t="str">
            <v>DISTRIBUIÇÃO</v>
          </cell>
          <cell r="I672" t="str">
            <v>FOOD SERVICE</v>
          </cell>
          <cell r="J672" t="str">
            <v>FLAC 3</v>
          </cell>
          <cell r="K672" t="str">
            <v>LACTALIS</v>
          </cell>
          <cell r="L672" t="str">
            <v>RODRIGO</v>
          </cell>
          <cell r="M672" t="str">
            <v>RAQUEL BARBOSA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  <cell r="H673" t="str">
            <v>DISTRIBUIÇÃO</v>
          </cell>
          <cell r="I673" t="str">
            <v>FOOD SERVICE</v>
          </cell>
          <cell r="J673" t="str">
            <v>FLAC 6</v>
          </cell>
          <cell r="K673" t="str">
            <v>LACTALIS</v>
          </cell>
          <cell r="L673" t="str">
            <v>RODRIGO</v>
          </cell>
          <cell r="M673" t="str">
            <v>RAQUEL BARBOSA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  <cell r="H674" t="str">
            <v>DISTRIBUIÇÃO</v>
          </cell>
          <cell r="I674" t="str">
            <v>FOOD SERVICE</v>
          </cell>
          <cell r="J674" t="str">
            <v>FLAC 2</v>
          </cell>
          <cell r="K674" t="str">
            <v>LACTALIS</v>
          </cell>
          <cell r="L674" t="str">
            <v>RODRIGO</v>
          </cell>
          <cell r="M674" t="str">
            <v>RAQUEL BARBOSA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  <cell r="H675" t="str">
            <v>DISTRIBUIÇÃO</v>
          </cell>
          <cell r="I675" t="str">
            <v>FOOD SERVICE</v>
          </cell>
          <cell r="J675" t="str">
            <v>FLAC 5</v>
          </cell>
          <cell r="K675" t="str">
            <v>LACTALIS</v>
          </cell>
          <cell r="L675" t="str">
            <v>RODRIGO</v>
          </cell>
          <cell r="M675" t="str">
            <v>RAQUEL BARBOSA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  <cell r="H676" t="str">
            <v>DISTRIBUIÇÃO</v>
          </cell>
          <cell r="I676" t="str">
            <v>FOOD SERVICE</v>
          </cell>
          <cell r="J676" t="str">
            <v>FLAC 6</v>
          </cell>
          <cell r="K676" t="str">
            <v>LACTALIS</v>
          </cell>
          <cell r="L676" t="str">
            <v>RODRIGO</v>
          </cell>
          <cell r="M676" t="str">
            <v>RAQUEL BARBOSA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  <cell r="H677" t="str">
            <v>DISTRIBUIÇÃO</v>
          </cell>
          <cell r="I677" t="str">
            <v>FOOD SERVICE</v>
          </cell>
          <cell r="J677" t="str">
            <v>FLAC 6</v>
          </cell>
          <cell r="K677" t="str">
            <v>LACTALIS</v>
          </cell>
          <cell r="L677" t="str">
            <v>RODRIGO</v>
          </cell>
          <cell r="M677" t="str">
            <v>RAQUEL BARBOSA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  <cell r="H678" t="str">
            <v>DISTRIBUIÇÃO</v>
          </cell>
          <cell r="I678" t="str">
            <v>FOOD SERVICE</v>
          </cell>
          <cell r="J678" t="str">
            <v>FLAC 4</v>
          </cell>
          <cell r="K678" t="str">
            <v>LACTALIS</v>
          </cell>
          <cell r="L678" t="str">
            <v>RODRIGO</v>
          </cell>
          <cell r="M678" t="str">
            <v>RAQUEL BARBOSA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  <cell r="H679" t="str">
            <v>DISTRIBUIÇÃO</v>
          </cell>
          <cell r="I679" t="str">
            <v>FOOD SERVICE</v>
          </cell>
          <cell r="J679" t="str">
            <v>FLAC 6</v>
          </cell>
          <cell r="K679" t="str">
            <v>LACTALIS</v>
          </cell>
          <cell r="L679" t="str">
            <v>RODRIGO</v>
          </cell>
          <cell r="M679" t="str">
            <v>RAQUEL BARBOSA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  <cell r="H680" t="str">
            <v>DISTRIBUIÇÃO</v>
          </cell>
          <cell r="I680" t="str">
            <v>FOOD SERVICE</v>
          </cell>
          <cell r="J680" t="str">
            <v>MARCELO DUARTE</v>
          </cell>
          <cell r="K680" t="str">
            <v>ITAMBÉ</v>
          </cell>
          <cell r="L680" t="str">
            <v>RODRIGO</v>
          </cell>
          <cell r="M680" t="str">
            <v>JESSICA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  <cell r="H681" t="str">
            <v>DISTRIBUIÇÃO</v>
          </cell>
          <cell r="I681" t="str">
            <v>FOOD SERVICE</v>
          </cell>
          <cell r="J681" t="str">
            <v>FLAC 2</v>
          </cell>
          <cell r="K681" t="str">
            <v>LACTALIS</v>
          </cell>
          <cell r="L681" t="str">
            <v>RODRIGO</v>
          </cell>
          <cell r="M681" t="str">
            <v>RAQUEL BARBOSA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  <cell r="H682" t="str">
            <v>DISTRIBUIÇÃO</v>
          </cell>
          <cell r="I682" t="str">
            <v>FOOD SERVICE</v>
          </cell>
          <cell r="J682" t="str">
            <v>FLAC 5</v>
          </cell>
          <cell r="K682" t="str">
            <v>LACTALIS</v>
          </cell>
          <cell r="L682" t="str">
            <v>RODRIGO</v>
          </cell>
          <cell r="M682" t="str">
            <v>RAQUEL BARBOSA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  <cell r="H683" t="str">
            <v>DISTRIBUIÇÃO</v>
          </cell>
          <cell r="I683" t="str">
            <v>FOOD SERVICE</v>
          </cell>
          <cell r="J683" t="str">
            <v>FLAC 2</v>
          </cell>
          <cell r="K683" t="str">
            <v>LACTALIS</v>
          </cell>
          <cell r="L683" t="str">
            <v>RODRIGO</v>
          </cell>
          <cell r="M683" t="str">
            <v>RAQUEL BARBOSA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  <cell r="H684" t="str">
            <v>INGREDIENTS</v>
          </cell>
          <cell r="I684" t="str">
            <v>INGREDIENTS</v>
          </cell>
          <cell r="J684" t="str">
            <v>TATIANA NITTA</v>
          </cell>
          <cell r="K684" t="str">
            <v>ITAMBÉ</v>
          </cell>
          <cell r="L684" t="str">
            <v>MAURICIO</v>
          </cell>
          <cell r="M684" t="str">
            <v>TATIANA NITTA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  <cell r="H685" t="str">
            <v>INGREDIENTS</v>
          </cell>
          <cell r="I685" t="str">
            <v>INGREDIENTS</v>
          </cell>
          <cell r="J685" t="str">
            <v>TATIANA NITTA</v>
          </cell>
          <cell r="K685" t="str">
            <v>ITAMBÉ</v>
          </cell>
          <cell r="L685" t="str">
            <v>MAURICIO</v>
          </cell>
          <cell r="M685" t="str">
            <v>TATIANA NITTA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  <cell r="H686" t="str">
            <v>INGREDIENTS</v>
          </cell>
          <cell r="I686" t="str">
            <v>INGREDIENTS</v>
          </cell>
          <cell r="J686" t="str">
            <v>TATIANA NITTA</v>
          </cell>
          <cell r="K686" t="str">
            <v>ITAMBÉ</v>
          </cell>
          <cell r="L686" t="str">
            <v>MAURICIO</v>
          </cell>
          <cell r="M686" t="str">
            <v>TATIANA NITTA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  <cell r="H687" t="str">
            <v>DISTRIBUIÇÃO</v>
          </cell>
          <cell r="I687" t="str">
            <v>FOOD SERVICE</v>
          </cell>
          <cell r="J687" t="str">
            <v>FLAC 2</v>
          </cell>
          <cell r="K687" t="str">
            <v>LACTALIS</v>
          </cell>
          <cell r="L687" t="str">
            <v>RODRIGO</v>
          </cell>
          <cell r="M687" t="str">
            <v>RAQUEL BARBOSA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  <cell r="H688" t="str">
            <v>DISTRIBUIÇÃO</v>
          </cell>
          <cell r="I688" t="str">
            <v>FOOD SERVICE</v>
          </cell>
          <cell r="J688" t="str">
            <v>FLAC 4</v>
          </cell>
          <cell r="K688" t="str">
            <v>LACTALIS</v>
          </cell>
          <cell r="L688" t="str">
            <v>RODRIGO</v>
          </cell>
          <cell r="M688" t="str">
            <v>RAQUEL BARBOSA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  <cell r="H689" t="str">
            <v>INGREDIENTS</v>
          </cell>
          <cell r="I689" t="str">
            <v>INGREDIENTS</v>
          </cell>
          <cell r="J689" t="str">
            <v>JOEL ELEOTÉRIO</v>
          </cell>
          <cell r="K689" t="str">
            <v>LACTALIS</v>
          </cell>
          <cell r="L689" t="str">
            <v>MAURICIO</v>
          </cell>
          <cell r="M689" t="str">
            <v>JOEL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  <cell r="H690" t="str">
            <v>DISTRIBUIÇÃO</v>
          </cell>
          <cell r="I690" t="str">
            <v>FOOD SERVICE</v>
          </cell>
          <cell r="J690" t="str">
            <v>FLAC 7</v>
          </cell>
          <cell r="K690" t="str">
            <v>LACTALIS</v>
          </cell>
          <cell r="L690" t="str">
            <v>RODRIGO</v>
          </cell>
          <cell r="M690" t="str">
            <v>RAQUEL BARBOSA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  <cell r="H691" t="str">
            <v>DISTRIBUIÇÃO</v>
          </cell>
          <cell r="I691" t="str">
            <v>FOOD SERVICE</v>
          </cell>
          <cell r="J691" t="str">
            <v>FLAC 7</v>
          </cell>
          <cell r="K691" t="str">
            <v>LACTALIS</v>
          </cell>
          <cell r="L691" t="str">
            <v>RODRIGO</v>
          </cell>
          <cell r="M691" t="str">
            <v>RAQUEL BARBOSA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  <cell r="H692" t="str">
            <v>INGREDIENTS</v>
          </cell>
          <cell r="I692" t="str">
            <v>INGREDIENTS</v>
          </cell>
          <cell r="J692" t="str">
            <v>HENRIQUE FERREIRA</v>
          </cell>
          <cell r="K692" t="str">
            <v>LACTALIS</v>
          </cell>
          <cell r="L692" t="str">
            <v>MAURICIO</v>
          </cell>
          <cell r="M692" t="str">
            <v>JOEL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  <cell r="H693" t="str">
            <v>DISTRIBUIÇÃO</v>
          </cell>
          <cell r="I693" t="str">
            <v>FOOD SERVICE</v>
          </cell>
          <cell r="J693" t="str">
            <v>MARCELO DUARTE</v>
          </cell>
          <cell r="K693" t="str">
            <v>ITAMBÉ</v>
          </cell>
          <cell r="L693" t="str">
            <v>RODRIGO</v>
          </cell>
          <cell r="M693" t="str">
            <v>JESSICA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  <cell r="H694" t="str">
            <v>DISTRIBUIÇÃO</v>
          </cell>
          <cell r="I694" t="str">
            <v>FOOD SERVICE</v>
          </cell>
          <cell r="J694" t="str">
            <v>FLAC 3</v>
          </cell>
          <cell r="K694" t="str">
            <v>LACTALIS</v>
          </cell>
          <cell r="L694" t="str">
            <v>RODRIGO</v>
          </cell>
          <cell r="M694" t="str">
            <v>RAQUEL BARBOSA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  <cell r="H695" t="str">
            <v>DISTRIBUIÇÃO</v>
          </cell>
          <cell r="I695" t="str">
            <v>FOOD SERVICE</v>
          </cell>
          <cell r="J695" t="str">
            <v>JULIANA CORDEIRO</v>
          </cell>
          <cell r="K695" t="str">
            <v>ITAMBÉ</v>
          </cell>
          <cell r="L695" t="str">
            <v>RODRIGO</v>
          </cell>
          <cell r="M695" t="str">
            <v>JESSICA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  <cell r="H696" t="str">
            <v>INGREDIENTS</v>
          </cell>
          <cell r="I696" t="str">
            <v>INGREDIENTS</v>
          </cell>
          <cell r="J696" t="str">
            <v>JOEL ELEOTÉRIO</v>
          </cell>
          <cell r="K696" t="str">
            <v>LACTALIS</v>
          </cell>
          <cell r="L696" t="str">
            <v>MAURICIO</v>
          </cell>
          <cell r="M696" t="str">
            <v>JOEL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  <cell r="H697" t="str">
            <v>INGREDIENTS</v>
          </cell>
          <cell r="I697" t="str">
            <v>INGREDIENTS</v>
          </cell>
          <cell r="J697" t="str">
            <v>JOEL ELEOTÉRIO</v>
          </cell>
          <cell r="K697" t="str">
            <v>LACTALIS</v>
          </cell>
          <cell r="L697" t="str">
            <v>MAURICIO</v>
          </cell>
          <cell r="M697" t="str">
            <v>JOEL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  <cell r="H698" t="str">
            <v>INGREDIENTS</v>
          </cell>
          <cell r="I698" t="str">
            <v>INGREDIENTS</v>
          </cell>
          <cell r="J698" t="str">
            <v>JOEL ELEOTÉRIO</v>
          </cell>
          <cell r="K698" t="str">
            <v>ITAMBÉ</v>
          </cell>
          <cell r="L698" t="str">
            <v>MAURICIO</v>
          </cell>
          <cell r="M698" t="str">
            <v>JOEL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  <cell r="H699" t="str">
            <v>DISTRIBUIÇÃO</v>
          </cell>
          <cell r="I699" t="str">
            <v>FOOD SERVICE</v>
          </cell>
          <cell r="J699" t="str">
            <v>FLAC 3</v>
          </cell>
          <cell r="K699" t="str">
            <v>LACTALIS</v>
          </cell>
          <cell r="L699" t="str">
            <v>RODRIGO</v>
          </cell>
          <cell r="M699" t="str">
            <v>RAQUEL BARBOSA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  <cell r="H700" t="str">
            <v>INGREDIENTS</v>
          </cell>
          <cell r="I700" t="str">
            <v>INGREDIENTS</v>
          </cell>
          <cell r="J700" t="str">
            <v>JOEL ELEOTÉRIO</v>
          </cell>
          <cell r="K700" t="str">
            <v>LACTALIS</v>
          </cell>
          <cell r="L700" t="str">
            <v>MAURICIO</v>
          </cell>
          <cell r="M700" t="str">
            <v>JOEL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  <cell r="H701" t="str">
            <v>INGREDIENTS</v>
          </cell>
          <cell r="I701" t="str">
            <v>INGREDIENTS</v>
          </cell>
          <cell r="J701" t="str">
            <v>JOEL ELEOTÉRIO</v>
          </cell>
          <cell r="K701" t="str">
            <v>LACTALIS</v>
          </cell>
          <cell r="L701" t="str">
            <v>MAURICIO</v>
          </cell>
          <cell r="M701" t="str">
            <v>JOEL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  <cell r="H702" t="str">
            <v>INGREDIENTS</v>
          </cell>
          <cell r="I702" t="str">
            <v>INGREDIENTS</v>
          </cell>
          <cell r="J702" t="str">
            <v>HENRIQUE FERREIRA</v>
          </cell>
          <cell r="K702" t="str">
            <v>ITAMBÉ</v>
          </cell>
          <cell r="L702" t="str">
            <v>MAURICIO</v>
          </cell>
          <cell r="M702" t="str">
            <v>JOEL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  <cell r="H703" t="str">
            <v>INGREDIENTS</v>
          </cell>
          <cell r="I703" t="str">
            <v>INGREDIENTS</v>
          </cell>
          <cell r="J703" t="str">
            <v>HENRIQUE FERREIRA</v>
          </cell>
          <cell r="K703" t="str">
            <v>LACTALIS</v>
          </cell>
          <cell r="L703" t="str">
            <v>MAURICIO</v>
          </cell>
          <cell r="M703" t="str">
            <v>JOEL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  <cell r="H704" t="str">
            <v>OUTROS</v>
          </cell>
          <cell r="I704" t="str">
            <v>OUTROS</v>
          </cell>
          <cell r="J704" t="str">
            <v>ITAMBE - EXPORTACAO</v>
          </cell>
          <cell r="K704" t="str">
            <v>OUTROS</v>
          </cell>
          <cell r="L704" t="str">
            <v>OUTROS</v>
          </cell>
          <cell r="M704" t="str">
            <v>EXPORTAÇÃO</v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  <cell r="H705" t="str">
            <v>OUTROS</v>
          </cell>
          <cell r="I705" t="str">
            <v>OUTROS</v>
          </cell>
          <cell r="J705" t="str">
            <v>INTERCOMPANY EXP</v>
          </cell>
          <cell r="K705" t="str">
            <v>OUTROS</v>
          </cell>
          <cell r="L705" t="str">
            <v>OUTROS</v>
          </cell>
          <cell r="M705" t="str">
            <v>INTERCOMPANY</v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  <cell r="H706" t="str">
            <v>QSR</v>
          </cell>
          <cell r="I706" t="str">
            <v>FOOD SERVICE</v>
          </cell>
          <cell r="J706" t="str">
            <v>ANA MENIQUETE</v>
          </cell>
          <cell r="K706" t="str">
            <v>LACTALIS</v>
          </cell>
          <cell r="L706" t="str">
            <v>PEDRO</v>
          </cell>
          <cell r="M706" t="str">
            <v>ANA MENIQUETE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  <cell r="H707" t="str">
            <v>INGREDIENTS</v>
          </cell>
          <cell r="I707" t="str">
            <v>INGREDIENTS</v>
          </cell>
          <cell r="J707" t="str">
            <v>DUAS RODAS</v>
          </cell>
          <cell r="K707" t="str">
            <v>ITAMBÉ</v>
          </cell>
          <cell r="L707" t="str">
            <v>MAURICIO</v>
          </cell>
          <cell r="M707" t="str">
            <v>MARCELO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  <cell r="H708" t="str">
            <v>INGREDIENTS</v>
          </cell>
          <cell r="I708" t="str">
            <v>INGREDIENTS</v>
          </cell>
          <cell r="J708" t="str">
            <v>JOEL ELEOTÉRIO</v>
          </cell>
          <cell r="K708" t="str">
            <v>ITAMBÉ</v>
          </cell>
          <cell r="L708" t="str">
            <v>MAURICIO</v>
          </cell>
          <cell r="M708" t="str">
            <v>JOEL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  <cell r="H709" t="str">
            <v>INGREDIENTS</v>
          </cell>
          <cell r="I709" t="str">
            <v>INGREDIENTS</v>
          </cell>
          <cell r="J709" t="str">
            <v>HENRIQUE FERREIRA</v>
          </cell>
          <cell r="K709" t="str">
            <v>ITAMBÉ</v>
          </cell>
          <cell r="L709" t="str">
            <v>MAURICIO</v>
          </cell>
          <cell r="M709" t="str">
            <v>JOEL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  <cell r="H710" t="str">
            <v>DISTRIBUIÇÃO</v>
          </cell>
          <cell r="I710" t="str">
            <v>FOOD SERVICE</v>
          </cell>
          <cell r="J710" t="str">
            <v>FLAC 6</v>
          </cell>
          <cell r="K710" t="str">
            <v>LACTALIS</v>
          </cell>
          <cell r="L710" t="str">
            <v>RODRIGO</v>
          </cell>
          <cell r="M710" t="str">
            <v>RAQUEL BARBOSA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  <cell r="H711" t="str">
            <v>DISTRIBUIÇÃO</v>
          </cell>
          <cell r="I711" t="str">
            <v>FOOD SERVICE</v>
          </cell>
          <cell r="J711" t="str">
            <v>MARCELO SILVA</v>
          </cell>
          <cell r="K711" t="str">
            <v>ITAMBÉ</v>
          </cell>
          <cell r="L711" t="str">
            <v>RODRIGO</v>
          </cell>
          <cell r="M711" t="str">
            <v>CELIO MARTINS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  <cell r="H712" t="str">
            <v>DISTRIBUIÇÃO</v>
          </cell>
          <cell r="I712" t="str">
            <v>FOOD SERVICE</v>
          </cell>
          <cell r="J712" t="str">
            <v>FLAC 6</v>
          </cell>
          <cell r="K712" t="str">
            <v>LACTALIS</v>
          </cell>
          <cell r="L712" t="str">
            <v>RODRIGO</v>
          </cell>
          <cell r="M712" t="str">
            <v>RAQUEL BARBOSA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  <cell r="H713" t="str">
            <v>DISTRIBUIÇÃO</v>
          </cell>
          <cell r="I713" t="str">
            <v>FOOD SERVICE</v>
          </cell>
          <cell r="J713" t="str">
            <v>FLAC 2</v>
          </cell>
          <cell r="K713" t="str">
            <v>LACTALIS</v>
          </cell>
          <cell r="L713" t="str">
            <v>RODRIGO</v>
          </cell>
          <cell r="M713" t="str">
            <v>RAQUEL BARBOSA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  <cell r="H714" t="str">
            <v>DISTRIBUIÇÃO</v>
          </cell>
          <cell r="I714" t="str">
            <v>FOOD SERVICE</v>
          </cell>
          <cell r="J714" t="str">
            <v>MARCELO SILVA</v>
          </cell>
          <cell r="K714" t="str">
            <v>ITAMBÉ</v>
          </cell>
          <cell r="L714" t="str">
            <v>RODRIGO</v>
          </cell>
          <cell r="M714" t="str">
            <v>CELIO MARTINS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  <cell r="H715" t="str">
            <v>DISTRIBUIÇÃO</v>
          </cell>
          <cell r="I715" t="str">
            <v>FOOD SERVICE</v>
          </cell>
          <cell r="J715" t="str">
            <v>FLAC 6</v>
          </cell>
          <cell r="K715" t="str">
            <v>LACTALIS</v>
          </cell>
          <cell r="L715" t="str">
            <v>RODRIGO</v>
          </cell>
          <cell r="M715" t="str">
            <v>RAQUEL BARBOSA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  <cell r="H716" t="str">
            <v>DISTRIBUIÇÃO</v>
          </cell>
          <cell r="I716" t="str">
            <v>FOOD SERVICE</v>
          </cell>
          <cell r="J716" t="str">
            <v>FLAC 3</v>
          </cell>
          <cell r="K716" t="str">
            <v>LACTALIS</v>
          </cell>
          <cell r="L716" t="str">
            <v>RODRIGO</v>
          </cell>
          <cell r="M716" t="str">
            <v>RAQUEL BARBOSA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  <cell r="H717" t="str">
            <v>DISTRIBUIÇÃO</v>
          </cell>
          <cell r="I717" t="str">
            <v>FOOD SERVICE</v>
          </cell>
          <cell r="J717" t="str">
            <v>FLAC 1</v>
          </cell>
          <cell r="K717" t="str">
            <v>LACTALIS</v>
          </cell>
          <cell r="L717" t="str">
            <v>RODRIGO</v>
          </cell>
          <cell r="M717" t="str">
            <v>RAQUEL BARBOSA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  <cell r="H718" t="str">
            <v>DISTRIBUIÇÃO</v>
          </cell>
          <cell r="I718" t="str">
            <v>FOOD SERVICE</v>
          </cell>
          <cell r="J718" t="str">
            <v>FLAC 1</v>
          </cell>
          <cell r="K718" t="str">
            <v>LACTALIS</v>
          </cell>
          <cell r="L718" t="str">
            <v>RODRIGO</v>
          </cell>
          <cell r="M718" t="str">
            <v>RAQUEL BARBOSA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  <cell r="H719" t="str">
            <v>INGREDIENTS</v>
          </cell>
          <cell r="I719" t="str">
            <v>INGREDIENTS</v>
          </cell>
          <cell r="J719" t="str">
            <v>JOEL ELEOTÉRIO</v>
          </cell>
          <cell r="K719" t="str">
            <v>LACTALIS</v>
          </cell>
          <cell r="L719" t="str">
            <v>MAURICIO</v>
          </cell>
          <cell r="M719" t="str">
            <v>JOEL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  <cell r="H720" t="str">
            <v>DISTRIBUIÇÃO</v>
          </cell>
          <cell r="I720" t="str">
            <v>FOOD SERVICE</v>
          </cell>
          <cell r="J720" t="str">
            <v>FLAC 6</v>
          </cell>
          <cell r="K720" t="str">
            <v>LACTALIS</v>
          </cell>
          <cell r="L720" t="str">
            <v>RODRIGO</v>
          </cell>
          <cell r="M720" t="str">
            <v>RAQUEL BARBOSA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  <cell r="H721" t="str">
            <v>DISTRIBUIÇÃO</v>
          </cell>
          <cell r="I721" t="str">
            <v>FOOD SERVICE</v>
          </cell>
          <cell r="J721" t="str">
            <v>GUILHERME NASCIMENTO</v>
          </cell>
          <cell r="K721" t="str">
            <v>ITAMBÉ</v>
          </cell>
          <cell r="L721" t="str">
            <v>RODRIGO</v>
          </cell>
          <cell r="M721" t="str">
            <v>ALEXANDRO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  <cell r="H722" t="str">
            <v>INGREDIENTS</v>
          </cell>
          <cell r="I722" t="str">
            <v>INGREDIENTS</v>
          </cell>
          <cell r="J722" t="str">
            <v>HENRIQUE FERREIRA</v>
          </cell>
          <cell r="K722" t="str">
            <v>ITAMBÉ</v>
          </cell>
          <cell r="L722" t="str">
            <v>MAURICIO</v>
          </cell>
          <cell r="M722" t="str">
            <v>JOEL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  <cell r="H723" t="str">
            <v>QSR</v>
          </cell>
          <cell r="I723" t="str">
            <v>FOOD SERVICE</v>
          </cell>
          <cell r="J723" t="str">
            <v>VAGO QSR</v>
          </cell>
          <cell r="K723" t="str">
            <v>ITAMBÉ</v>
          </cell>
          <cell r="L723" t="str">
            <v>PEDRO</v>
          </cell>
          <cell r="M723" t="str">
            <v>VAGO QSR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  <cell r="H724" t="str">
            <v>DISTRIBUIÇÃO</v>
          </cell>
          <cell r="I724" t="str">
            <v>FOOD SERVICE</v>
          </cell>
          <cell r="J724" t="str">
            <v>LUCIANA MARTINS</v>
          </cell>
          <cell r="K724" t="str">
            <v>LACTALIS</v>
          </cell>
          <cell r="L724" t="str">
            <v>RODRIGO</v>
          </cell>
          <cell r="M724" t="str">
            <v>JESSICA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  <cell r="H725" t="str">
            <v>DISTRIBUIÇÃO</v>
          </cell>
          <cell r="I725" t="str">
            <v>FOOD SERVICE</v>
          </cell>
          <cell r="J725" t="str">
            <v>LUCIANA MARTINS</v>
          </cell>
          <cell r="K725" t="str">
            <v>ITAMBÉ</v>
          </cell>
          <cell r="L725" t="str">
            <v>RODRIGO</v>
          </cell>
          <cell r="M725" t="str">
            <v>JESSICA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  <cell r="H726" t="str">
            <v>DISTRIBUIÇÃO</v>
          </cell>
          <cell r="I726" t="str">
            <v>FOOD SERVICE</v>
          </cell>
          <cell r="J726" t="str">
            <v>FLAC 3</v>
          </cell>
          <cell r="K726" t="str">
            <v>LACTALIS</v>
          </cell>
          <cell r="L726" t="str">
            <v>RODRIGO</v>
          </cell>
          <cell r="M726" t="str">
            <v>RAQUEL BARBOSA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  <cell r="H727" t="str">
            <v>INGREDIENTS</v>
          </cell>
          <cell r="I727" t="str">
            <v>INGREDIENTS</v>
          </cell>
          <cell r="J727" t="str">
            <v>ITB FS SPLENDI REPRESENTAÇÕES</v>
          </cell>
          <cell r="K727" t="str">
            <v>ITAMBÉ</v>
          </cell>
          <cell r="L727" t="str">
            <v>MAURICIO</v>
          </cell>
          <cell r="M727" t="str">
            <v>TATIANA NITTA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  <cell r="H728" t="str">
            <v>DISTRIBUIÇÃO</v>
          </cell>
          <cell r="I728" t="str">
            <v>FOOD SERVICE</v>
          </cell>
          <cell r="J728" t="str">
            <v>FLAC 2</v>
          </cell>
          <cell r="K728" t="str">
            <v>LACTALIS</v>
          </cell>
          <cell r="L728" t="str">
            <v>RODRIGO</v>
          </cell>
          <cell r="M728" t="str">
            <v>RAQUEL BARBOSA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  <cell r="H729" t="str">
            <v>DISTRIBUIÇÃO</v>
          </cell>
          <cell r="I729" t="str">
            <v>FOOD SERVICE</v>
          </cell>
          <cell r="J729" t="str">
            <v>FLAC 3</v>
          </cell>
          <cell r="K729" t="str">
            <v>LACTALIS</v>
          </cell>
          <cell r="L729" t="str">
            <v>RODRIGO</v>
          </cell>
          <cell r="M729" t="str">
            <v>RAQUEL BARBOSA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  <cell r="H730" t="str">
            <v>INGREDIENTS</v>
          </cell>
          <cell r="I730" t="str">
            <v>INGREDIENTS</v>
          </cell>
          <cell r="J730" t="str">
            <v>HENRIQUE FERREIRA</v>
          </cell>
          <cell r="K730" t="str">
            <v>ITAMBÉ</v>
          </cell>
          <cell r="L730" t="str">
            <v>MAURICIO</v>
          </cell>
          <cell r="M730" t="str">
            <v>JOEL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  <cell r="H731" t="str">
            <v>INGREDIENTS</v>
          </cell>
          <cell r="I731" t="str">
            <v>INGREDIENTS</v>
          </cell>
          <cell r="J731" t="str">
            <v>MARCELO RODRIGUES</v>
          </cell>
          <cell r="K731" t="str">
            <v>LACTALIS</v>
          </cell>
          <cell r="L731" t="str">
            <v>MAURICIO</v>
          </cell>
          <cell r="M731" t="str">
            <v>MARCELO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  <cell r="H732" t="str">
            <v>DISTRIBUIÇÃO</v>
          </cell>
          <cell r="I732" t="str">
            <v>FOOD SERVICE</v>
          </cell>
          <cell r="J732" t="str">
            <v>WH FOOD SERVICE CE</v>
          </cell>
          <cell r="K732" t="str">
            <v>ITAMBÉ</v>
          </cell>
          <cell r="L732" t="str">
            <v>RODRIGO</v>
          </cell>
          <cell r="M732" t="str">
            <v>MARIA LOURDES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  <cell r="H733" t="str">
            <v>DISTRIBUIÇÃO</v>
          </cell>
          <cell r="I733" t="str">
            <v>FOOD SERVICE</v>
          </cell>
          <cell r="J733" t="str">
            <v>JESSICA CARLA</v>
          </cell>
          <cell r="K733" t="str">
            <v>ITAMBÉ</v>
          </cell>
          <cell r="L733" t="str">
            <v>RODRIGO</v>
          </cell>
          <cell r="M733" t="str">
            <v>JESSICA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  <cell r="H734" t="str">
            <v>DISTRIBUIÇÃO</v>
          </cell>
          <cell r="I734" t="str">
            <v>FOOD SERVICE</v>
          </cell>
          <cell r="J734" t="str">
            <v>FLAC 6</v>
          </cell>
          <cell r="K734" t="str">
            <v>LACTALIS</v>
          </cell>
          <cell r="L734" t="str">
            <v>RODRIGO</v>
          </cell>
          <cell r="M734" t="str">
            <v>RAQUEL BARBOSA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  <cell r="H735" t="str">
            <v>DISTRIBUIÇÃO</v>
          </cell>
          <cell r="I735" t="str">
            <v>FOOD SERVICE</v>
          </cell>
          <cell r="J735" t="str">
            <v>FLAC 1</v>
          </cell>
          <cell r="K735" t="str">
            <v>LACTALIS</v>
          </cell>
          <cell r="L735" t="str">
            <v>RODRIGO</v>
          </cell>
          <cell r="M735" t="str">
            <v>RAQUEL BARBOSA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  <cell r="H736" t="str">
            <v>DISTRIBUIÇÃO</v>
          </cell>
          <cell r="I736" t="str">
            <v>FOOD SERVICE</v>
          </cell>
          <cell r="J736" t="str">
            <v>FLAC 6</v>
          </cell>
          <cell r="K736" t="str">
            <v>LACTALIS</v>
          </cell>
          <cell r="L736" t="str">
            <v>RODRIGO</v>
          </cell>
          <cell r="M736" t="str">
            <v>RAQUEL BARBOSA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  <cell r="H737" t="str">
            <v>DISTRIBUIÇÃO</v>
          </cell>
          <cell r="I737" t="str">
            <v>FOOD SERVICE</v>
          </cell>
          <cell r="J737" t="str">
            <v>ANGELICA BATISTELA</v>
          </cell>
          <cell r="K737" t="str">
            <v>ITAMBÉ</v>
          </cell>
          <cell r="L737" t="str">
            <v>RODRIGO</v>
          </cell>
          <cell r="M737" t="str">
            <v>ANGELICA BATISTELA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  <cell r="H738" t="str">
            <v>DISTRIBUIÇÃO</v>
          </cell>
          <cell r="I738" t="str">
            <v>FOOD SERVICE</v>
          </cell>
          <cell r="J738" t="str">
            <v>FLAC 3</v>
          </cell>
          <cell r="K738" t="str">
            <v>LACTALIS</v>
          </cell>
          <cell r="L738" t="str">
            <v>RODRIGO</v>
          </cell>
          <cell r="M738" t="str">
            <v>RAQUEL BARBOSA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  <cell r="H739" t="str">
            <v>DISTRIBUIÇÃO</v>
          </cell>
          <cell r="I739" t="str">
            <v>FOOD SERVICE</v>
          </cell>
          <cell r="J739" t="str">
            <v>VAGO SP</v>
          </cell>
          <cell r="K739" t="str">
            <v>LACTALIS</v>
          </cell>
          <cell r="L739" t="str">
            <v>RODRIGO</v>
          </cell>
          <cell r="M739" t="str">
            <v>RAQUEL BARBOSA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  <cell r="H740" t="str">
            <v>DISTRIBUIÇÃO</v>
          </cell>
          <cell r="I740" t="str">
            <v>FOOD SERVICE</v>
          </cell>
          <cell r="J740" t="str">
            <v>MARCELO DUARTE</v>
          </cell>
          <cell r="K740" t="str">
            <v>ITAMBÉ</v>
          </cell>
          <cell r="L740" t="str">
            <v>RODRIGO</v>
          </cell>
          <cell r="M740" t="str">
            <v>JESSICA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  <cell r="H741" t="str">
            <v>INGREDIENTS</v>
          </cell>
          <cell r="I741" t="str">
            <v>INGREDIENTS</v>
          </cell>
          <cell r="J741" t="str">
            <v>DUAS RODAS</v>
          </cell>
          <cell r="K741" t="str">
            <v>ITAMBÉ</v>
          </cell>
          <cell r="L741" t="str">
            <v>MAURICIO</v>
          </cell>
          <cell r="M741" t="str">
            <v>MARCELO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  <cell r="H742" t="str">
            <v>INGREDIENTS</v>
          </cell>
          <cell r="I742" t="str">
            <v>INGREDIENTS</v>
          </cell>
          <cell r="J742" t="str">
            <v>DUAS RODAS</v>
          </cell>
          <cell r="K742" t="str">
            <v>ITAMBÉ</v>
          </cell>
          <cell r="L742" t="str">
            <v>MAURICIO</v>
          </cell>
          <cell r="M742" t="str">
            <v>MARCELO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  <cell r="H743" t="str">
            <v>INGREDIENTS</v>
          </cell>
          <cell r="I743" t="str">
            <v>INGREDIENTS</v>
          </cell>
          <cell r="J743" t="str">
            <v>DUAS RODAS</v>
          </cell>
          <cell r="K743" t="str">
            <v>ITAMBÉ</v>
          </cell>
          <cell r="L743" t="str">
            <v>MAURICIO</v>
          </cell>
          <cell r="M743" t="str">
            <v>MARCELO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  <cell r="H744" t="str">
            <v>INGREDIENTS</v>
          </cell>
          <cell r="I744" t="str">
            <v>INGREDIENTS</v>
          </cell>
          <cell r="J744" t="str">
            <v>MARCELO RODRIGUES</v>
          </cell>
          <cell r="K744" t="str">
            <v>ITAMBÉ</v>
          </cell>
          <cell r="L744" t="str">
            <v>MAURICIO</v>
          </cell>
          <cell r="M744" t="str">
            <v>MARCELO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  <cell r="H745" t="str">
            <v>DISTRIBUIÇÃO</v>
          </cell>
          <cell r="I745" t="str">
            <v>FOOD SERVICE</v>
          </cell>
          <cell r="J745" t="str">
            <v>CLAUDIO JORGE</v>
          </cell>
          <cell r="K745" t="str">
            <v>ITAMBÉ</v>
          </cell>
          <cell r="L745" t="str">
            <v>RODRIGO</v>
          </cell>
          <cell r="M745" t="str">
            <v>MARIA LOURDES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  <cell r="H746" t="str">
            <v>DISTRIBUIÇÃO</v>
          </cell>
          <cell r="I746" t="str">
            <v>FOOD SERVICE</v>
          </cell>
          <cell r="J746" t="str">
            <v>FLAC 3</v>
          </cell>
          <cell r="K746" t="str">
            <v>LACTALIS</v>
          </cell>
          <cell r="L746" t="str">
            <v>RODRIGO</v>
          </cell>
          <cell r="M746" t="str">
            <v>RAQUEL BARBOSA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  <cell r="H747" t="str">
            <v>DISTRIBUIÇÃO</v>
          </cell>
          <cell r="I747" t="str">
            <v>FOOD SERVICE</v>
          </cell>
          <cell r="J747" t="str">
            <v>CLAUDIO JORGE</v>
          </cell>
          <cell r="K747" t="str">
            <v>ITAMBÉ</v>
          </cell>
          <cell r="L747" t="str">
            <v>RODRIGO</v>
          </cell>
          <cell r="M747" t="str">
            <v>MARIA LOURDES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  <cell r="H748" t="str">
            <v>DISTRIBUIÇÃO</v>
          </cell>
          <cell r="I748" t="str">
            <v>FOOD SERVICE</v>
          </cell>
          <cell r="J748" t="str">
            <v>LUCIANA MARTINS</v>
          </cell>
          <cell r="K748" t="str">
            <v>ITAMBÉ</v>
          </cell>
          <cell r="L748" t="str">
            <v>RODRIGO</v>
          </cell>
          <cell r="M748" t="str">
            <v>JESSICA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  <cell r="H749" t="str">
            <v>DISTRIBUIÇÃO</v>
          </cell>
          <cell r="I749" t="str">
            <v>FOOD SERVICE</v>
          </cell>
          <cell r="J749" t="str">
            <v>LUCIANA MARTINS</v>
          </cell>
          <cell r="K749" t="str">
            <v>ITAMBÉ</v>
          </cell>
          <cell r="L749" t="str">
            <v>RODRIGO</v>
          </cell>
          <cell r="M749" t="str">
            <v>JESSICA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  <cell r="H750" t="str">
            <v>DISTRIBUIÇÃO</v>
          </cell>
          <cell r="I750" t="str">
            <v>FOOD SERVICE</v>
          </cell>
          <cell r="J750" t="str">
            <v>FLAC 3</v>
          </cell>
          <cell r="K750" t="str">
            <v>LACTALIS</v>
          </cell>
          <cell r="L750" t="str">
            <v>RODRIGO</v>
          </cell>
          <cell r="M750" t="str">
            <v>RAQUEL BARBOSA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  <cell r="H751" t="str">
            <v>DISTRIBUIÇÃO</v>
          </cell>
          <cell r="I751" t="str">
            <v>FOOD SERVICE</v>
          </cell>
          <cell r="J751" t="str">
            <v>GUILHERME NASCIMENTO</v>
          </cell>
          <cell r="K751" t="str">
            <v>ITAMBÉ</v>
          </cell>
          <cell r="L751" t="str">
            <v>RODRIGO</v>
          </cell>
          <cell r="M751" t="str">
            <v>ALEXANDRO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  <cell r="H752" t="str">
            <v>DISTRIBUIÇÃO</v>
          </cell>
          <cell r="I752" t="str">
            <v>FOOD SERVICE</v>
          </cell>
          <cell r="J752" t="str">
            <v>GUILHERME NASCIMENTO</v>
          </cell>
          <cell r="K752" t="str">
            <v>ITAMBÉ</v>
          </cell>
          <cell r="L752" t="str">
            <v>RODRIGO</v>
          </cell>
          <cell r="M752" t="str">
            <v>ALEXANDRO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  <cell r="H753" t="str">
            <v>DISTRIBUIÇÃO</v>
          </cell>
          <cell r="I753" t="str">
            <v>FOOD SERVICE</v>
          </cell>
          <cell r="J753" t="str">
            <v>FLAC 2</v>
          </cell>
          <cell r="K753" t="str">
            <v>LACTALIS</v>
          </cell>
          <cell r="L753" t="str">
            <v>RODRIGO</v>
          </cell>
          <cell r="M753" t="str">
            <v>RAQUEL BARBOSA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  <cell r="H754" t="str">
            <v>DISTRIBUIÇÃO</v>
          </cell>
          <cell r="I754" t="str">
            <v>FOOD SERVICE</v>
          </cell>
          <cell r="J754" t="str">
            <v>FLAC 6</v>
          </cell>
          <cell r="K754" t="str">
            <v>LACTALIS</v>
          </cell>
          <cell r="L754" t="str">
            <v>RODRIGO</v>
          </cell>
          <cell r="M754" t="str">
            <v>RAQUEL BARBOSA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  <cell r="H755" t="str">
            <v>DISTRIBUIÇÃO</v>
          </cell>
          <cell r="I755" t="str">
            <v>FOOD SERVICE</v>
          </cell>
          <cell r="J755" t="str">
            <v>WH FOOD SERVICE CE</v>
          </cell>
          <cell r="K755" t="str">
            <v>ITAMBÉ</v>
          </cell>
          <cell r="L755" t="str">
            <v>RODRIGO</v>
          </cell>
          <cell r="M755" t="str">
            <v>MARIA LOURDES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  <cell r="H756" t="str">
            <v>DISTRIBUIÇÃO</v>
          </cell>
          <cell r="I756" t="str">
            <v>FOOD SERVICE</v>
          </cell>
          <cell r="J756" t="str">
            <v>FLAC 6</v>
          </cell>
          <cell r="K756" t="str">
            <v>LACTALIS</v>
          </cell>
          <cell r="L756" t="str">
            <v>RODRIGO</v>
          </cell>
          <cell r="M756" t="str">
            <v>RAQUEL BARBOSA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  <cell r="H757" t="str">
            <v>DISTRIBUIÇÃO</v>
          </cell>
          <cell r="I757" t="str">
            <v>FOOD SERVICE</v>
          </cell>
          <cell r="J757" t="str">
            <v>FLAC 2</v>
          </cell>
          <cell r="K757" t="str">
            <v>LACTALIS</v>
          </cell>
          <cell r="L757" t="str">
            <v>RODRIGO</v>
          </cell>
          <cell r="M757" t="str">
            <v>RAQUEL BARBOSA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  <cell r="H758" t="str">
            <v>QSR</v>
          </cell>
          <cell r="I758" t="str">
            <v>FOOD SERVICE</v>
          </cell>
          <cell r="J758" t="str">
            <v>NUTRI</v>
          </cell>
          <cell r="K758" t="str">
            <v>LACTALIS</v>
          </cell>
          <cell r="L758" t="str">
            <v>PEDRO</v>
          </cell>
          <cell r="M758" t="str">
            <v>VAGO QSR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  <cell r="H759" t="str">
            <v>DISTRIBUIÇÃO</v>
          </cell>
          <cell r="I759" t="str">
            <v>FOOD SERVICE</v>
          </cell>
          <cell r="J759" t="str">
            <v>FLAC 6</v>
          </cell>
          <cell r="K759" t="str">
            <v>LACTALIS</v>
          </cell>
          <cell r="L759" t="str">
            <v>RODRIGO</v>
          </cell>
          <cell r="M759" t="str">
            <v>RAQUEL BARBOSA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  <cell r="H760" t="str">
            <v>DISTRIBUIÇÃO</v>
          </cell>
          <cell r="I760" t="str">
            <v>FOOD SERVICE</v>
          </cell>
          <cell r="J760" t="str">
            <v>FLAC 5</v>
          </cell>
          <cell r="K760" t="str">
            <v>LACTALIS</v>
          </cell>
          <cell r="L760" t="str">
            <v>RODRIGO</v>
          </cell>
          <cell r="M760" t="str">
            <v>RAQUEL BARBOSA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  <cell r="H761" t="str">
            <v>DISTRIBUIÇÃO</v>
          </cell>
          <cell r="I761" t="str">
            <v>FOOD SERVICE</v>
          </cell>
          <cell r="J761" t="str">
            <v>FLAC 6</v>
          </cell>
          <cell r="K761" t="str">
            <v>LACTALIS</v>
          </cell>
          <cell r="L761" t="str">
            <v>RODRIGO</v>
          </cell>
          <cell r="M761" t="str">
            <v>RAQUEL BARBOSA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  <cell r="H762" t="str">
            <v>INGREDIENTS</v>
          </cell>
          <cell r="I762" t="str">
            <v>INGREDIENTS</v>
          </cell>
          <cell r="J762" t="str">
            <v>DUAS RODAS</v>
          </cell>
          <cell r="K762" t="str">
            <v>ITAMBÉ</v>
          </cell>
          <cell r="L762" t="str">
            <v>MAURICIO</v>
          </cell>
          <cell r="M762" t="str">
            <v>MARCELO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  <cell r="H763" t="str">
            <v>DISTRIBUIÇÃO</v>
          </cell>
          <cell r="I763" t="str">
            <v>FOOD SERVICE</v>
          </cell>
          <cell r="J763" t="str">
            <v>FLAC 6</v>
          </cell>
          <cell r="K763" t="str">
            <v>LACTALIS</v>
          </cell>
          <cell r="L763" t="str">
            <v>RODRIGO</v>
          </cell>
          <cell r="M763" t="str">
            <v>RAQUEL BARBOSA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  <cell r="H764" t="str">
            <v>INGREDIENTS</v>
          </cell>
          <cell r="I764" t="str">
            <v>INGREDIENTS</v>
          </cell>
          <cell r="J764" t="str">
            <v>JOEL ELEOTÉRIO</v>
          </cell>
          <cell r="K764" t="str">
            <v>LACTALIS</v>
          </cell>
          <cell r="L764" t="str">
            <v>MAURICIO</v>
          </cell>
          <cell r="M764" t="str">
            <v>JOEL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  <cell r="H765" t="str">
            <v>DISTRIBUIÇÃO</v>
          </cell>
          <cell r="I765" t="str">
            <v>FOOD SERVICE</v>
          </cell>
          <cell r="J765" t="str">
            <v>CLAUDIO JORGE/LUIZ</v>
          </cell>
          <cell r="K765" t="str">
            <v>ITAMBÉ</v>
          </cell>
          <cell r="L765" t="str">
            <v>RODRIGO</v>
          </cell>
          <cell r="M765" t="str">
            <v>MARIA LOURDES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  <cell r="H766" t="str">
            <v>INGREDIENTS</v>
          </cell>
          <cell r="I766" t="str">
            <v>INGREDIENTS</v>
          </cell>
          <cell r="J766" t="str">
            <v>HENRIQUE FERREIRA</v>
          </cell>
          <cell r="K766" t="str">
            <v>ITAMBÉ</v>
          </cell>
          <cell r="L766" t="str">
            <v>MAURICIO</v>
          </cell>
          <cell r="M766" t="str">
            <v>JOEL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  <cell r="H767" t="str">
            <v>DISTRIBUIÇÃO</v>
          </cell>
          <cell r="I767" t="str">
            <v>FOOD SERVICE</v>
          </cell>
          <cell r="J767" t="str">
            <v>CLAUDIO JORGE</v>
          </cell>
          <cell r="K767" t="str">
            <v>ITAMBÉ</v>
          </cell>
          <cell r="L767" t="str">
            <v>RODRIGO</v>
          </cell>
          <cell r="M767" t="str">
            <v>MARIA LOURDES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  <cell r="H768" t="str">
            <v>DISTRIBUIÇÃO</v>
          </cell>
          <cell r="I768" t="str">
            <v>FOOD SERVICE</v>
          </cell>
          <cell r="J768" t="str">
            <v>FLAC 2</v>
          </cell>
          <cell r="K768" t="str">
            <v>LACTALIS</v>
          </cell>
          <cell r="L768" t="str">
            <v>RODRIGO</v>
          </cell>
          <cell r="M768" t="str">
            <v>RAQUEL BARBOSA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  <cell r="H769" t="str">
            <v>INGREDIENTS</v>
          </cell>
          <cell r="I769" t="str">
            <v>INGREDIENTS</v>
          </cell>
          <cell r="J769" t="str">
            <v>JOEL ELEOTÉRIO</v>
          </cell>
          <cell r="K769" t="str">
            <v>LACTALIS</v>
          </cell>
          <cell r="L769" t="str">
            <v>MAURICIO</v>
          </cell>
          <cell r="M769" t="str">
            <v>JOEL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  <cell r="H770" t="str">
            <v>INGREDIENTS</v>
          </cell>
          <cell r="I770" t="str">
            <v>INGREDIENTS</v>
          </cell>
          <cell r="J770" t="str">
            <v>JOEL ELEOTÉRIO</v>
          </cell>
          <cell r="K770" t="str">
            <v>LACTALIS</v>
          </cell>
          <cell r="L770" t="str">
            <v>MAURICIO</v>
          </cell>
          <cell r="M770" t="str">
            <v>JOEL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  <cell r="H771" t="str">
            <v>INGREDIENTS</v>
          </cell>
          <cell r="I771" t="str">
            <v>INGREDIENTS</v>
          </cell>
          <cell r="J771" t="str">
            <v>JOEL ELEOTÉRIO</v>
          </cell>
          <cell r="K771" t="str">
            <v>ITAMBÉ</v>
          </cell>
          <cell r="L771" t="str">
            <v>MAURICIO</v>
          </cell>
          <cell r="M771" t="str">
            <v>JOEL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  <cell r="H772" t="str">
            <v>INGREDIENTS</v>
          </cell>
          <cell r="I772" t="str">
            <v>INGREDIENTS</v>
          </cell>
          <cell r="J772" t="str">
            <v>JOEL ELEOTÉRIO</v>
          </cell>
          <cell r="K772" t="str">
            <v>ITAMBÉ</v>
          </cell>
          <cell r="L772" t="str">
            <v>MAURICIO</v>
          </cell>
          <cell r="M772" t="str">
            <v>JOEL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  <cell r="H773" t="str">
            <v>INGREDIENTS</v>
          </cell>
          <cell r="I773" t="str">
            <v>INGREDIENTS</v>
          </cell>
          <cell r="J773" t="str">
            <v>JOEL ELEOTÉRIO</v>
          </cell>
          <cell r="K773" t="str">
            <v>LACTALIS</v>
          </cell>
          <cell r="L773" t="str">
            <v>MAURICIO</v>
          </cell>
          <cell r="M773" t="str">
            <v>JOEL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  <cell r="H774" t="str">
            <v>DISTRIBUIÇÃO</v>
          </cell>
          <cell r="I774" t="str">
            <v>FOOD SERVICE</v>
          </cell>
          <cell r="J774" t="str">
            <v>FLAC 5</v>
          </cell>
          <cell r="K774" t="str">
            <v>LACTALIS</v>
          </cell>
          <cell r="L774" t="str">
            <v>RODRIGO</v>
          </cell>
          <cell r="M774" t="str">
            <v>RAQUEL BARBOSA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  <cell r="H775" t="str">
            <v>DISTRIBUIÇÃO</v>
          </cell>
          <cell r="I775" t="str">
            <v>FOOD SERVICE</v>
          </cell>
          <cell r="J775" t="str">
            <v>FLAC 5</v>
          </cell>
          <cell r="K775" t="str">
            <v>LACTALIS</v>
          </cell>
          <cell r="L775" t="str">
            <v>RODRIGO</v>
          </cell>
          <cell r="M775" t="str">
            <v>RAQUEL BARBOSA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  <cell r="H776" t="str">
            <v>DISTRIBUIÇÃO</v>
          </cell>
          <cell r="I776" t="str">
            <v>FOOD SERVICE</v>
          </cell>
          <cell r="J776" t="str">
            <v>FLAC 6</v>
          </cell>
          <cell r="K776" t="str">
            <v>LACTALIS</v>
          </cell>
          <cell r="L776" t="str">
            <v>RODRIGO</v>
          </cell>
          <cell r="M776" t="str">
            <v>RAQUEL BARBOSA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  <cell r="H777" t="str">
            <v>INGREDIENTS</v>
          </cell>
          <cell r="I777" t="str">
            <v>INGREDIENTS</v>
          </cell>
          <cell r="J777" t="str">
            <v>SP ITB FS LUIZ PEREIRA</v>
          </cell>
          <cell r="K777" t="str">
            <v>ITAMBÉ</v>
          </cell>
          <cell r="L777" t="str">
            <v>MAURICIO</v>
          </cell>
          <cell r="M777" t="str">
            <v>TATIANA NITTA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  <cell r="H778" t="str">
            <v>DISTRIBUIÇÃO</v>
          </cell>
          <cell r="I778" t="str">
            <v>FOOD SERVICE</v>
          </cell>
          <cell r="J778" t="str">
            <v>FLAC 6</v>
          </cell>
          <cell r="K778" t="str">
            <v>LACTALIS</v>
          </cell>
          <cell r="L778" t="str">
            <v>RODRIGO</v>
          </cell>
          <cell r="M778" t="str">
            <v>RAQUEL BARBOSA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  <cell r="H779" t="str">
            <v>QSR</v>
          </cell>
          <cell r="I779" t="str">
            <v>FOOD SERVICE</v>
          </cell>
          <cell r="J779" t="str">
            <v>ANA MENIQUETE</v>
          </cell>
          <cell r="K779" t="str">
            <v>LACTALIS</v>
          </cell>
          <cell r="L779" t="str">
            <v>PEDRO</v>
          </cell>
          <cell r="M779" t="str">
            <v>ANA MENIQUETE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  <cell r="H780" t="str">
            <v>DISTRIBUIÇÃO</v>
          </cell>
          <cell r="I780" t="str">
            <v>FOOD SERVICE</v>
          </cell>
          <cell r="J780" t="str">
            <v>FLAC 2</v>
          </cell>
          <cell r="K780" t="str">
            <v>LACTALIS</v>
          </cell>
          <cell r="L780" t="str">
            <v>RODRIGO</v>
          </cell>
          <cell r="M780" t="str">
            <v>RAQUEL BARBOSA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  <cell r="H781" t="str">
            <v>DISTRIBUIÇÃO</v>
          </cell>
          <cell r="I781" t="str">
            <v>FOOD SERVICE</v>
          </cell>
          <cell r="J781" t="str">
            <v>ANGELICA BATISTELA</v>
          </cell>
          <cell r="K781" t="str">
            <v>LACTALIS</v>
          </cell>
          <cell r="L781" t="str">
            <v>RODRIGO</v>
          </cell>
          <cell r="M781" t="str">
            <v>ANGELICA BATISTELA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  <cell r="H782" t="str">
            <v>DISTRIBUIÇÃO</v>
          </cell>
          <cell r="I782" t="str">
            <v>FOOD SERVICE</v>
          </cell>
          <cell r="J782" t="str">
            <v>ANGELICA BATISTELA</v>
          </cell>
          <cell r="K782" t="str">
            <v>ITAMBÉ</v>
          </cell>
          <cell r="L782" t="str">
            <v>RODRIGO</v>
          </cell>
          <cell r="M782" t="str">
            <v>ANGELICA BATISTELA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  <cell r="H783" t="str">
            <v>DISTRIBUIÇÃO</v>
          </cell>
          <cell r="I783" t="str">
            <v>FOOD SERVICE</v>
          </cell>
          <cell r="J783" t="str">
            <v>FLAC 6</v>
          </cell>
          <cell r="K783" t="str">
            <v>LACTALIS</v>
          </cell>
          <cell r="L783" t="str">
            <v>RODRIGO</v>
          </cell>
          <cell r="M783" t="str">
            <v>RAQUEL BARBOSA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  <cell r="H784" t="str">
            <v>DISTRIBUIÇÃO</v>
          </cell>
          <cell r="I784" t="str">
            <v>FOOD SERVICE</v>
          </cell>
          <cell r="J784" t="str">
            <v>FLAC 3</v>
          </cell>
          <cell r="K784" t="str">
            <v>LACTALIS</v>
          </cell>
          <cell r="L784" t="str">
            <v>RODRIGO</v>
          </cell>
          <cell r="M784" t="str">
            <v>RAQUEL BARBOSA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  <cell r="H785" t="str">
            <v>DISTRIBUIÇÃO</v>
          </cell>
          <cell r="I785" t="str">
            <v>FOOD SERVICE</v>
          </cell>
          <cell r="J785" t="str">
            <v>FLAC 6</v>
          </cell>
          <cell r="K785" t="str">
            <v>LACTALIS</v>
          </cell>
          <cell r="L785" t="str">
            <v>RODRIGO</v>
          </cell>
          <cell r="M785" t="str">
            <v>RAQUEL BARBOSA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  <cell r="H786" t="str">
            <v>DISTRIBUIÇÃO</v>
          </cell>
          <cell r="I786" t="str">
            <v>FOOD SERVICE</v>
          </cell>
          <cell r="J786" t="str">
            <v>FLAC 6</v>
          </cell>
          <cell r="K786" t="str">
            <v>LACTALIS</v>
          </cell>
          <cell r="L786" t="str">
            <v>RODRIGO</v>
          </cell>
          <cell r="M786" t="str">
            <v>RAQUEL BARBOSA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  <cell r="H787" t="str">
            <v>DISTRIBUIÇÃO</v>
          </cell>
          <cell r="I787" t="str">
            <v>FOOD SERVICE</v>
          </cell>
          <cell r="J787" t="str">
            <v>FLAC 6</v>
          </cell>
          <cell r="K787" t="str">
            <v>LACTALIS</v>
          </cell>
          <cell r="L787" t="str">
            <v>RODRIGO</v>
          </cell>
          <cell r="M787" t="str">
            <v>RAQUEL BARBOSA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  <cell r="H788" t="str">
            <v>DISTRIBUIÇÃO</v>
          </cell>
          <cell r="I788" t="str">
            <v>FOOD SERVICE</v>
          </cell>
          <cell r="J788" t="str">
            <v>WH FOOD SERVICE CE</v>
          </cell>
          <cell r="K788" t="str">
            <v>ITAMBÉ</v>
          </cell>
          <cell r="L788" t="str">
            <v>RODRIGO</v>
          </cell>
          <cell r="M788" t="str">
            <v>MARIA LOURDES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  <cell r="H789" t="str">
            <v>DISTRIBUIÇÃO</v>
          </cell>
          <cell r="I789" t="str">
            <v>FOOD SERVICE</v>
          </cell>
          <cell r="J789" t="str">
            <v>WH FOOD SERVICE CE</v>
          </cell>
          <cell r="K789" t="str">
            <v>ITAMBÉ</v>
          </cell>
          <cell r="L789" t="str">
            <v>RODRIGO</v>
          </cell>
          <cell r="M789" t="str">
            <v>MARIA LOURDES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  <cell r="H790" t="str">
            <v>DISTRIBUIÇÃO</v>
          </cell>
          <cell r="I790" t="str">
            <v>FOOD SERVICE</v>
          </cell>
          <cell r="J790" t="str">
            <v>WH FOOD SERVICE CE</v>
          </cell>
          <cell r="K790" t="str">
            <v>ITAMBÉ</v>
          </cell>
          <cell r="L790" t="str">
            <v>RODRIGO</v>
          </cell>
          <cell r="M790" t="str">
            <v>MARIA LOURDES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  <cell r="H791" t="str">
            <v>DISTRIBUIÇÃO</v>
          </cell>
          <cell r="I791" t="str">
            <v>FOOD SERVICE</v>
          </cell>
          <cell r="J791" t="str">
            <v>FLAC 6</v>
          </cell>
          <cell r="K791" t="str">
            <v>LACTALIS</v>
          </cell>
          <cell r="L791" t="str">
            <v>RODRIGO</v>
          </cell>
          <cell r="M791" t="str">
            <v>RAQUEL BARBOSA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  <cell r="H792" t="str">
            <v>DISTRIBUIÇÃO</v>
          </cell>
          <cell r="I792" t="str">
            <v>FOOD SERVICE</v>
          </cell>
          <cell r="J792" t="str">
            <v>MARCELO SILVA</v>
          </cell>
          <cell r="K792" t="str">
            <v>ITAMBÉ</v>
          </cell>
          <cell r="L792" t="str">
            <v>RODRIGO</v>
          </cell>
          <cell r="M792" t="str">
            <v>CELIO MARTINS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  <cell r="H793" t="str">
            <v>INGREDIENTS</v>
          </cell>
          <cell r="I793" t="str">
            <v>INGREDIENTS</v>
          </cell>
          <cell r="J793" t="str">
            <v>JOEL ELEOTÉRIO</v>
          </cell>
          <cell r="K793" t="str">
            <v>ITAMBÉ</v>
          </cell>
          <cell r="L793" t="str">
            <v>MAURICIO</v>
          </cell>
          <cell r="M793" t="str">
            <v>JOEL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  <cell r="H794" t="str">
            <v>DISTRIBUIÇÃO</v>
          </cell>
          <cell r="I794" t="str">
            <v>FOOD SERVICE</v>
          </cell>
          <cell r="J794" t="str">
            <v>FLAC 6</v>
          </cell>
          <cell r="K794" t="str">
            <v>LACTALIS</v>
          </cell>
          <cell r="L794" t="str">
            <v>RODRIGO</v>
          </cell>
          <cell r="M794" t="str">
            <v>RAQUEL BARBOSA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  <cell r="H795" t="str">
            <v>OUTROS</v>
          </cell>
          <cell r="I795" t="str">
            <v>OUTROS</v>
          </cell>
          <cell r="J795" t="str">
            <v>SERVIÇO TIROL</v>
          </cell>
          <cell r="K795" t="str">
            <v>OUTROS</v>
          </cell>
          <cell r="L795" t="str">
            <v>OUTROS</v>
          </cell>
          <cell r="M795" t="str">
            <v>SERVIÇO TIROL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  <cell r="H796" t="str">
            <v>OUTROS</v>
          </cell>
          <cell r="I796" t="str">
            <v>OUTROS</v>
          </cell>
          <cell r="J796" t="str">
            <v>SERVIÇO TIROL</v>
          </cell>
          <cell r="K796" t="str">
            <v>OUTROS</v>
          </cell>
          <cell r="L796" t="str">
            <v>OUTROS</v>
          </cell>
          <cell r="M796" t="str">
            <v>SERVIÇO TIROL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  <cell r="H797" t="str">
            <v>OUTROS</v>
          </cell>
          <cell r="I797" t="str">
            <v>OUTROS</v>
          </cell>
          <cell r="J797" t="str">
            <v>SERVIÇO TIROL</v>
          </cell>
          <cell r="K797" t="str">
            <v>OUTROS</v>
          </cell>
          <cell r="L797" t="str">
            <v>OUTROS</v>
          </cell>
          <cell r="M797" t="str">
            <v>SERVIÇO TIROL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  <cell r="H798" t="str">
            <v>OUTROS</v>
          </cell>
          <cell r="I798" t="str">
            <v>OUTROS</v>
          </cell>
          <cell r="J798" t="str">
            <v>SERVIÇO TIROL</v>
          </cell>
          <cell r="K798" t="str">
            <v>OUTROS</v>
          </cell>
          <cell r="L798" t="str">
            <v>OUTROS</v>
          </cell>
          <cell r="M798" t="str">
            <v>SERVIÇO TIROL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  <cell r="H799" t="str">
            <v>OUTROS</v>
          </cell>
          <cell r="I799" t="str">
            <v>OUTROS</v>
          </cell>
          <cell r="J799" t="str">
            <v>SERVIÇO TIROL</v>
          </cell>
          <cell r="K799" t="str">
            <v>OUTROS</v>
          </cell>
          <cell r="L799" t="str">
            <v>OUTROS</v>
          </cell>
          <cell r="M799" t="str">
            <v>SERVIÇO TIROL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  <cell r="H800" t="str">
            <v>OUTROS</v>
          </cell>
          <cell r="I800" t="str">
            <v>OUTROS</v>
          </cell>
          <cell r="J800" t="str">
            <v>SERVIÇO TIROL</v>
          </cell>
          <cell r="K800" t="str">
            <v>OUTROS</v>
          </cell>
          <cell r="L800" t="str">
            <v>OUTROS</v>
          </cell>
          <cell r="M800" t="str">
            <v>SERVIÇO TIROL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  <cell r="H801" t="str">
            <v>OUTROS</v>
          </cell>
          <cell r="I801" t="str">
            <v>OUTROS</v>
          </cell>
          <cell r="J801" t="str">
            <v>SERVIÇO TIROL</v>
          </cell>
          <cell r="K801" t="str">
            <v>OUTROS</v>
          </cell>
          <cell r="L801" t="str">
            <v>OUTROS</v>
          </cell>
          <cell r="M801" t="str">
            <v>SERVIÇO TIROL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  <cell r="H802" t="str">
            <v>OUTROS</v>
          </cell>
          <cell r="I802" t="str">
            <v>OUTROS</v>
          </cell>
          <cell r="J802" t="str">
            <v>SERVIÇO TIROL</v>
          </cell>
          <cell r="K802" t="str">
            <v>OUTROS</v>
          </cell>
          <cell r="L802" t="str">
            <v>OUTROS</v>
          </cell>
          <cell r="M802" t="str">
            <v>SERVIÇO TIROL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  <cell r="H803" t="str">
            <v>OUTROS</v>
          </cell>
          <cell r="I803" t="str">
            <v>OUTROS</v>
          </cell>
          <cell r="J803" t="str">
            <v>SERVIÇO TIROL</v>
          </cell>
          <cell r="K803" t="str">
            <v>OUTROS</v>
          </cell>
          <cell r="L803" t="str">
            <v>OUTROS</v>
          </cell>
          <cell r="M803" t="str">
            <v>SERVIÇO TIROL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  <cell r="H804" t="str">
            <v>OUTROS</v>
          </cell>
          <cell r="I804" t="str">
            <v>OUTROS</v>
          </cell>
          <cell r="J804" t="str">
            <v>SERVIÇO TIROL</v>
          </cell>
          <cell r="K804" t="str">
            <v>OUTROS</v>
          </cell>
          <cell r="L804" t="str">
            <v>OUTROS</v>
          </cell>
          <cell r="M804" t="str">
            <v>SERVIÇO TIROL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  <cell r="H805" t="str">
            <v>OUTROS</v>
          </cell>
          <cell r="I805" t="str">
            <v>OUTROS</v>
          </cell>
          <cell r="J805" t="str">
            <v>SERVIÇO TIROL</v>
          </cell>
          <cell r="K805" t="str">
            <v>OUTROS</v>
          </cell>
          <cell r="L805" t="str">
            <v>OUTROS</v>
          </cell>
          <cell r="M805" t="str">
            <v>SERVIÇO TIROL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  <cell r="H806" t="str">
            <v>OUTROS</v>
          </cell>
          <cell r="I806" t="str">
            <v>OUTROS</v>
          </cell>
          <cell r="J806" t="str">
            <v>SERVIÇO TIROL</v>
          </cell>
          <cell r="K806" t="str">
            <v>OUTROS</v>
          </cell>
          <cell r="L806" t="str">
            <v>OUTROS</v>
          </cell>
          <cell r="M806" t="str">
            <v>SERVIÇO TIROL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  <cell r="H807" t="str">
            <v>OUTROS</v>
          </cell>
          <cell r="I807" t="str">
            <v>OUTROS</v>
          </cell>
          <cell r="J807" t="str">
            <v>SERVIÇO TIROL</v>
          </cell>
          <cell r="K807" t="str">
            <v>OUTROS</v>
          </cell>
          <cell r="L807" t="str">
            <v>OUTROS</v>
          </cell>
          <cell r="M807" t="str">
            <v>SERVIÇO TIROL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  <cell r="H808" t="str">
            <v>OUTROS</v>
          </cell>
          <cell r="I808" t="str">
            <v>OUTROS</v>
          </cell>
          <cell r="J808" t="str">
            <v>SERVIÇO TIROL</v>
          </cell>
          <cell r="K808" t="str">
            <v>OUTROS</v>
          </cell>
          <cell r="L808" t="str">
            <v>OUTROS</v>
          </cell>
          <cell r="M808" t="str">
            <v>SERVIÇO TIROL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  <cell r="H809" t="str">
            <v>INGREDIENTS</v>
          </cell>
          <cell r="I809" t="str">
            <v>INGREDIENTS</v>
          </cell>
          <cell r="J809" t="str">
            <v>MARCELO RODRIGUES</v>
          </cell>
          <cell r="K809" t="str">
            <v>LACTALIS</v>
          </cell>
          <cell r="L809" t="str">
            <v>MAURICIO</v>
          </cell>
          <cell r="M809" t="str">
            <v>MARCELO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  <cell r="H810" t="str">
            <v>DISTRIBUIÇÃO</v>
          </cell>
          <cell r="I810" t="str">
            <v>FOOD SERVICE</v>
          </cell>
          <cell r="J810" t="str">
            <v>ANGELICA BATISTELA</v>
          </cell>
          <cell r="K810" t="str">
            <v>ITAMBÉ</v>
          </cell>
          <cell r="L810" t="str">
            <v>RODRIGO</v>
          </cell>
          <cell r="M810" t="str">
            <v>ANGELICA BATISTELA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  <cell r="H811" t="str">
            <v>DISTRIBUIÇÃO</v>
          </cell>
          <cell r="I811" t="str">
            <v>FOOD SERVICE</v>
          </cell>
          <cell r="J811" t="str">
            <v>FLAC 6</v>
          </cell>
          <cell r="K811" t="str">
            <v>LACTALIS</v>
          </cell>
          <cell r="L811" t="str">
            <v>RODRIGO</v>
          </cell>
          <cell r="M811" t="str">
            <v>RAQUEL BARBOSA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  <cell r="H812" t="str">
            <v>DISTRIBUIÇÃO</v>
          </cell>
          <cell r="I812" t="str">
            <v>FOOD SERVICE</v>
          </cell>
          <cell r="J812" t="str">
            <v>FLAC 6</v>
          </cell>
          <cell r="K812" t="str">
            <v>LACTALIS</v>
          </cell>
          <cell r="L812" t="str">
            <v>RODRIGO</v>
          </cell>
          <cell r="M812" t="str">
            <v>RAQUEL BARBOSA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  <cell r="H813" t="str">
            <v>DISTRIBUIÇÃO</v>
          </cell>
          <cell r="I813" t="str">
            <v>FOOD SERVICE</v>
          </cell>
          <cell r="J813" t="str">
            <v>FLAC 5</v>
          </cell>
          <cell r="K813" t="str">
            <v>LACTALIS</v>
          </cell>
          <cell r="L813" t="str">
            <v>RODRIGO</v>
          </cell>
          <cell r="M813" t="str">
            <v>RAQUEL BARBOSA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  <cell r="H814" t="str">
            <v>DISTRIBUIÇÃO</v>
          </cell>
          <cell r="I814" t="str">
            <v>FOOD SERVICE</v>
          </cell>
          <cell r="J814" t="str">
            <v>FLAC 6</v>
          </cell>
          <cell r="K814" t="str">
            <v>LACTALIS</v>
          </cell>
          <cell r="L814" t="str">
            <v>RODRIGO</v>
          </cell>
          <cell r="M814" t="str">
            <v>RAQUEL BARBOSA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  <cell r="H815" t="str">
            <v>DISTRIBUIÇÃO</v>
          </cell>
          <cell r="I815" t="str">
            <v>FOOD SERVICE</v>
          </cell>
          <cell r="J815" t="str">
            <v>FLAC 3</v>
          </cell>
          <cell r="K815" t="str">
            <v>LACTALIS</v>
          </cell>
          <cell r="L815" t="str">
            <v>RODRIGO</v>
          </cell>
          <cell r="M815" t="str">
            <v>RAQUEL BARBOSA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  <cell r="H816" t="str">
            <v>DISTRIBUIÇÃO</v>
          </cell>
          <cell r="I816" t="str">
            <v>FOOD SERVICE</v>
          </cell>
          <cell r="J816" t="str">
            <v>FLAC 5</v>
          </cell>
          <cell r="K816" t="str">
            <v>LACTALIS</v>
          </cell>
          <cell r="L816" t="str">
            <v>RODRIGO</v>
          </cell>
          <cell r="M816" t="str">
            <v>RAQUEL BARBOSA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  <cell r="H817" t="str">
            <v>DISTRIBUIÇÃO</v>
          </cell>
          <cell r="I817" t="str">
            <v>FOOD SERVICE</v>
          </cell>
          <cell r="J817" t="str">
            <v>GUILHERME NASCIMENTO</v>
          </cell>
          <cell r="K817" t="str">
            <v>LACTALIS</v>
          </cell>
          <cell r="L817" t="str">
            <v>RODRIGO</v>
          </cell>
          <cell r="M817" t="str">
            <v>ALEXANDRO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  <cell r="H818" t="str">
            <v>INGREDIENTS</v>
          </cell>
          <cell r="I818" t="str">
            <v>INGREDIENTS</v>
          </cell>
          <cell r="J818" t="str">
            <v>JOEL ELEOTÉRIO</v>
          </cell>
          <cell r="K818" t="str">
            <v>LACTALIS</v>
          </cell>
          <cell r="L818" t="str">
            <v>MAURICIO</v>
          </cell>
          <cell r="M818" t="str">
            <v>JOEL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  <cell r="H819" t="str">
            <v>INGREDIENTS</v>
          </cell>
          <cell r="I819" t="str">
            <v>INGREDIENTS</v>
          </cell>
          <cell r="J819" t="str">
            <v>JOEL ELEOTÉRIO</v>
          </cell>
          <cell r="K819" t="str">
            <v>LACTALIS</v>
          </cell>
          <cell r="L819" t="str">
            <v>MAURICIO</v>
          </cell>
          <cell r="M819" t="str">
            <v>JOEL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  <cell r="H820" t="str">
            <v>INGREDIENTS</v>
          </cell>
          <cell r="I820" t="str">
            <v>INGREDIENTS</v>
          </cell>
          <cell r="J820" t="str">
            <v>JOEL ELEOTÉRIO</v>
          </cell>
          <cell r="K820" t="str">
            <v>LACTALIS</v>
          </cell>
          <cell r="L820" t="str">
            <v>MAURICIO</v>
          </cell>
          <cell r="M820" t="str">
            <v>JOEL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  <cell r="H821" t="str">
            <v>INGREDIENTS</v>
          </cell>
          <cell r="I821" t="str">
            <v>INGREDIENTS</v>
          </cell>
          <cell r="J821" t="str">
            <v>JOEL ELEOTÉRIO</v>
          </cell>
          <cell r="K821" t="str">
            <v>LACTALIS</v>
          </cell>
          <cell r="L821" t="str">
            <v>MAURICIO</v>
          </cell>
          <cell r="M821" t="str">
            <v>JOEL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  <cell r="H822" t="str">
            <v>INGREDIENTS</v>
          </cell>
          <cell r="I822" t="str">
            <v>INGREDIENTS</v>
          </cell>
          <cell r="J822" t="str">
            <v>HENRIQUE FERREIRA</v>
          </cell>
          <cell r="K822" t="str">
            <v>ITAMBÉ</v>
          </cell>
          <cell r="L822" t="str">
            <v>MAURICIO</v>
          </cell>
          <cell r="M822" t="str">
            <v>JOEL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  <cell r="H823" t="str">
            <v>DISTRIBUIÇÃO</v>
          </cell>
          <cell r="I823" t="str">
            <v>FOOD SERVICE</v>
          </cell>
          <cell r="J823" t="str">
            <v>FLAC 3</v>
          </cell>
          <cell r="K823" t="str">
            <v>LACTALIS</v>
          </cell>
          <cell r="L823" t="str">
            <v>RODRIGO</v>
          </cell>
          <cell r="M823" t="str">
            <v>RAQUEL BARBOSA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  <cell r="H824" t="str">
            <v>INGREDIENTS</v>
          </cell>
          <cell r="I824" t="str">
            <v>INGREDIENTS</v>
          </cell>
          <cell r="J824" t="str">
            <v>JOEL ELEOTÉRIO</v>
          </cell>
          <cell r="K824" t="str">
            <v>LACTALIS</v>
          </cell>
          <cell r="L824" t="str">
            <v>MAURICIO</v>
          </cell>
          <cell r="M824" t="str">
            <v>JOEL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  <cell r="H825" t="str">
            <v>DISTRIBUIÇÃO</v>
          </cell>
          <cell r="I825" t="str">
            <v>FOOD SERVICE</v>
          </cell>
          <cell r="J825" t="str">
            <v>FLAC 1</v>
          </cell>
          <cell r="K825" t="str">
            <v>LACTALIS</v>
          </cell>
          <cell r="L825" t="str">
            <v>RODRIGO</v>
          </cell>
          <cell r="M825" t="str">
            <v>RAQUEL BARBOSA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  <cell r="H826" t="str">
            <v>INGREDIENTS</v>
          </cell>
          <cell r="I826" t="str">
            <v>INGREDIENTS</v>
          </cell>
          <cell r="J826" t="str">
            <v>JOEL ELEOTÉRIO</v>
          </cell>
          <cell r="K826" t="str">
            <v>ITAMBÉ</v>
          </cell>
          <cell r="L826" t="str">
            <v>MAURICIO</v>
          </cell>
          <cell r="M826" t="str">
            <v>JOEL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  <cell r="H827" t="str">
            <v>INGREDIENTS</v>
          </cell>
          <cell r="I827" t="str">
            <v>INGREDIENTS</v>
          </cell>
          <cell r="J827" t="str">
            <v>MARCELO RODRIGUES</v>
          </cell>
          <cell r="K827" t="str">
            <v>ITAMBÉ</v>
          </cell>
          <cell r="L827" t="str">
            <v>MAURICIO</v>
          </cell>
          <cell r="M827" t="str">
            <v>MARCELO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  <cell r="H828" t="str">
            <v>INGREDIENTS</v>
          </cell>
          <cell r="I828" t="str">
            <v>INGREDIENTS</v>
          </cell>
          <cell r="J828" t="str">
            <v>MARCELO RODRIGUES</v>
          </cell>
          <cell r="K828" t="str">
            <v>LACTALIS</v>
          </cell>
          <cell r="L828" t="str">
            <v>MAURICIO</v>
          </cell>
          <cell r="M828" t="str">
            <v>MARCELO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  <cell r="H829" t="str">
            <v>INGREDIENTS</v>
          </cell>
          <cell r="I829" t="str">
            <v>INGREDIENTS</v>
          </cell>
          <cell r="J829" t="str">
            <v>MARCELO RODRIGUES</v>
          </cell>
          <cell r="K829" t="str">
            <v>LACTALIS</v>
          </cell>
          <cell r="L829" t="str">
            <v>MAURICIO</v>
          </cell>
          <cell r="M829" t="str">
            <v>MARCELO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  <cell r="H830" t="str">
            <v>INGREDIENTS</v>
          </cell>
          <cell r="I830" t="str">
            <v>INGREDIENTS</v>
          </cell>
          <cell r="J830" t="str">
            <v>JOEL ELEOTÉRIO</v>
          </cell>
          <cell r="K830" t="str">
            <v>LACTALIS</v>
          </cell>
          <cell r="L830" t="str">
            <v>MAURICIO</v>
          </cell>
          <cell r="M830" t="str">
            <v>JOEL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  <cell r="H831" t="str">
            <v>DISTRIBUIÇÃO</v>
          </cell>
          <cell r="I831" t="str">
            <v>FOOD SERVICE</v>
          </cell>
          <cell r="J831" t="str">
            <v>CLAUDIO JORGE/LUIZ</v>
          </cell>
          <cell r="K831" t="str">
            <v>ITAMBÉ</v>
          </cell>
          <cell r="L831" t="str">
            <v>RODRIGO</v>
          </cell>
          <cell r="M831" t="str">
            <v>MARIA LOURDES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  <cell r="H832" t="str">
            <v>QSR</v>
          </cell>
          <cell r="I832" t="str">
            <v>FOOD SERVICE</v>
          </cell>
          <cell r="J832" t="str">
            <v>NUTRI</v>
          </cell>
          <cell r="K832" t="str">
            <v>LACTALIS</v>
          </cell>
          <cell r="L832" t="str">
            <v>PEDRO</v>
          </cell>
          <cell r="M832" t="str">
            <v>VAGO QSR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  <cell r="H833" t="str">
            <v>DISTRIBUIÇÃO</v>
          </cell>
          <cell r="I833" t="str">
            <v>FOOD SERVICE</v>
          </cell>
          <cell r="J833" t="str">
            <v>MARCELO DUARTE</v>
          </cell>
          <cell r="K833" t="str">
            <v>ITAMBÉ</v>
          </cell>
          <cell r="L833" t="str">
            <v>RODRIGO</v>
          </cell>
          <cell r="M833" t="str">
            <v>JESSICA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  <cell r="H834" t="str">
            <v>QSR</v>
          </cell>
          <cell r="I834" t="str">
            <v>FOOD SERVICE</v>
          </cell>
          <cell r="J834" t="str">
            <v>NUTRI</v>
          </cell>
          <cell r="K834" t="str">
            <v>LACTALIS</v>
          </cell>
          <cell r="L834" t="str">
            <v>PEDRO</v>
          </cell>
          <cell r="M834" t="str">
            <v>VAGO QSR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  <cell r="H835" t="str">
            <v>QSR</v>
          </cell>
          <cell r="I835" t="str">
            <v>FOOD SERVICE</v>
          </cell>
          <cell r="J835" t="str">
            <v>NUTRI</v>
          </cell>
          <cell r="K835" t="str">
            <v>LACTALIS</v>
          </cell>
          <cell r="L835" t="str">
            <v>PEDRO</v>
          </cell>
          <cell r="M835" t="str">
            <v>VAGO QSR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  <cell r="H836" t="str">
            <v>QSR</v>
          </cell>
          <cell r="I836" t="str">
            <v>FOOD SERVICE</v>
          </cell>
          <cell r="J836" t="str">
            <v>NUTRI</v>
          </cell>
          <cell r="K836" t="str">
            <v>ITAMBÉ</v>
          </cell>
          <cell r="L836" t="str">
            <v>PEDRO</v>
          </cell>
          <cell r="M836" t="str">
            <v>VAGO QSR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  <cell r="H837" t="str">
            <v>QSR</v>
          </cell>
          <cell r="I837" t="str">
            <v>FOOD SERVICE</v>
          </cell>
          <cell r="J837" t="str">
            <v>NUTRI</v>
          </cell>
          <cell r="K837" t="str">
            <v>LACTALIS</v>
          </cell>
          <cell r="L837" t="str">
            <v>PEDRO</v>
          </cell>
          <cell r="M837" t="str">
            <v>VAGO QSR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  <cell r="H838" t="str">
            <v>DISTRIBUIÇÃO</v>
          </cell>
          <cell r="I838" t="str">
            <v>FOOD SERVICE</v>
          </cell>
          <cell r="J838" t="str">
            <v>FLAC 3</v>
          </cell>
          <cell r="K838" t="str">
            <v>LACTALIS</v>
          </cell>
          <cell r="L838" t="str">
            <v>RODRIGO</v>
          </cell>
          <cell r="M838" t="str">
            <v>RAQUEL BARBOSA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  <cell r="H839" t="str">
            <v>DISTRIBUIÇÃO</v>
          </cell>
          <cell r="I839" t="str">
            <v>FOOD SERVICE</v>
          </cell>
          <cell r="J839" t="str">
            <v>FLAC 3</v>
          </cell>
          <cell r="K839" t="str">
            <v>LACTALIS</v>
          </cell>
          <cell r="L839" t="str">
            <v>RODRIGO</v>
          </cell>
          <cell r="M839" t="str">
            <v>RAQUEL BARBOSA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  <cell r="H840" t="str">
            <v>DISTRIBUIÇÃO</v>
          </cell>
          <cell r="I840" t="str">
            <v>FOOD SERVICE</v>
          </cell>
          <cell r="J840" t="str">
            <v>FLAC 5</v>
          </cell>
          <cell r="K840" t="str">
            <v>LACTALIS</v>
          </cell>
          <cell r="L840" t="str">
            <v>RODRIGO</v>
          </cell>
          <cell r="M840" t="str">
            <v>RAQUEL BARBOSA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  <cell r="H841" t="str">
            <v>DISTRIBUIÇÃO</v>
          </cell>
          <cell r="I841" t="str">
            <v>FOOD SERVICE</v>
          </cell>
          <cell r="J841" t="str">
            <v>FLAC 5</v>
          </cell>
          <cell r="K841" t="str">
            <v>LACTALIS</v>
          </cell>
          <cell r="L841" t="str">
            <v>RODRIGO</v>
          </cell>
          <cell r="M841" t="str">
            <v>RAQUEL BARBOSA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  <cell r="H842" t="str">
            <v>DISTRIBUIÇÃO</v>
          </cell>
          <cell r="I842" t="str">
            <v>FOOD SERVICE</v>
          </cell>
          <cell r="J842" t="str">
            <v>FLAC 6</v>
          </cell>
          <cell r="K842" t="str">
            <v>LACTALIS</v>
          </cell>
          <cell r="L842" t="str">
            <v>RODRIGO</v>
          </cell>
          <cell r="M842" t="str">
            <v>RAQUEL BARBOSA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  <cell r="H843" t="str">
            <v>DISTRIBUIÇÃO</v>
          </cell>
          <cell r="I843" t="str">
            <v>FOOD SERVICE</v>
          </cell>
          <cell r="J843" t="str">
            <v>FLAC 6</v>
          </cell>
          <cell r="K843" t="str">
            <v>LACTALIS</v>
          </cell>
          <cell r="L843" t="str">
            <v>RODRIGO</v>
          </cell>
          <cell r="M843" t="str">
            <v>RAQUEL BARBOSA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  <cell r="H844" t="str">
            <v>DISTRIBUIÇÃO</v>
          </cell>
          <cell r="I844" t="str">
            <v>FOOD SERVICE</v>
          </cell>
          <cell r="J844" t="str">
            <v>FLAC 2</v>
          </cell>
          <cell r="K844" t="str">
            <v>LACTALIS</v>
          </cell>
          <cell r="L844" t="str">
            <v>RODRIGO</v>
          </cell>
          <cell r="M844" t="str">
            <v>RAQUEL BARBOSA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  <cell r="H845" t="str">
            <v>DISTRIBUIÇÃO</v>
          </cell>
          <cell r="I845" t="str">
            <v>FOOD SERVICE</v>
          </cell>
          <cell r="J845" t="str">
            <v>ANGELICA BATISTELA</v>
          </cell>
          <cell r="K845" t="str">
            <v>ITAMBÉ</v>
          </cell>
          <cell r="L845" t="str">
            <v>RODRIGO</v>
          </cell>
          <cell r="M845" t="str">
            <v>ANGELICA BATISTELA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  <cell r="H846" t="str">
            <v>DISTRIBUIÇÃO</v>
          </cell>
          <cell r="I846" t="str">
            <v>FOOD SERVICE</v>
          </cell>
          <cell r="J846" t="str">
            <v>CLAUDIO JORGE/LUIZ</v>
          </cell>
          <cell r="K846" t="str">
            <v>ITAMBÉ</v>
          </cell>
          <cell r="L846" t="str">
            <v>RODRIGO</v>
          </cell>
          <cell r="M846" t="str">
            <v>MARIA LOURDES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  <cell r="H847" t="str">
            <v>INGREDIENTS</v>
          </cell>
          <cell r="I847" t="str">
            <v>INGREDIENTS</v>
          </cell>
          <cell r="J847" t="str">
            <v>DUAS RODAS</v>
          </cell>
          <cell r="K847" t="str">
            <v>ITAMBÉ</v>
          </cell>
          <cell r="L847" t="str">
            <v>MAURICIO</v>
          </cell>
          <cell r="M847" t="str">
            <v>MARCELO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  <cell r="H848" t="str">
            <v>INGREDIENTS</v>
          </cell>
          <cell r="I848" t="str">
            <v>INGREDIENTS</v>
          </cell>
          <cell r="J848" t="str">
            <v>MARCELO RODRIGUES</v>
          </cell>
          <cell r="K848" t="str">
            <v>ITAMBÉ</v>
          </cell>
          <cell r="L848" t="str">
            <v>MAURICIO</v>
          </cell>
          <cell r="M848" t="str">
            <v>MARCELO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  <cell r="H849" t="str">
            <v>INGREDIENTS</v>
          </cell>
          <cell r="I849" t="str">
            <v>INGREDIENTS</v>
          </cell>
          <cell r="J849" t="str">
            <v>MARCELO RODRIGUES</v>
          </cell>
          <cell r="K849" t="str">
            <v>ITAMBÉ</v>
          </cell>
          <cell r="L849" t="str">
            <v>MAURICIO</v>
          </cell>
          <cell r="M849" t="str">
            <v>MARCELO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  <cell r="H850" t="str">
            <v>INGREDIENTS</v>
          </cell>
          <cell r="I850" t="str">
            <v>INGREDIENTS</v>
          </cell>
          <cell r="J850" t="str">
            <v>MARCELO RODRIGUES</v>
          </cell>
          <cell r="K850" t="str">
            <v>LACTALIS</v>
          </cell>
          <cell r="L850" t="str">
            <v>MAURICIO</v>
          </cell>
          <cell r="M850" t="str">
            <v>MARCELO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  <cell r="H851" t="str">
            <v>DISTRIBUIÇÃO</v>
          </cell>
          <cell r="I851" t="str">
            <v>FOOD SERVICE</v>
          </cell>
          <cell r="J851" t="str">
            <v>FLAC 6</v>
          </cell>
          <cell r="K851" t="str">
            <v>LACTALIS</v>
          </cell>
          <cell r="L851" t="str">
            <v>RODRIGO</v>
          </cell>
          <cell r="M851" t="str">
            <v>RAQUEL BARBOSA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  <cell r="H852" t="str">
            <v>DISTRIBUIÇÃO</v>
          </cell>
          <cell r="I852" t="str">
            <v>FOOD SERVICE</v>
          </cell>
          <cell r="J852" t="str">
            <v>FLAC 2</v>
          </cell>
          <cell r="K852" t="str">
            <v>LACTALIS</v>
          </cell>
          <cell r="L852" t="str">
            <v>RODRIGO</v>
          </cell>
          <cell r="M852" t="str">
            <v>RAQUEL BARBOSA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  <cell r="H853" t="str">
            <v>DISTRIBUIÇÃO</v>
          </cell>
          <cell r="I853" t="str">
            <v>FOOD SERVICE</v>
          </cell>
          <cell r="J853" t="str">
            <v>CLAUDIO JORGE</v>
          </cell>
          <cell r="K853" t="str">
            <v>ITAMBÉ</v>
          </cell>
          <cell r="L853" t="str">
            <v>RODRIGO</v>
          </cell>
          <cell r="M853" t="str">
            <v>MARIA LOURDES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  <cell r="H854" t="str">
            <v>DISTRIBUIÇÃO</v>
          </cell>
          <cell r="I854" t="str">
            <v>FOOD SERVICE</v>
          </cell>
          <cell r="J854" t="str">
            <v>FLAC 2</v>
          </cell>
          <cell r="K854" t="str">
            <v>LACTALIS</v>
          </cell>
          <cell r="L854" t="str">
            <v>RODRIGO</v>
          </cell>
          <cell r="M854" t="str">
            <v>RAQUEL BARBOSA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  <cell r="H855" t="str">
            <v>DISTRIBUIÇÃO</v>
          </cell>
          <cell r="I855" t="str">
            <v>FOOD SERVICE</v>
          </cell>
          <cell r="J855" t="str">
            <v>FLAC 5</v>
          </cell>
          <cell r="K855" t="str">
            <v>LACTALIS</v>
          </cell>
          <cell r="L855" t="str">
            <v>RODRIGO</v>
          </cell>
          <cell r="M855" t="str">
            <v>RAQUEL BARBOSA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  <cell r="H856" t="str">
            <v>INGREDIENTS</v>
          </cell>
          <cell r="I856" t="str">
            <v>INGREDIENTS</v>
          </cell>
          <cell r="J856" t="str">
            <v>JOEL ELEOTÉRIO</v>
          </cell>
          <cell r="K856" t="str">
            <v>LACTALIS</v>
          </cell>
          <cell r="L856" t="str">
            <v>MAURICIO</v>
          </cell>
          <cell r="M856" t="str">
            <v>JOEL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  <cell r="H857" t="str">
            <v>DISTRIBUIÇÃO</v>
          </cell>
          <cell r="I857" t="str">
            <v>FOOD SERVICE</v>
          </cell>
          <cell r="J857" t="str">
            <v>FLAC 6</v>
          </cell>
          <cell r="K857" t="str">
            <v>LACTALIS</v>
          </cell>
          <cell r="L857" t="str">
            <v>RODRIGO</v>
          </cell>
          <cell r="M857" t="str">
            <v>RAQUEL BARBOSA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  <cell r="H858" t="str">
            <v>DISTRIBUIÇÃO</v>
          </cell>
          <cell r="I858" t="str">
            <v>FOOD SERVICE</v>
          </cell>
          <cell r="J858" t="str">
            <v>FLAC 6</v>
          </cell>
          <cell r="K858" t="str">
            <v>LACTALIS</v>
          </cell>
          <cell r="L858" t="str">
            <v>RODRIGO</v>
          </cell>
          <cell r="M858" t="str">
            <v>RAQUEL BARBOSA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  <cell r="H859" t="str">
            <v>OUTROS</v>
          </cell>
          <cell r="I859" t="str">
            <v>OUTROS</v>
          </cell>
          <cell r="J859" t="str">
            <v>INTERCOMPANY EXP</v>
          </cell>
          <cell r="K859" t="str">
            <v>OUTROS</v>
          </cell>
          <cell r="L859" t="str">
            <v>OUTROS</v>
          </cell>
          <cell r="M859" t="str">
            <v>INTERCOMPANY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  <cell r="H860" t="str">
            <v>DISTRIBUIÇÃO</v>
          </cell>
          <cell r="I860" t="str">
            <v>FOOD SERVICE</v>
          </cell>
          <cell r="J860" t="str">
            <v>MARCO AURELIO</v>
          </cell>
          <cell r="K860" t="str">
            <v>ITAMBÉ</v>
          </cell>
          <cell r="L860" t="str">
            <v>RODRIGO</v>
          </cell>
          <cell r="M860" t="str">
            <v>MARCO AURELIO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  <cell r="H861" t="str">
            <v>INGREDIENTS</v>
          </cell>
          <cell r="I861" t="str">
            <v>INGREDIENTS</v>
          </cell>
          <cell r="J861" t="str">
            <v>TATIANA NITTA</v>
          </cell>
          <cell r="K861" t="str">
            <v>ITAMBÉ</v>
          </cell>
          <cell r="L861" t="str">
            <v>MAURICIO</v>
          </cell>
          <cell r="M861" t="str">
            <v>TATIANA NITTA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  <cell r="H862" t="str">
            <v>INGREDIENTS</v>
          </cell>
          <cell r="I862" t="str">
            <v>INGREDIENTS</v>
          </cell>
          <cell r="J862" t="str">
            <v>TATIANA NITTA</v>
          </cell>
          <cell r="K862" t="str">
            <v>LACTALIS</v>
          </cell>
          <cell r="L862" t="str">
            <v>MAURICIO</v>
          </cell>
          <cell r="M862" t="str">
            <v>TATIANA NITTA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  <cell r="H863" t="str">
            <v>INGREDIENTS</v>
          </cell>
          <cell r="I863" t="str">
            <v>INGREDIENTS</v>
          </cell>
          <cell r="J863" t="str">
            <v>TATIANA NITTA</v>
          </cell>
          <cell r="K863" t="str">
            <v>ITAMBÉ</v>
          </cell>
          <cell r="L863" t="str">
            <v>MAURICIO</v>
          </cell>
          <cell r="M863" t="str">
            <v>TATIANA NITTA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  <cell r="H864" t="str">
            <v>INGREDIENTS</v>
          </cell>
          <cell r="I864" t="str">
            <v>INGREDIENTS</v>
          </cell>
          <cell r="J864" t="str">
            <v>TATIANA NITTA</v>
          </cell>
          <cell r="K864" t="str">
            <v>ITAMBÉ</v>
          </cell>
          <cell r="L864" t="str">
            <v>MAURICIO</v>
          </cell>
          <cell r="M864" t="str">
            <v>TATIANA NITTA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  <cell r="H865" t="str">
            <v>INGREDIENTS</v>
          </cell>
          <cell r="I865" t="str">
            <v>INGREDIENTS</v>
          </cell>
          <cell r="J865" t="str">
            <v>TATIANA NITTA</v>
          </cell>
          <cell r="K865" t="str">
            <v>ITAMBÉ</v>
          </cell>
          <cell r="L865" t="str">
            <v>MAURICIO</v>
          </cell>
          <cell r="M865" t="str">
            <v>TATIANA NITTA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  <cell r="H866" t="str">
            <v>INGREDIENTS</v>
          </cell>
          <cell r="I866" t="str">
            <v>INGREDIENTS</v>
          </cell>
          <cell r="J866" t="str">
            <v>TATIANA NITTA</v>
          </cell>
          <cell r="K866" t="str">
            <v>LACTALIS</v>
          </cell>
          <cell r="L866" t="str">
            <v>MAURICIO</v>
          </cell>
          <cell r="M866" t="str">
            <v>TATIANA NITTA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  <cell r="H867" t="str">
            <v>INGREDIENTS</v>
          </cell>
          <cell r="I867" t="str">
            <v>INGREDIENTS</v>
          </cell>
          <cell r="J867" t="str">
            <v>TATIANA NITTA</v>
          </cell>
          <cell r="K867" t="str">
            <v>LACTALIS</v>
          </cell>
          <cell r="L867" t="str">
            <v>MAURICIO</v>
          </cell>
          <cell r="M867" t="str">
            <v>TATIANA NITTA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  <cell r="H868" t="str">
            <v>INGREDIENTS</v>
          </cell>
          <cell r="I868" t="str">
            <v>INGREDIENTS</v>
          </cell>
          <cell r="J868" t="str">
            <v>TATIANA NITTA</v>
          </cell>
          <cell r="K868" t="str">
            <v>LACTALIS</v>
          </cell>
          <cell r="L868" t="str">
            <v>MAURICIO</v>
          </cell>
          <cell r="M868" t="str">
            <v>TATIANA NITTA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  <cell r="H869" t="str">
            <v>INGREDIENTS</v>
          </cell>
          <cell r="I869" t="str">
            <v>INGREDIENTS</v>
          </cell>
          <cell r="J869" t="str">
            <v>TATIANA NITTA</v>
          </cell>
          <cell r="K869" t="str">
            <v>ITAMBÉ</v>
          </cell>
          <cell r="L869" t="str">
            <v>MAURICIO</v>
          </cell>
          <cell r="M869" t="str">
            <v>TATIANA NITTA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  <cell r="H870" t="str">
            <v>DISTRIBUIÇÃO</v>
          </cell>
          <cell r="I870" t="str">
            <v>FOOD SERVICE</v>
          </cell>
          <cell r="J870" t="str">
            <v>FLAC 2</v>
          </cell>
          <cell r="K870" t="str">
            <v>LACTALIS</v>
          </cell>
          <cell r="L870" t="str">
            <v>RODRIGO</v>
          </cell>
          <cell r="M870" t="str">
            <v>RAQUEL BARBOSA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  <cell r="H871" t="str">
            <v>DISTRIBUIÇÃO</v>
          </cell>
          <cell r="I871" t="str">
            <v>FOOD SERVICE</v>
          </cell>
          <cell r="J871" t="str">
            <v>MARCELO SILVA</v>
          </cell>
          <cell r="K871" t="str">
            <v>ITAMBÉ</v>
          </cell>
          <cell r="L871" t="str">
            <v>RODRIGO</v>
          </cell>
          <cell r="M871" t="str">
            <v>CELIO MARTINS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  <cell r="H872" t="str">
            <v>DISTRIBUIÇÃO</v>
          </cell>
          <cell r="I872" t="str">
            <v>FOOD SERVICE</v>
          </cell>
          <cell r="J872" t="str">
            <v>JULIANA CORDEIRO</v>
          </cell>
          <cell r="K872" t="str">
            <v>ITAMBÉ</v>
          </cell>
          <cell r="L872" t="str">
            <v>RODRIGO</v>
          </cell>
          <cell r="M872" t="str">
            <v>JESSICA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  <cell r="H873" t="str">
            <v>DISTRIBUIÇÃO</v>
          </cell>
          <cell r="I873" t="str">
            <v>FOOD SERVICE</v>
          </cell>
          <cell r="J873" t="str">
            <v>FLAC 4</v>
          </cell>
          <cell r="K873" t="str">
            <v>LACTALIS</v>
          </cell>
          <cell r="L873" t="str">
            <v>RODRIGO</v>
          </cell>
          <cell r="M873" t="str">
            <v>RAQUEL BARBOSA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  <cell r="H874" t="str">
            <v>INGREDIENTS</v>
          </cell>
          <cell r="I874" t="str">
            <v>INGREDIENTS</v>
          </cell>
          <cell r="J874" t="str">
            <v>AM ITB FS I DA SILVA SANTOS</v>
          </cell>
          <cell r="K874" t="str">
            <v>ITAMBÉ</v>
          </cell>
          <cell r="L874" t="str">
            <v>MAURICIO</v>
          </cell>
          <cell r="M874" t="str">
            <v>JOEL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  <cell r="H875" t="str">
            <v>DISTRIBUIÇÃO</v>
          </cell>
          <cell r="I875" t="str">
            <v>FOOD SERVICE</v>
          </cell>
          <cell r="J875" t="str">
            <v>MARCELO DUARTE</v>
          </cell>
          <cell r="K875" t="str">
            <v>ITAMBÉ</v>
          </cell>
          <cell r="L875" t="str">
            <v>RODRIGO</v>
          </cell>
          <cell r="M875" t="str">
            <v>JESSICA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  <cell r="H876" t="str">
            <v>INGREDIENTS</v>
          </cell>
          <cell r="I876" t="str">
            <v>INGREDIENTS</v>
          </cell>
          <cell r="J876" t="str">
            <v>JOEL ELEOTÉRIO</v>
          </cell>
          <cell r="K876" t="str">
            <v>LACTALIS</v>
          </cell>
          <cell r="L876" t="str">
            <v>MAURICIO</v>
          </cell>
          <cell r="M876" t="str">
            <v>JOEL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  <cell r="H877" t="str">
            <v>INGREDIENTS</v>
          </cell>
          <cell r="I877" t="str">
            <v>INGREDIENTS</v>
          </cell>
          <cell r="J877" t="str">
            <v>JOEL ELEOTÉRIO</v>
          </cell>
          <cell r="K877" t="str">
            <v>LACTALIS</v>
          </cell>
          <cell r="L877" t="str">
            <v>MAURICIO</v>
          </cell>
          <cell r="M877" t="str">
            <v>JOEL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  <cell r="H878" t="str">
            <v>INGREDIENTS</v>
          </cell>
          <cell r="I878" t="str">
            <v>INGREDIENTS</v>
          </cell>
          <cell r="J878" t="str">
            <v>JOEL ELEOTÉRIO</v>
          </cell>
          <cell r="K878" t="str">
            <v>LACTALIS</v>
          </cell>
          <cell r="L878" t="str">
            <v>MAURICIO</v>
          </cell>
          <cell r="M878" t="str">
            <v>JOEL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  <cell r="H879" t="str">
            <v>INGREDIENTS</v>
          </cell>
          <cell r="I879" t="str">
            <v>INGREDIENTS</v>
          </cell>
          <cell r="J879" t="str">
            <v>JOEL ELEOTÉRIO</v>
          </cell>
          <cell r="K879" t="str">
            <v>LACTALIS</v>
          </cell>
          <cell r="L879" t="str">
            <v>MAURICIO</v>
          </cell>
          <cell r="M879" t="str">
            <v>JOEL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  <cell r="H880" t="str">
            <v>DISTRIBUIÇÃO</v>
          </cell>
          <cell r="I880" t="str">
            <v>FOOD SERVICE</v>
          </cell>
          <cell r="J880" t="str">
            <v>FLAC 3</v>
          </cell>
          <cell r="K880" t="str">
            <v>LACTALIS</v>
          </cell>
          <cell r="L880" t="str">
            <v>RODRIGO</v>
          </cell>
          <cell r="M880" t="str">
            <v>RAQUEL BARBOSA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  <cell r="H881" t="str">
            <v>DISTRIBUIÇÃO</v>
          </cell>
          <cell r="I881" t="str">
            <v>FOOD SERVICE</v>
          </cell>
          <cell r="J881" t="str">
            <v>FLAC 2</v>
          </cell>
          <cell r="K881" t="str">
            <v>LACTALIS</v>
          </cell>
          <cell r="L881" t="str">
            <v>RODRIGO</v>
          </cell>
          <cell r="M881" t="str">
            <v>RAQUEL BARBOSA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  <cell r="H882" t="str">
            <v>DISTRIBUIÇÃO</v>
          </cell>
          <cell r="I882" t="str">
            <v>FOOD SERVICE</v>
          </cell>
          <cell r="J882" t="str">
            <v>WH FOOD SERVICE CE</v>
          </cell>
          <cell r="K882" t="str">
            <v>ITAMBÉ</v>
          </cell>
          <cell r="L882" t="str">
            <v>RODRIGO</v>
          </cell>
          <cell r="M882" t="str">
            <v>MARIA LOURDES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  <cell r="H883" t="str">
            <v>DISTRIBUIÇÃO</v>
          </cell>
          <cell r="I883" t="str">
            <v>FOOD SERVICE</v>
          </cell>
          <cell r="J883" t="str">
            <v>WH FOOD SERVICE CE</v>
          </cell>
          <cell r="K883" t="str">
            <v>ITAMBÉ</v>
          </cell>
          <cell r="L883" t="str">
            <v>RODRIGO</v>
          </cell>
          <cell r="M883" t="str">
            <v>MARIA LOURDES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  <cell r="H884" t="str">
            <v>DISTRIBUIÇÃO</v>
          </cell>
          <cell r="I884" t="str">
            <v>FOOD SERVICE</v>
          </cell>
          <cell r="J884" t="str">
            <v>MARCELO SILVA</v>
          </cell>
          <cell r="K884" t="str">
            <v>ITAMBÉ</v>
          </cell>
          <cell r="L884" t="str">
            <v>RODRIGO</v>
          </cell>
          <cell r="M884" t="str">
            <v>CELIO MARTINS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  <cell r="H885" t="str">
            <v>INGREDIENTS</v>
          </cell>
          <cell r="I885" t="str">
            <v>INGREDIENTS</v>
          </cell>
          <cell r="J885" t="str">
            <v>DUAS RODAS</v>
          </cell>
          <cell r="K885" t="str">
            <v>ITAMBÉ</v>
          </cell>
          <cell r="L885" t="str">
            <v>MAURICIO</v>
          </cell>
          <cell r="M885" t="str">
            <v>MARCELO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  <cell r="H886" t="str">
            <v>DISTRIBUIÇÃO</v>
          </cell>
          <cell r="I886" t="str">
            <v>FOOD SERVICE</v>
          </cell>
          <cell r="J886" t="str">
            <v>FLAC 2</v>
          </cell>
          <cell r="K886" t="str">
            <v>LACTALIS</v>
          </cell>
          <cell r="L886" t="str">
            <v>RODRIGO</v>
          </cell>
          <cell r="M886" t="str">
            <v>RAQUEL BARBOSA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  <cell r="H887" t="str">
            <v>DISTRIBUIÇÃO</v>
          </cell>
          <cell r="I887" t="str">
            <v>FOOD SERVICE</v>
          </cell>
          <cell r="J887" t="str">
            <v>GUILHERME NASCIMENTO</v>
          </cell>
          <cell r="K887" t="str">
            <v>ITAMBÉ</v>
          </cell>
          <cell r="L887" t="str">
            <v>RODRIGO</v>
          </cell>
          <cell r="M887" t="str">
            <v>ALEXANDRO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  <cell r="H888" t="str">
            <v>DISTRIBUIÇÃO</v>
          </cell>
          <cell r="I888" t="str">
            <v>FOOD SERVICE</v>
          </cell>
          <cell r="J888" t="str">
            <v>GUILHERME NASCIMENTO</v>
          </cell>
          <cell r="K888" t="str">
            <v>LACTALIS</v>
          </cell>
          <cell r="L888" t="str">
            <v>RODRIGO</v>
          </cell>
          <cell r="M888" t="str">
            <v>ALEXANDRO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  <cell r="H889" t="str">
            <v>DISTRIBUIÇÃO</v>
          </cell>
          <cell r="I889" t="str">
            <v>FOOD SERVICE</v>
          </cell>
          <cell r="J889" t="str">
            <v>FLAC 6</v>
          </cell>
          <cell r="K889" t="str">
            <v>LACTALIS</v>
          </cell>
          <cell r="L889" t="str">
            <v>RODRIGO</v>
          </cell>
          <cell r="M889" t="str">
            <v>RAQUEL BARBOSA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  <cell r="H890" t="str">
            <v>DISTRIBUIÇÃO</v>
          </cell>
          <cell r="I890" t="str">
            <v>FOOD SERVICE</v>
          </cell>
          <cell r="J890" t="str">
            <v>DIGMA REPR LTDA</v>
          </cell>
          <cell r="K890" t="str">
            <v>ITAMBÉ</v>
          </cell>
          <cell r="L890" t="str">
            <v>RODRIGO</v>
          </cell>
          <cell r="M890" t="str">
            <v>MARIA LOURDES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  <cell r="H891" t="str">
            <v>DISTRIBUIÇÃO</v>
          </cell>
          <cell r="I891" t="str">
            <v>FOOD SERVICE</v>
          </cell>
          <cell r="J891" t="str">
            <v>CLAUDIO JORGE</v>
          </cell>
          <cell r="K891" t="str">
            <v>ITAMBÉ</v>
          </cell>
          <cell r="L891" t="str">
            <v>RODRIGO</v>
          </cell>
          <cell r="M891" t="str">
            <v>MARIA LOURDES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  <cell r="H892" t="str">
            <v>QSR</v>
          </cell>
          <cell r="I892" t="str">
            <v>FOOD SERVICE</v>
          </cell>
          <cell r="J892" t="str">
            <v>VAGO QSR</v>
          </cell>
          <cell r="K892" t="str">
            <v>ITAMBÉ</v>
          </cell>
          <cell r="L892" t="str">
            <v>PEDRO</v>
          </cell>
          <cell r="M892" t="str">
            <v>VAGO QSR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  <cell r="H893" t="str">
            <v>DISTRIBUIÇÃO</v>
          </cell>
          <cell r="I893" t="str">
            <v>FOOD SERVICE</v>
          </cell>
          <cell r="J893" t="str">
            <v>FLAC 6</v>
          </cell>
          <cell r="K893" t="str">
            <v>LACTALIS</v>
          </cell>
          <cell r="L893" t="str">
            <v>RODRIGO</v>
          </cell>
          <cell r="M893" t="str">
            <v>RAQUEL BARBOSA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  <cell r="H894" t="str">
            <v>DISTRIBUIÇÃO</v>
          </cell>
          <cell r="I894" t="str">
            <v>FOOD SERVICE</v>
          </cell>
          <cell r="J894" t="str">
            <v>MARCO AURELIO</v>
          </cell>
          <cell r="K894" t="str">
            <v>ITAMBÉ</v>
          </cell>
          <cell r="L894" t="str">
            <v>RODRIGO</v>
          </cell>
          <cell r="M894" t="str">
            <v>MARCO AURELIO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  <cell r="H895" t="str">
            <v>DISTRIBUIÇÃO</v>
          </cell>
          <cell r="I895" t="str">
            <v>FOOD SERVICE</v>
          </cell>
          <cell r="J895" t="str">
            <v>ANGELICA BATISTELA</v>
          </cell>
          <cell r="K895" t="str">
            <v>ITAMBÉ</v>
          </cell>
          <cell r="L895" t="str">
            <v>RODRIGO</v>
          </cell>
          <cell r="M895" t="str">
            <v>ANGELICA BATISTELA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  <cell r="H896" t="str">
            <v>DISTRIBUIÇÃO</v>
          </cell>
          <cell r="I896" t="str">
            <v>FOOD SERVICE</v>
          </cell>
          <cell r="J896" t="str">
            <v>FLAC 2</v>
          </cell>
          <cell r="K896" t="str">
            <v>LACTALIS</v>
          </cell>
          <cell r="L896" t="str">
            <v>RODRIGO</v>
          </cell>
          <cell r="M896" t="str">
            <v>RAQUEL BARBOSA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  <cell r="H897" t="str">
            <v>DISTRIBUIÇÃO</v>
          </cell>
          <cell r="I897" t="str">
            <v>FOOD SERVICE</v>
          </cell>
          <cell r="J897" t="str">
            <v>FLAC 6</v>
          </cell>
          <cell r="K897" t="str">
            <v>LACTALIS</v>
          </cell>
          <cell r="L897" t="str">
            <v>RODRIGO</v>
          </cell>
          <cell r="M897" t="str">
            <v>RAQUEL BARBOSA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  <cell r="H898" t="str">
            <v>DISTRIBUIÇÃO</v>
          </cell>
          <cell r="I898" t="str">
            <v>FOOD SERVICE</v>
          </cell>
          <cell r="J898" t="str">
            <v>SP ITB FS FLAC REP.E COMERCIO</v>
          </cell>
          <cell r="K898" t="str">
            <v>ITAMBÉ</v>
          </cell>
          <cell r="L898" t="str">
            <v>RODRIGO</v>
          </cell>
          <cell r="M898" t="str">
            <v>RAQUEL BARBOSA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  <cell r="H899" t="str">
            <v>DISTRIBUIÇÃO</v>
          </cell>
          <cell r="I899" t="str">
            <v>FOOD SERVICE</v>
          </cell>
          <cell r="J899" t="str">
            <v>FLAC 6</v>
          </cell>
          <cell r="K899" t="str">
            <v>LACTALIS</v>
          </cell>
          <cell r="L899" t="str">
            <v>RODRIGO</v>
          </cell>
          <cell r="M899" t="str">
            <v>RAQUEL BARBOSA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  <cell r="H900" t="str">
            <v>INGREDIENTS</v>
          </cell>
          <cell r="I900" t="str">
            <v>INGREDIENTS</v>
          </cell>
          <cell r="J900" t="str">
            <v>DUAS RODAS</v>
          </cell>
          <cell r="K900" t="str">
            <v>ITAMBÉ</v>
          </cell>
          <cell r="L900" t="str">
            <v>MAURICIO</v>
          </cell>
          <cell r="M900" t="str">
            <v>MARCELO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  <cell r="H901" t="str">
            <v>DISTRIBUIÇÃO</v>
          </cell>
          <cell r="I901" t="str">
            <v>FOOD SERVICE</v>
          </cell>
          <cell r="J901" t="str">
            <v>VAGO SP</v>
          </cell>
          <cell r="K901" t="str">
            <v>ITAMBÉ</v>
          </cell>
          <cell r="L901" t="str">
            <v>RODRIGO</v>
          </cell>
          <cell r="M901" t="str">
            <v>RAQUEL BARBOSA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  <cell r="H902" t="str">
            <v>DISTRIBUIÇÃO</v>
          </cell>
          <cell r="I902" t="str">
            <v>FOOD SERVICE</v>
          </cell>
          <cell r="J902" t="str">
            <v>VAGO SP</v>
          </cell>
          <cell r="K902" t="str">
            <v>ITAMBÉ</v>
          </cell>
          <cell r="L902" t="str">
            <v>RODRIGO</v>
          </cell>
          <cell r="M902" t="str">
            <v>RAQUEL BARBOSA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  <cell r="H903" t="str">
            <v>DISTRIBUIÇÃO</v>
          </cell>
          <cell r="I903" t="str">
            <v>FOOD SERVICE</v>
          </cell>
          <cell r="J903" t="str">
            <v>VAGO SP</v>
          </cell>
          <cell r="K903" t="str">
            <v>ITAMBÉ</v>
          </cell>
          <cell r="L903" t="str">
            <v>RODRIGO</v>
          </cell>
          <cell r="M903" t="str">
            <v>RAQUEL BARBOSA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  <cell r="H904" t="str">
            <v>DISTRIBUIÇÃO</v>
          </cell>
          <cell r="I904" t="str">
            <v>FOOD SERVICE</v>
          </cell>
          <cell r="J904" t="str">
            <v>FLAC 6</v>
          </cell>
          <cell r="K904" t="str">
            <v>LACTALIS</v>
          </cell>
          <cell r="L904" t="str">
            <v>RODRIGO</v>
          </cell>
          <cell r="M904" t="str">
            <v>RAQUEL BARBOSA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  <cell r="H905" t="str">
            <v>DISTRIBUIÇÃO</v>
          </cell>
          <cell r="I905" t="str">
            <v>FOOD SERVICE</v>
          </cell>
          <cell r="J905" t="str">
            <v>FLAC 2</v>
          </cell>
          <cell r="K905" t="str">
            <v>LACTALIS</v>
          </cell>
          <cell r="L905" t="str">
            <v>RODRIGO</v>
          </cell>
          <cell r="M905" t="str">
            <v>RAQUEL BARBOSA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  <cell r="H906" t="str">
            <v>QSR</v>
          </cell>
          <cell r="I906" t="str">
            <v>FOOD SERVICE</v>
          </cell>
          <cell r="J906" t="str">
            <v>NUTRI</v>
          </cell>
          <cell r="K906" t="str">
            <v>LACTALIS</v>
          </cell>
          <cell r="L906" t="str">
            <v>PEDRO</v>
          </cell>
          <cell r="M906" t="str">
            <v>VAGO QSR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  <cell r="H907" t="str">
            <v>INGREDIENTS</v>
          </cell>
          <cell r="I907" t="str">
            <v>INGREDIENTS</v>
          </cell>
          <cell r="J907" t="str">
            <v>HENRIQUE FERREIRA</v>
          </cell>
          <cell r="K907" t="str">
            <v>ITAMBÉ</v>
          </cell>
          <cell r="L907" t="str">
            <v>MAURICIO</v>
          </cell>
          <cell r="M907" t="str">
            <v>JOEL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  <cell r="H908" t="str">
            <v>DISTRIBUIÇÃO</v>
          </cell>
          <cell r="I908" t="str">
            <v>FOOD SERVICE</v>
          </cell>
          <cell r="J908" t="str">
            <v>FLAC 2</v>
          </cell>
          <cell r="K908" t="str">
            <v>LACTALIS</v>
          </cell>
          <cell r="L908" t="str">
            <v>RODRIGO</v>
          </cell>
          <cell r="M908" t="str">
            <v>RAQUEL BARBOSA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  <cell r="H909" t="str">
            <v>DISTRIBUIÇÃO</v>
          </cell>
          <cell r="I909" t="str">
            <v>FOOD SERVICE</v>
          </cell>
          <cell r="J909" t="str">
            <v>FLAC 6</v>
          </cell>
          <cell r="K909" t="str">
            <v>LACTALIS</v>
          </cell>
          <cell r="L909" t="str">
            <v>RODRIGO</v>
          </cell>
          <cell r="M909" t="str">
            <v>RAQUEL BARBOSA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  <cell r="H910" t="str">
            <v>DISTRIBUIÇÃO</v>
          </cell>
          <cell r="I910" t="str">
            <v>FOOD SERVICE</v>
          </cell>
          <cell r="J910" t="str">
            <v>CLAUDIO JORGE</v>
          </cell>
          <cell r="K910" t="str">
            <v>ITAMBÉ</v>
          </cell>
          <cell r="L910" t="str">
            <v>RODRIGO</v>
          </cell>
          <cell r="M910" t="str">
            <v>MARIA LOURDES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  <cell r="H911" t="str">
            <v>DISTRIBUIÇÃO</v>
          </cell>
          <cell r="I911" t="str">
            <v>FOOD SERVICE</v>
          </cell>
          <cell r="J911" t="str">
            <v>FLAC 3</v>
          </cell>
          <cell r="K911" t="str">
            <v>LACTALIS</v>
          </cell>
          <cell r="L911" t="str">
            <v>RODRIGO</v>
          </cell>
          <cell r="M911" t="str">
            <v>RAQUEL BARBOSA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  <cell r="H912" t="str">
            <v>DISTRIBUIÇÃO</v>
          </cell>
          <cell r="I912" t="str">
            <v>FOOD SERVICE</v>
          </cell>
          <cell r="J912" t="str">
            <v>FLAC 3</v>
          </cell>
          <cell r="K912" t="str">
            <v>LACTALIS</v>
          </cell>
          <cell r="L912" t="str">
            <v>RODRIGO</v>
          </cell>
          <cell r="M912" t="str">
            <v>RAQUEL BARBOSA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  <cell r="H913" t="str">
            <v>DISTRIBUIÇÃO</v>
          </cell>
          <cell r="I913" t="str">
            <v>FOOD SERVICE</v>
          </cell>
          <cell r="J913" t="str">
            <v>FLAC 5</v>
          </cell>
          <cell r="K913" t="str">
            <v>LACTALIS</v>
          </cell>
          <cell r="L913" t="str">
            <v>RODRIGO</v>
          </cell>
          <cell r="M913" t="str">
            <v>RAQUEL BARBOSA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  <cell r="H914" t="str">
            <v>DISTRIBUIÇÃO</v>
          </cell>
          <cell r="I914" t="str">
            <v>FOOD SERVICE</v>
          </cell>
          <cell r="J914" t="str">
            <v>ALEXANDRO RODRIGUES</v>
          </cell>
          <cell r="K914" t="str">
            <v>ITAMBÉ</v>
          </cell>
          <cell r="L914" t="str">
            <v>RODRIGO</v>
          </cell>
          <cell r="M914" t="str">
            <v>ALEXANDRO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  <cell r="H915" t="str">
            <v>DISTRIBUIÇÃO</v>
          </cell>
          <cell r="I915" t="str">
            <v>FOOD SERVICE</v>
          </cell>
          <cell r="J915" t="str">
            <v>ALEXANDRO RODRIGUES</v>
          </cell>
          <cell r="K915" t="str">
            <v>ITAMBÉ</v>
          </cell>
          <cell r="L915" t="str">
            <v>RODRIGO</v>
          </cell>
          <cell r="M915" t="str">
            <v>ALEXANDRO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  <cell r="H916" t="str">
            <v>DISTRIBUIÇÃO</v>
          </cell>
          <cell r="I916" t="str">
            <v>FOOD SERVICE</v>
          </cell>
          <cell r="J916" t="str">
            <v>FLAC 5</v>
          </cell>
          <cell r="K916" t="str">
            <v>LACTALIS</v>
          </cell>
          <cell r="L916" t="str">
            <v>RODRIGO</v>
          </cell>
          <cell r="M916" t="str">
            <v>RAQUEL BARBOSA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  <cell r="H917" t="str">
            <v>INGREDIENTS</v>
          </cell>
          <cell r="I917" t="str">
            <v>INGREDIENTS</v>
          </cell>
          <cell r="J917" t="str">
            <v>JOEL ELEOTÉRIO</v>
          </cell>
          <cell r="K917" t="str">
            <v>LACTALIS</v>
          </cell>
          <cell r="L917" t="str">
            <v>MAURICIO</v>
          </cell>
          <cell r="M917" t="str">
            <v>JOEL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  <cell r="H918" t="str">
            <v>INGREDIENTS</v>
          </cell>
          <cell r="I918" t="str">
            <v>INGREDIENTS</v>
          </cell>
          <cell r="J918" t="str">
            <v>JOEL ELEOTÉRIO</v>
          </cell>
          <cell r="K918" t="str">
            <v>LACTALIS</v>
          </cell>
          <cell r="L918" t="str">
            <v>MAURICIO</v>
          </cell>
          <cell r="M918" t="str">
            <v>JOEL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  <cell r="H919" t="str">
            <v>DISTRIBUIÇÃO</v>
          </cell>
          <cell r="I919" t="str">
            <v>FOOD SERVICE</v>
          </cell>
          <cell r="J919" t="str">
            <v>FLAC 6</v>
          </cell>
          <cell r="K919" t="str">
            <v>LACTALIS</v>
          </cell>
          <cell r="L919" t="str">
            <v>RODRIGO</v>
          </cell>
          <cell r="M919" t="str">
            <v>RAQUEL BARBOSA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  <cell r="H920" t="str">
            <v>DISTRIBUIÇÃO</v>
          </cell>
          <cell r="I920" t="str">
            <v>FOOD SERVICE</v>
          </cell>
          <cell r="J920" t="str">
            <v>FLAC 2</v>
          </cell>
          <cell r="K920" t="str">
            <v>LACTALIS</v>
          </cell>
          <cell r="L920" t="str">
            <v>RODRIGO</v>
          </cell>
          <cell r="M920" t="str">
            <v>RAQUEL BARBOSA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  <cell r="H921" t="str">
            <v>QSR</v>
          </cell>
          <cell r="I921" t="str">
            <v>FOOD SERVICE</v>
          </cell>
          <cell r="J921" t="str">
            <v>ANA MENIQUETE</v>
          </cell>
          <cell r="K921" t="str">
            <v>ITAMBÉ</v>
          </cell>
          <cell r="L921" t="str">
            <v>PEDRO</v>
          </cell>
          <cell r="M921" t="str">
            <v>ANA MENIQUETE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  <cell r="H922" t="str">
            <v>QSR</v>
          </cell>
          <cell r="I922" t="str">
            <v>FOOD SERVICE</v>
          </cell>
          <cell r="J922" t="str">
            <v>ANA MENIQUETE</v>
          </cell>
          <cell r="K922" t="str">
            <v>LACTALIS</v>
          </cell>
          <cell r="L922" t="str">
            <v>PEDRO</v>
          </cell>
          <cell r="M922" t="str">
            <v>ANA MENIQUETE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  <cell r="H923" t="str">
            <v>DISTRIBUIÇÃO</v>
          </cell>
          <cell r="I923" t="str">
            <v>FOOD SERVICE</v>
          </cell>
          <cell r="J923" t="str">
            <v>FLAC 2</v>
          </cell>
          <cell r="K923" t="str">
            <v>LACTALIS</v>
          </cell>
          <cell r="L923" t="str">
            <v>RODRIGO</v>
          </cell>
          <cell r="M923" t="str">
            <v>RAQUEL BARBOSA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  <cell r="H924" t="str">
            <v>DISTRIBUIÇÃO</v>
          </cell>
          <cell r="I924" t="str">
            <v>FOOD SERVICE</v>
          </cell>
          <cell r="J924" t="str">
            <v>FLAC 6</v>
          </cell>
          <cell r="K924" t="str">
            <v>LACTALIS</v>
          </cell>
          <cell r="L924" t="str">
            <v>RODRIGO</v>
          </cell>
          <cell r="M924" t="str">
            <v>RAQUEL BARBOSA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  <cell r="H925" t="str">
            <v>QSR</v>
          </cell>
          <cell r="I925" t="str">
            <v>FOOD SERVICE</v>
          </cell>
          <cell r="J925" t="str">
            <v>NUTRI</v>
          </cell>
          <cell r="K925" t="str">
            <v>LACTALIS</v>
          </cell>
          <cell r="L925" t="str">
            <v>PEDRO</v>
          </cell>
          <cell r="M925" t="str">
            <v>VAGO QSR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  <cell r="H926" t="str">
            <v>QSR</v>
          </cell>
          <cell r="I926" t="str">
            <v>FOOD SERVICE</v>
          </cell>
          <cell r="J926" t="str">
            <v>NUTRI</v>
          </cell>
          <cell r="K926" t="str">
            <v>ITAMBÉ</v>
          </cell>
          <cell r="L926" t="str">
            <v>PEDRO</v>
          </cell>
          <cell r="M926" t="str">
            <v>VAGO QSR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  <cell r="H927" t="str">
            <v>QSR</v>
          </cell>
          <cell r="I927" t="str">
            <v>FOOD SERVICE</v>
          </cell>
          <cell r="J927" t="str">
            <v>NUTRI</v>
          </cell>
          <cell r="K927" t="str">
            <v>LACTALIS</v>
          </cell>
          <cell r="L927" t="str">
            <v>PEDRO</v>
          </cell>
          <cell r="M927" t="str">
            <v>VAGO QSR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  <cell r="H928" t="str">
            <v>DISTRIBUIÇÃO</v>
          </cell>
          <cell r="I928" t="str">
            <v>FOOD SERVICE</v>
          </cell>
          <cell r="J928" t="str">
            <v>FLAC 3</v>
          </cell>
          <cell r="K928" t="str">
            <v>LACTALIS</v>
          </cell>
          <cell r="L928" t="str">
            <v>RODRIGO</v>
          </cell>
          <cell r="M928" t="str">
            <v>RAQUEL BARBOSA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  <cell r="H929" t="str">
            <v>DISTRIBUIÇÃO</v>
          </cell>
          <cell r="I929" t="str">
            <v>FOOD SERVICE</v>
          </cell>
          <cell r="J929" t="str">
            <v>MARCELO SILVA</v>
          </cell>
          <cell r="K929" t="str">
            <v>ITAMBÉ</v>
          </cell>
          <cell r="L929" t="str">
            <v>RODRIGO</v>
          </cell>
          <cell r="M929" t="str">
            <v>CELIO MARTINS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  <cell r="H930" t="str">
            <v>INGREDIENTS</v>
          </cell>
          <cell r="I930" t="str">
            <v>INGREDIENTS</v>
          </cell>
          <cell r="J930" t="str">
            <v>JOEL ELEOTÉRIO</v>
          </cell>
          <cell r="K930" t="str">
            <v>LACTALIS</v>
          </cell>
          <cell r="L930" t="str">
            <v>MAURICIO</v>
          </cell>
          <cell r="M930" t="str">
            <v>JOEL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  <cell r="H931" t="str">
            <v>DISTRIBUIÇÃO</v>
          </cell>
          <cell r="I931" t="str">
            <v>FOOD SERVICE</v>
          </cell>
          <cell r="J931" t="str">
            <v>ALEXANDRO RODRIGUES</v>
          </cell>
          <cell r="K931" t="str">
            <v>ITAMBÉ</v>
          </cell>
          <cell r="L931" t="str">
            <v>RODRIGO</v>
          </cell>
          <cell r="M931" t="str">
            <v>ALEXANDRO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  <cell r="H932" t="str">
            <v>DISTRIBUIÇÃO</v>
          </cell>
          <cell r="I932" t="str">
            <v>FOOD SERVICE</v>
          </cell>
          <cell r="J932" t="str">
            <v>FLAC 6</v>
          </cell>
          <cell r="K932" t="str">
            <v>LACTALIS</v>
          </cell>
          <cell r="L932" t="str">
            <v>RODRIGO</v>
          </cell>
          <cell r="M932" t="str">
            <v>RAQUEL BARBOSA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  <cell r="H933" t="str">
            <v>DISTRIBUIÇÃO</v>
          </cell>
          <cell r="I933" t="str">
            <v>FOOD SERVICE</v>
          </cell>
          <cell r="J933" t="str">
            <v>FLAC 2</v>
          </cell>
          <cell r="K933" t="str">
            <v>LACTALIS</v>
          </cell>
          <cell r="L933" t="str">
            <v>RODRIGO</v>
          </cell>
          <cell r="M933" t="str">
            <v>RAQUEL BARBOSA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  <cell r="H934" t="str">
            <v>INGREDIENTS</v>
          </cell>
          <cell r="I934" t="str">
            <v>INGREDIENTS</v>
          </cell>
          <cell r="J934" t="str">
            <v>AM - DUAS RODAS</v>
          </cell>
          <cell r="K934" t="str">
            <v>ITAMBÉ</v>
          </cell>
          <cell r="L934" t="str">
            <v>MAURICIO</v>
          </cell>
          <cell r="M934" t="str">
            <v>JOEL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  <cell r="H935" t="str">
            <v>DISTRIBUIÇÃO</v>
          </cell>
          <cell r="I935" t="str">
            <v>FOOD SERVICE</v>
          </cell>
          <cell r="J935" t="str">
            <v>FLAC 2</v>
          </cell>
          <cell r="K935" t="str">
            <v>LACTALIS</v>
          </cell>
          <cell r="L935" t="str">
            <v>RODRIGO</v>
          </cell>
          <cell r="M935" t="str">
            <v>RAQUEL BARBOSA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  <cell r="H936" t="str">
            <v>DISTRIBUIÇÃO</v>
          </cell>
          <cell r="I936" t="str">
            <v>FOOD SERVICE</v>
          </cell>
          <cell r="J936" t="str">
            <v>FLAC 6</v>
          </cell>
          <cell r="K936" t="str">
            <v>LACTALIS</v>
          </cell>
          <cell r="L936" t="str">
            <v>RODRIGO</v>
          </cell>
          <cell r="M936" t="str">
            <v>RAQUEL BARBOSA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  <cell r="H937" t="str">
            <v>INGREDIENTS</v>
          </cell>
          <cell r="I937" t="str">
            <v>INGREDIENTS</v>
          </cell>
          <cell r="J937" t="str">
            <v>JOEL ELEOTÉRIO</v>
          </cell>
          <cell r="K937" t="str">
            <v>LACTALIS</v>
          </cell>
          <cell r="L937" t="str">
            <v>MAURICIO</v>
          </cell>
          <cell r="M937" t="str">
            <v>JOEL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  <cell r="H938" t="str">
            <v>DISTRIBUIÇÃO</v>
          </cell>
          <cell r="I938" t="str">
            <v>FOOD SERVICE</v>
          </cell>
          <cell r="J938" t="str">
            <v>FLAC 6</v>
          </cell>
          <cell r="K938" t="str">
            <v>LACTALIS</v>
          </cell>
          <cell r="L938" t="str">
            <v>RODRIGO</v>
          </cell>
          <cell r="M938" t="str">
            <v>RAQUEL BARBOSA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  <cell r="H939" t="str">
            <v>DISTRIBUIÇÃO</v>
          </cell>
          <cell r="I939" t="str">
            <v>FOOD SERVICE</v>
          </cell>
          <cell r="J939" t="str">
            <v>FLAC 1</v>
          </cell>
          <cell r="K939" t="str">
            <v>LACTALIS</v>
          </cell>
          <cell r="L939" t="str">
            <v>RODRIGO</v>
          </cell>
          <cell r="M939" t="str">
            <v>RAQUEL BARBOSA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  <cell r="H940" t="str">
            <v>DISTRIBUIÇÃO</v>
          </cell>
          <cell r="I940" t="str">
            <v>FOOD SERVICE</v>
          </cell>
          <cell r="J940" t="str">
            <v>MARCELO DUARTE</v>
          </cell>
          <cell r="K940" t="str">
            <v>ITAMBÉ</v>
          </cell>
          <cell r="L940" t="str">
            <v>RODRIGO</v>
          </cell>
          <cell r="M940" t="str">
            <v>JESSICA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  <cell r="H941" t="str">
            <v>INGREDIENTS</v>
          </cell>
          <cell r="I941" t="str">
            <v>INGREDIENTS</v>
          </cell>
          <cell r="J941" t="str">
            <v>SP ITB FS IKM REPRESENTACOES</v>
          </cell>
          <cell r="K941" t="str">
            <v>ITAMBÉ</v>
          </cell>
          <cell r="L941" t="str">
            <v>MAURICIO</v>
          </cell>
          <cell r="M941" t="str">
            <v>TATIANA NITTA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  <cell r="H942" t="str">
            <v>DISTRIBUIÇÃO</v>
          </cell>
          <cell r="I942" t="str">
            <v>FOOD SERVICE</v>
          </cell>
          <cell r="J942" t="str">
            <v>FLAC 6</v>
          </cell>
          <cell r="K942" t="str">
            <v>LACTALIS</v>
          </cell>
          <cell r="L942" t="str">
            <v>RODRIGO</v>
          </cell>
          <cell r="M942" t="str">
            <v>RAQUEL BARBOSA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  <cell r="H943" t="str">
            <v>DISTRIBUIÇÃO</v>
          </cell>
          <cell r="I943" t="str">
            <v>FOOD SERVICE</v>
          </cell>
          <cell r="J943" t="str">
            <v>ANGELICA BATISTELA</v>
          </cell>
          <cell r="K943" t="str">
            <v>ITAMBÉ</v>
          </cell>
          <cell r="L943" t="str">
            <v>RODRIGO</v>
          </cell>
          <cell r="M943" t="str">
            <v>ANGELICA BATISTELA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  <cell r="H944" t="str">
            <v>DISTRIBUIÇÃO</v>
          </cell>
          <cell r="I944" t="str">
            <v>FOOD SERVICE</v>
          </cell>
          <cell r="J944" t="str">
            <v>FLAC 6</v>
          </cell>
          <cell r="K944" t="str">
            <v>LACTALIS</v>
          </cell>
          <cell r="L944" t="str">
            <v>RODRIGO</v>
          </cell>
          <cell r="M944" t="str">
            <v>RAQUEL BARBOSA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  <cell r="H945" t="str">
            <v>DISTRIBUIÇÃO</v>
          </cell>
          <cell r="I945" t="str">
            <v>FOOD SERVICE</v>
          </cell>
          <cell r="J945" t="str">
            <v>FLAC 2</v>
          </cell>
          <cell r="K945" t="str">
            <v>LACTALIS</v>
          </cell>
          <cell r="L945" t="str">
            <v>RODRIGO</v>
          </cell>
          <cell r="M945" t="str">
            <v>RAQUEL BARBOSA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  <cell r="H946" t="str">
            <v>DISTRIBUIÇÃO</v>
          </cell>
          <cell r="I946" t="str">
            <v>FOOD SERVICE</v>
          </cell>
          <cell r="J946" t="str">
            <v>FLAC 6</v>
          </cell>
          <cell r="K946" t="str">
            <v>LACTALIS</v>
          </cell>
          <cell r="L946" t="str">
            <v>RODRIGO</v>
          </cell>
          <cell r="M946" t="str">
            <v>RAQUEL BARBOSA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  <cell r="H947" t="str">
            <v>DISTRIBUIÇÃO</v>
          </cell>
          <cell r="I947" t="str">
            <v>FOOD SERVICE</v>
          </cell>
          <cell r="J947" t="str">
            <v>FLAC 2</v>
          </cell>
          <cell r="K947" t="str">
            <v>LACTALIS</v>
          </cell>
          <cell r="L947" t="str">
            <v>RODRIGO</v>
          </cell>
          <cell r="M947" t="str">
            <v>RAQUEL BARBOSA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  <cell r="H948" t="str">
            <v>DISTRIBUIÇÃO</v>
          </cell>
          <cell r="I948" t="str">
            <v>FOOD SERVICE</v>
          </cell>
          <cell r="J948" t="str">
            <v>FLAC 6</v>
          </cell>
          <cell r="K948" t="str">
            <v>LACTALIS</v>
          </cell>
          <cell r="L948" t="str">
            <v>RODRIGO</v>
          </cell>
          <cell r="M948" t="str">
            <v>RAQUEL BARBOSA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  <cell r="H949" t="str">
            <v>DISTRIBUIÇÃO</v>
          </cell>
          <cell r="I949" t="str">
            <v>FOOD SERVICE</v>
          </cell>
          <cell r="J949" t="str">
            <v>FLAC 2</v>
          </cell>
          <cell r="K949" t="str">
            <v>LACTALIS</v>
          </cell>
          <cell r="L949" t="str">
            <v>RODRIGO</v>
          </cell>
          <cell r="M949" t="str">
            <v>RAQUEL BARBOSA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  <cell r="H950" t="str">
            <v>DISTRIBUIÇÃO</v>
          </cell>
          <cell r="I950" t="str">
            <v>FOOD SERVICE</v>
          </cell>
          <cell r="J950" t="str">
            <v>FLAC 2</v>
          </cell>
          <cell r="K950" t="str">
            <v>LACTALIS</v>
          </cell>
          <cell r="L950" t="str">
            <v>RODRIGO</v>
          </cell>
          <cell r="M950" t="str">
            <v>RAQUEL BARBOSA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  <cell r="H951" t="str">
            <v>DISTRIBUIÇÃO</v>
          </cell>
          <cell r="I951" t="str">
            <v>FOOD SERVICE</v>
          </cell>
          <cell r="J951" t="str">
            <v>FLAC 2</v>
          </cell>
          <cell r="K951" t="str">
            <v>LACTALIS</v>
          </cell>
          <cell r="L951" t="str">
            <v>RODRIGO</v>
          </cell>
          <cell r="M951" t="str">
            <v>RAQUEL BARBOSA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  <cell r="H952" t="str">
            <v>DISTRIBUIÇÃO</v>
          </cell>
          <cell r="I952" t="str">
            <v>FOOD SERVICE</v>
          </cell>
          <cell r="J952" t="str">
            <v>FLAC 3</v>
          </cell>
          <cell r="K952" t="str">
            <v>LACTALIS</v>
          </cell>
          <cell r="L952" t="str">
            <v>RODRIGO</v>
          </cell>
          <cell r="M952" t="str">
            <v>RAQUEL BARBOSA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  <cell r="H953" t="str">
            <v>DISTRIBUIÇÃO</v>
          </cell>
          <cell r="I953" t="str">
            <v>FOOD SERVICE</v>
          </cell>
          <cell r="J953" t="str">
            <v>VAGO SP</v>
          </cell>
          <cell r="K953" t="str">
            <v>LACTALIS</v>
          </cell>
          <cell r="L953" t="str">
            <v>RODRIGO</v>
          </cell>
          <cell r="M953" t="str">
            <v>RAQUEL BARBOSA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  <cell r="H954" t="str">
            <v>DISTRIBUIÇÃO</v>
          </cell>
          <cell r="I954" t="str">
            <v>FOOD SERVICE</v>
          </cell>
          <cell r="J954" t="str">
            <v>FLAC 1</v>
          </cell>
          <cell r="K954" t="str">
            <v>LACTALIS</v>
          </cell>
          <cell r="L954" t="str">
            <v>RODRIGO</v>
          </cell>
          <cell r="M954" t="str">
            <v>RAQUEL BARBOSA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  <cell r="H955" t="str">
            <v>DISTRIBUIÇÃO</v>
          </cell>
          <cell r="I955" t="str">
            <v>FOOD SERVICE</v>
          </cell>
          <cell r="J955" t="str">
            <v>CELIO MARTINS</v>
          </cell>
          <cell r="K955" t="str">
            <v>ITAMBÉ</v>
          </cell>
          <cell r="L955" t="str">
            <v>RODRIGO</v>
          </cell>
          <cell r="M955" t="str">
            <v>CELIO MARTINS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  <cell r="H956" t="str">
            <v>DISTRIBUIÇÃO</v>
          </cell>
          <cell r="I956" t="str">
            <v>FOOD SERVICE</v>
          </cell>
          <cell r="J956" t="str">
            <v>FLAC 2</v>
          </cell>
          <cell r="K956" t="str">
            <v>LACTALIS</v>
          </cell>
          <cell r="L956" t="str">
            <v>RODRIGO</v>
          </cell>
          <cell r="M956" t="str">
            <v>RAQUEL BARBOSA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  <cell r="H957" t="str">
            <v>DISTRIBUIÇÃO</v>
          </cell>
          <cell r="I957" t="str">
            <v>FOOD SERVICE</v>
          </cell>
          <cell r="J957" t="str">
            <v>FLAC 3</v>
          </cell>
          <cell r="K957" t="str">
            <v>LACTALIS</v>
          </cell>
          <cell r="L957" t="str">
            <v>RODRIGO</v>
          </cell>
          <cell r="M957" t="str">
            <v>RAQUEL BARBOSA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  <cell r="H958" t="str">
            <v>QSR</v>
          </cell>
          <cell r="I958" t="str">
            <v>FOOD SERVICE</v>
          </cell>
          <cell r="J958" t="str">
            <v>ANA MENIQUETE</v>
          </cell>
          <cell r="K958" t="str">
            <v>ITAMBÉ</v>
          </cell>
          <cell r="L958" t="str">
            <v>PEDRO</v>
          </cell>
          <cell r="M958" t="str">
            <v>ANA MENIQUETE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  <cell r="H959" t="str">
            <v>QSR</v>
          </cell>
          <cell r="I959" t="str">
            <v>FOOD SERVICE</v>
          </cell>
          <cell r="J959" t="str">
            <v>ANA MENIQUETE</v>
          </cell>
          <cell r="K959" t="str">
            <v>ITAMBÉ</v>
          </cell>
          <cell r="L959" t="str">
            <v>PEDRO</v>
          </cell>
          <cell r="M959" t="str">
            <v>ANA MENIQUETE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  <cell r="H960" t="str">
            <v>QSR</v>
          </cell>
          <cell r="I960" t="str">
            <v>FOOD SERVICE</v>
          </cell>
          <cell r="J960" t="str">
            <v>ANA MENIQUETE</v>
          </cell>
          <cell r="K960" t="str">
            <v>LACTALIS</v>
          </cell>
          <cell r="L960" t="str">
            <v>PEDRO</v>
          </cell>
          <cell r="M960" t="str">
            <v>ANA MENIQUETE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  <cell r="H961" t="str">
            <v>QSR</v>
          </cell>
          <cell r="I961" t="str">
            <v>FOOD SERVICE</v>
          </cell>
          <cell r="J961" t="str">
            <v>ANA MENIQUETE</v>
          </cell>
          <cell r="K961" t="str">
            <v>ITAMBÉ</v>
          </cell>
          <cell r="L961" t="str">
            <v>PEDRO</v>
          </cell>
          <cell r="M961" t="str">
            <v>ANA MENIQUETE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  <cell r="H962" t="str">
            <v>QSR</v>
          </cell>
          <cell r="I962" t="str">
            <v>FOOD SERVICE</v>
          </cell>
          <cell r="J962" t="str">
            <v>ANA MENIQUETE</v>
          </cell>
          <cell r="K962" t="str">
            <v>LACTALIS</v>
          </cell>
          <cell r="L962" t="str">
            <v>PEDRO</v>
          </cell>
          <cell r="M962" t="str">
            <v>ANA MENIQUETE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  <cell r="H963" t="str">
            <v>DISTRIBUIÇÃO</v>
          </cell>
          <cell r="I963" t="str">
            <v>FOOD SERVICE</v>
          </cell>
          <cell r="J963" t="str">
            <v>WH FOOD SERVICE CE</v>
          </cell>
          <cell r="K963" t="str">
            <v>ITAMBÉ</v>
          </cell>
          <cell r="L963" t="str">
            <v>RODRIGO</v>
          </cell>
          <cell r="M963" t="str">
            <v>MARIA LOURDES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  <cell r="H964" t="str">
            <v>DISTRIBUIÇÃO</v>
          </cell>
          <cell r="I964" t="str">
            <v>FOOD SERVICE</v>
          </cell>
          <cell r="J964" t="str">
            <v>FLAC 2</v>
          </cell>
          <cell r="K964" t="str">
            <v>LACTALIS</v>
          </cell>
          <cell r="L964" t="str">
            <v>RODRIGO</v>
          </cell>
          <cell r="M964" t="str">
            <v>RAQUEL BARBOSA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  <cell r="H965" t="str">
            <v>DISTRIBUIÇÃO</v>
          </cell>
          <cell r="I965" t="str">
            <v>FOOD SERVICE</v>
          </cell>
          <cell r="J965" t="str">
            <v>CLAUDIO JORGE/LUIZ</v>
          </cell>
          <cell r="K965" t="str">
            <v>ITAMBÉ</v>
          </cell>
          <cell r="L965" t="str">
            <v>RODRIGO</v>
          </cell>
          <cell r="M965" t="str">
            <v>MARIA LOURDES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  <cell r="H966" t="str">
            <v>INGREDIENTS</v>
          </cell>
          <cell r="I966" t="str">
            <v>INGREDIENTS</v>
          </cell>
          <cell r="J966" t="str">
            <v>HENRIQUE FERREIRA</v>
          </cell>
          <cell r="K966" t="str">
            <v>ITAMBÉ</v>
          </cell>
          <cell r="L966" t="str">
            <v>MAURICIO</v>
          </cell>
          <cell r="M966" t="str">
            <v>JOEL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  <cell r="H967" t="str">
            <v>INGREDIENTS</v>
          </cell>
          <cell r="I967" t="str">
            <v>INGREDIENTS</v>
          </cell>
          <cell r="J967" t="str">
            <v>TATIANA NITTA</v>
          </cell>
          <cell r="K967" t="str">
            <v>ITAMBÉ</v>
          </cell>
          <cell r="L967" t="str">
            <v>MAURICIO</v>
          </cell>
          <cell r="M967" t="str">
            <v>TATIANA NITTA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  <cell r="H968" t="str">
            <v>DISTRIBUIÇÃO</v>
          </cell>
          <cell r="I968" t="str">
            <v>FOOD SERVICE</v>
          </cell>
          <cell r="J968" t="str">
            <v>MARCELO DUARTE</v>
          </cell>
          <cell r="K968" t="str">
            <v>ITAMBÉ</v>
          </cell>
          <cell r="L968" t="str">
            <v>RODRIGO</v>
          </cell>
          <cell r="M968" t="str">
            <v>JESSICA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  <cell r="H969" t="str">
            <v>DISTRIBUIÇÃO</v>
          </cell>
          <cell r="I969" t="str">
            <v>FOOD SERVICE</v>
          </cell>
          <cell r="J969" t="str">
            <v>MARCELO DUARTE</v>
          </cell>
          <cell r="K969" t="str">
            <v>ITAMBÉ</v>
          </cell>
          <cell r="L969" t="str">
            <v>RODRIGO</v>
          </cell>
          <cell r="M969" t="str">
            <v>JESSICA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  <cell r="H970" t="str">
            <v>DISTRIBUIÇÃO</v>
          </cell>
          <cell r="I970" t="str">
            <v>FOOD SERVICE</v>
          </cell>
          <cell r="J970" t="str">
            <v>MARCELO SILVA</v>
          </cell>
          <cell r="K970" t="str">
            <v>ITAMBÉ</v>
          </cell>
          <cell r="L970" t="str">
            <v>RODRIGO</v>
          </cell>
          <cell r="M970" t="str">
            <v>CELIO MARTINS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  <cell r="H971" t="str">
            <v>INGREDIENTS</v>
          </cell>
          <cell r="I971" t="str">
            <v>INGREDIENTS</v>
          </cell>
          <cell r="J971" t="str">
            <v>BA ITB FS ML FLAVORS</v>
          </cell>
          <cell r="K971" t="str">
            <v>ITAMBÉ</v>
          </cell>
          <cell r="L971" t="str">
            <v>MAURICIO</v>
          </cell>
          <cell r="M971" t="str">
            <v>JOEL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  <cell r="H972" t="str">
            <v>INGREDIENTS</v>
          </cell>
          <cell r="I972" t="str">
            <v>INGREDIENTS</v>
          </cell>
          <cell r="J972" t="str">
            <v>BA ITB FS ML FLAVORS</v>
          </cell>
          <cell r="K972" t="str">
            <v>ITAMBÉ</v>
          </cell>
          <cell r="L972" t="str">
            <v>MAURICIO</v>
          </cell>
          <cell r="M972" t="str">
            <v>JOEL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  <cell r="H973" t="str">
            <v>INGREDIENTS</v>
          </cell>
          <cell r="I973" t="str">
            <v>INGREDIENTS</v>
          </cell>
          <cell r="J973" t="str">
            <v>MARCELO RODRIGUES</v>
          </cell>
          <cell r="K973" t="str">
            <v>LACTALIS</v>
          </cell>
          <cell r="L973" t="str">
            <v>MAURICIO</v>
          </cell>
          <cell r="M973" t="str">
            <v>MARCELO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  <cell r="H974" t="str">
            <v>DISTRIBUIÇÃO</v>
          </cell>
          <cell r="I974" t="str">
            <v>FOOD SERVICE</v>
          </cell>
          <cell r="J974" t="str">
            <v>WH FOOD SERVICE CE</v>
          </cell>
          <cell r="K974" t="str">
            <v>ITAMBÉ</v>
          </cell>
          <cell r="L974" t="str">
            <v>RODRIGO</v>
          </cell>
          <cell r="M974" t="str">
            <v>MARIA LOURDES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  <cell r="H975" t="str">
            <v>DISTRIBUIÇÃO</v>
          </cell>
          <cell r="I975" t="str">
            <v>FOOD SERVICE</v>
          </cell>
          <cell r="J975" t="str">
            <v>FLAC 6</v>
          </cell>
          <cell r="K975" t="str">
            <v>LACTALIS</v>
          </cell>
          <cell r="L975" t="str">
            <v>RODRIGO</v>
          </cell>
          <cell r="M975" t="str">
            <v>RAQUEL BARBOSA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  <cell r="H976" t="str">
            <v>DISTRIBUIÇÃO</v>
          </cell>
          <cell r="I976" t="str">
            <v>FOOD SERVICE</v>
          </cell>
          <cell r="J976" t="str">
            <v>FLAC 3</v>
          </cell>
          <cell r="K976" t="str">
            <v>LACTALIS</v>
          </cell>
          <cell r="L976" t="str">
            <v>RODRIGO</v>
          </cell>
          <cell r="M976" t="str">
            <v>RAQUEL BARBOSA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  <cell r="H977" t="str">
            <v>DISTRIBUIÇÃO</v>
          </cell>
          <cell r="I977" t="str">
            <v>FOOD SERVICE</v>
          </cell>
          <cell r="J977" t="str">
            <v>FLAC 2</v>
          </cell>
          <cell r="K977" t="str">
            <v>LACTALIS</v>
          </cell>
          <cell r="L977" t="str">
            <v>RODRIGO</v>
          </cell>
          <cell r="M977" t="str">
            <v>RAQUEL BARBOSA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  <cell r="H978" t="str">
            <v>DISTRIBUIÇÃO</v>
          </cell>
          <cell r="I978" t="str">
            <v>FOOD SERVICE</v>
          </cell>
          <cell r="J978" t="str">
            <v>FLAC 2</v>
          </cell>
          <cell r="K978" t="str">
            <v>LACTALIS</v>
          </cell>
          <cell r="L978" t="str">
            <v>RODRIGO</v>
          </cell>
          <cell r="M978" t="str">
            <v>RAQUEL BARBOSA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  <cell r="H979" t="str">
            <v>DISTRIBUIÇÃO</v>
          </cell>
          <cell r="I979" t="str">
            <v>FOOD SERVICE</v>
          </cell>
          <cell r="J979" t="str">
            <v>FLAC 2</v>
          </cell>
          <cell r="K979" t="str">
            <v>LACTALIS</v>
          </cell>
          <cell r="L979" t="str">
            <v>RODRIGO</v>
          </cell>
          <cell r="M979" t="str">
            <v>RAQUEL BARBOSA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  <cell r="H980" t="str">
            <v>DISTRIBUIÇÃO</v>
          </cell>
          <cell r="I980" t="str">
            <v>FOOD SERVICE</v>
          </cell>
          <cell r="J980" t="str">
            <v>ANGELICA BATISTELA</v>
          </cell>
          <cell r="K980" t="str">
            <v>ITAMBÉ</v>
          </cell>
          <cell r="L980" t="str">
            <v>RODRIGO</v>
          </cell>
          <cell r="M980" t="str">
            <v>ANGELICA BATISTELA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  <cell r="H981" t="str">
            <v>DISTRIBUIÇÃO</v>
          </cell>
          <cell r="I981" t="str">
            <v>FOOD SERVICE</v>
          </cell>
          <cell r="J981" t="str">
            <v>FLAC 6</v>
          </cell>
          <cell r="K981" t="str">
            <v>LACTALIS</v>
          </cell>
          <cell r="L981" t="str">
            <v>RODRIGO</v>
          </cell>
          <cell r="M981" t="str">
            <v>RAQUEL BARBOSA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  <cell r="H982" t="str">
            <v>DISTRIBUIÇÃO</v>
          </cell>
          <cell r="I982" t="str">
            <v>FOOD SERVICE</v>
          </cell>
          <cell r="J982" t="str">
            <v>FLAC 6</v>
          </cell>
          <cell r="K982" t="str">
            <v>LACTALIS</v>
          </cell>
          <cell r="L982" t="str">
            <v>RODRIGO</v>
          </cell>
          <cell r="M982" t="str">
            <v>RAQUEL BARBOSA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  <cell r="H983" t="str">
            <v>DISTRIBUIÇÃO</v>
          </cell>
          <cell r="I983" t="str">
            <v>FOOD SERVICE</v>
          </cell>
          <cell r="J983" t="str">
            <v>FLAC 2</v>
          </cell>
          <cell r="K983" t="str">
            <v>LACTALIS</v>
          </cell>
          <cell r="L983" t="str">
            <v>RODRIGO</v>
          </cell>
          <cell r="M983" t="str">
            <v>RAQUEL BARBOSA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  <cell r="H984" t="str">
            <v>DISTRIBUIÇÃO</v>
          </cell>
          <cell r="I984" t="str">
            <v>FOOD SERVICE</v>
          </cell>
          <cell r="J984" t="str">
            <v>CLAUDIO JORGE/LUIZ</v>
          </cell>
          <cell r="K984" t="str">
            <v>ITAMBÉ</v>
          </cell>
          <cell r="L984" t="str">
            <v>RODRIGO</v>
          </cell>
          <cell r="M984" t="str">
            <v>MARIA LOURDES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  <cell r="H985" t="str">
            <v>INGREDIENTS</v>
          </cell>
          <cell r="I985" t="str">
            <v>INGREDIENTS</v>
          </cell>
          <cell r="J985" t="str">
            <v>DUAS RODAS</v>
          </cell>
          <cell r="K985" t="str">
            <v>ITAMBÉ</v>
          </cell>
          <cell r="L985" t="str">
            <v>MAURICIO</v>
          </cell>
          <cell r="M985" t="str">
            <v>MARCELO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  <cell r="H986" t="str">
            <v>DISTRIBUIÇÃO</v>
          </cell>
          <cell r="I986" t="str">
            <v>FOOD SERVICE</v>
          </cell>
          <cell r="J986" t="str">
            <v>MARCELO DUARTE</v>
          </cell>
          <cell r="K986" t="str">
            <v>ITAMBÉ</v>
          </cell>
          <cell r="L986" t="str">
            <v>RODRIGO</v>
          </cell>
          <cell r="M986" t="str">
            <v>JESSICA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  <cell r="H987" t="str">
            <v>INGREDIENTS</v>
          </cell>
          <cell r="I987" t="str">
            <v>INGREDIENTS</v>
          </cell>
          <cell r="J987" t="str">
            <v>MARCELO RODRIGUES</v>
          </cell>
          <cell r="K987" t="str">
            <v>LACTALIS</v>
          </cell>
          <cell r="L987" t="str">
            <v>MAURICIO</v>
          </cell>
          <cell r="M987" t="str">
            <v>MARCELO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  <cell r="H988" t="str">
            <v>DISTRIBUIÇÃO</v>
          </cell>
          <cell r="I988" t="str">
            <v>FOOD SERVICE</v>
          </cell>
          <cell r="J988" t="str">
            <v>FLAC 2</v>
          </cell>
          <cell r="K988" t="str">
            <v>LACTALIS</v>
          </cell>
          <cell r="L988" t="str">
            <v>RODRIGO</v>
          </cell>
          <cell r="M988" t="str">
            <v>RAQUEL BARBOSA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  <cell r="H989" t="str">
            <v>DISTRIBUIÇÃO</v>
          </cell>
          <cell r="I989" t="str">
            <v>FOOD SERVICE</v>
          </cell>
          <cell r="J989" t="str">
            <v>FLAC 2</v>
          </cell>
          <cell r="K989" t="str">
            <v>LACTALIS</v>
          </cell>
          <cell r="L989" t="str">
            <v>RODRIGO</v>
          </cell>
          <cell r="M989" t="str">
            <v>RAQUEL BARBOSA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  <cell r="H990" t="str">
            <v>DISTRIBUIÇÃO</v>
          </cell>
          <cell r="I990" t="str">
            <v>FOOD SERVICE</v>
          </cell>
          <cell r="J990" t="str">
            <v>FLAC 6</v>
          </cell>
          <cell r="K990" t="str">
            <v>LACTALIS</v>
          </cell>
          <cell r="L990" t="str">
            <v>RODRIGO</v>
          </cell>
          <cell r="M990" t="str">
            <v>RAQUEL BARBOSA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  <cell r="H991" t="str">
            <v>DISTRIBUIÇÃO</v>
          </cell>
          <cell r="I991" t="str">
            <v>FOOD SERVICE</v>
          </cell>
          <cell r="J991" t="str">
            <v>FLAC 2</v>
          </cell>
          <cell r="K991" t="str">
            <v>LACTALIS</v>
          </cell>
          <cell r="L991" t="str">
            <v>RODRIGO</v>
          </cell>
          <cell r="M991" t="str">
            <v>RAQUEL BARBOSA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  <cell r="H992" t="str">
            <v>DISTRIBUIÇÃO</v>
          </cell>
          <cell r="I992" t="str">
            <v>FOOD SERVICE</v>
          </cell>
          <cell r="J992" t="str">
            <v>LUCIANA MARTINS</v>
          </cell>
          <cell r="K992" t="str">
            <v>ITAMBÉ</v>
          </cell>
          <cell r="L992" t="str">
            <v>RODRIGO</v>
          </cell>
          <cell r="M992" t="str">
            <v>JESSICA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  <cell r="H993" t="str">
            <v>INGREDIENTS</v>
          </cell>
          <cell r="I993" t="str">
            <v>INGREDIENTS</v>
          </cell>
          <cell r="J993" t="str">
            <v>DUAS RODAS</v>
          </cell>
          <cell r="K993" t="str">
            <v>ITAMBÉ</v>
          </cell>
          <cell r="L993" t="str">
            <v>MAURICIO</v>
          </cell>
          <cell r="M993" t="str">
            <v>MARCELO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  <cell r="H994" t="str">
            <v>INGREDIENTS</v>
          </cell>
          <cell r="I994" t="str">
            <v>INGREDIENTS</v>
          </cell>
          <cell r="J994" t="str">
            <v>MARCELO RODRIGUES</v>
          </cell>
          <cell r="K994" t="str">
            <v>ITAMBÉ</v>
          </cell>
          <cell r="L994" t="str">
            <v>MAURICIO</v>
          </cell>
          <cell r="M994" t="str">
            <v>MARCELO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  <cell r="H995" t="str">
            <v>INGREDIENTS</v>
          </cell>
          <cell r="I995" t="str">
            <v>INGREDIENTS</v>
          </cell>
          <cell r="J995" t="str">
            <v>MARCELO RODRIGUES</v>
          </cell>
          <cell r="K995" t="str">
            <v>ITAMBÉ</v>
          </cell>
          <cell r="L995" t="str">
            <v>MAURICIO</v>
          </cell>
          <cell r="M995" t="str">
            <v>MARCELO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  <cell r="H996" t="str">
            <v>INGREDIENTS</v>
          </cell>
          <cell r="I996" t="str">
            <v>INGREDIENTS</v>
          </cell>
          <cell r="J996" t="str">
            <v>MARCELO RODRIGUES</v>
          </cell>
          <cell r="K996" t="str">
            <v>LACTALIS</v>
          </cell>
          <cell r="L996" t="str">
            <v>MAURICIO</v>
          </cell>
          <cell r="M996" t="str">
            <v>MARCELO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  <cell r="H997" t="str">
            <v>INGREDIENTS</v>
          </cell>
          <cell r="I997" t="str">
            <v>INGREDIENTS</v>
          </cell>
          <cell r="J997" t="str">
            <v>MARCELO RODRIGUES</v>
          </cell>
          <cell r="K997" t="str">
            <v>LACTALIS</v>
          </cell>
          <cell r="L997" t="str">
            <v>MAURICIO</v>
          </cell>
          <cell r="M997" t="str">
            <v>MARCELO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  <cell r="H998" t="str">
            <v>INGREDIENTS</v>
          </cell>
          <cell r="I998" t="str">
            <v>INGREDIENTS</v>
          </cell>
          <cell r="J998" t="str">
            <v>MARCELO RODRIGUES</v>
          </cell>
          <cell r="K998" t="str">
            <v>ITAMBÉ</v>
          </cell>
          <cell r="L998" t="str">
            <v>MAURICIO</v>
          </cell>
          <cell r="M998" t="str">
            <v>MARCELO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  <cell r="H999" t="str">
            <v>DISTRIBUIÇÃO</v>
          </cell>
          <cell r="I999" t="str">
            <v>FOOD SERVICE</v>
          </cell>
          <cell r="J999" t="str">
            <v>FLAC 2</v>
          </cell>
          <cell r="K999" t="str">
            <v>LACTALIS</v>
          </cell>
          <cell r="L999" t="str">
            <v>RODRIGO</v>
          </cell>
          <cell r="M999" t="str">
            <v>RAQUEL BARBOSA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  <cell r="H1000" t="str">
            <v>DISTRIBUIÇÃO</v>
          </cell>
          <cell r="I1000" t="str">
            <v>FOOD SERVICE</v>
          </cell>
          <cell r="J1000" t="str">
            <v>FLAC 2</v>
          </cell>
          <cell r="K1000" t="str">
            <v>LACTALIS</v>
          </cell>
          <cell r="L1000" t="str">
            <v>RODRIGO</v>
          </cell>
          <cell r="M1000" t="str">
            <v>RAQUEL BARBOSA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  <cell r="H1001" t="str">
            <v>QSR</v>
          </cell>
          <cell r="I1001" t="str">
            <v>FOOD SERVICE</v>
          </cell>
          <cell r="J1001" t="str">
            <v>ANA MENIQUETE</v>
          </cell>
          <cell r="K1001" t="str">
            <v>LACTALIS</v>
          </cell>
          <cell r="L1001" t="str">
            <v>PEDRO</v>
          </cell>
          <cell r="M1001" t="str">
            <v>ANA MENIQUETE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  <cell r="H1002" t="str">
            <v>QSR</v>
          </cell>
          <cell r="I1002" t="str">
            <v>FOOD SERVICE</v>
          </cell>
          <cell r="J1002" t="str">
            <v>ANA MENIQUETE</v>
          </cell>
          <cell r="K1002" t="str">
            <v>ITAMBÉ</v>
          </cell>
          <cell r="L1002" t="str">
            <v>PEDRO</v>
          </cell>
          <cell r="M1002" t="str">
            <v>ANA MENIQUETE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  <cell r="H1003" t="str">
            <v>QSR</v>
          </cell>
          <cell r="I1003" t="str">
            <v>FOOD SERVICE</v>
          </cell>
          <cell r="J1003" t="str">
            <v>ANA MENIQUETE</v>
          </cell>
          <cell r="K1003" t="str">
            <v>LACTALIS</v>
          </cell>
          <cell r="L1003" t="str">
            <v>PEDRO</v>
          </cell>
          <cell r="M1003" t="str">
            <v>ANA MENIQUETE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  <cell r="H1004" t="str">
            <v>DISTRIBUIÇÃO</v>
          </cell>
          <cell r="I1004" t="str">
            <v>FOOD SERVICE</v>
          </cell>
          <cell r="J1004" t="str">
            <v>FLAC 6</v>
          </cell>
          <cell r="K1004" t="str">
            <v>LACTALIS</v>
          </cell>
          <cell r="L1004" t="str">
            <v>RODRIGO</v>
          </cell>
          <cell r="M1004" t="str">
            <v>RAQUEL BARBOSA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  <cell r="H1005" t="str">
            <v>DISTRIBUIÇÃO</v>
          </cell>
          <cell r="I1005" t="str">
            <v>FOOD SERVICE</v>
          </cell>
          <cell r="J1005" t="str">
            <v>FLAC 5</v>
          </cell>
          <cell r="K1005" t="str">
            <v>LACTALIS</v>
          </cell>
          <cell r="L1005" t="str">
            <v>RODRIGO</v>
          </cell>
          <cell r="M1005" t="str">
            <v>RAQUEL BARBOSA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  <cell r="H1006" t="str">
            <v>INGREDIENTS</v>
          </cell>
          <cell r="I1006" t="str">
            <v>INGREDIENTS</v>
          </cell>
          <cell r="J1006" t="str">
            <v>JOEL ELEOTÉRIO</v>
          </cell>
          <cell r="K1006" t="str">
            <v>ITAMBÉ</v>
          </cell>
          <cell r="L1006" t="str">
            <v>MAURICIO</v>
          </cell>
          <cell r="M1006" t="str">
            <v>JOEL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  <cell r="H1007" t="str">
            <v>DISTRIBUIÇÃO</v>
          </cell>
          <cell r="I1007" t="str">
            <v>FOOD SERVICE</v>
          </cell>
          <cell r="J1007" t="str">
            <v>LUCIANA MARTINS</v>
          </cell>
          <cell r="K1007" t="str">
            <v>ITAMBÉ</v>
          </cell>
          <cell r="L1007" t="str">
            <v>RODRIGO</v>
          </cell>
          <cell r="M1007" t="str">
            <v>JESSICA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  <cell r="H1008" t="str">
            <v>DISTRIBUIÇÃO</v>
          </cell>
          <cell r="I1008" t="str">
            <v>FOOD SERVICE</v>
          </cell>
          <cell r="J1008" t="str">
            <v>FLAC 2</v>
          </cell>
          <cell r="K1008" t="str">
            <v>LACTALIS</v>
          </cell>
          <cell r="L1008" t="str">
            <v>RODRIGO</v>
          </cell>
          <cell r="M1008" t="str">
            <v>RAQUEL BARBOSA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  <cell r="H1009" t="str">
            <v>INGREDIENTS</v>
          </cell>
          <cell r="I1009" t="str">
            <v>INGREDIENTS</v>
          </cell>
          <cell r="J1009" t="str">
            <v>HENRIQUE FERREIRA</v>
          </cell>
          <cell r="K1009" t="str">
            <v>ITAMBÉ</v>
          </cell>
          <cell r="L1009" t="str">
            <v>MAURICIO</v>
          </cell>
          <cell r="M1009" t="str">
            <v>JOEL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  <cell r="H1010" t="str">
            <v>INGREDIENTS</v>
          </cell>
          <cell r="I1010" t="str">
            <v>INGREDIENTS</v>
          </cell>
          <cell r="J1010" t="str">
            <v>HENRIQUE FERREIRA</v>
          </cell>
          <cell r="K1010" t="str">
            <v>LACTALIS</v>
          </cell>
          <cell r="L1010" t="str">
            <v>MAURICIO</v>
          </cell>
          <cell r="M1010" t="str">
            <v>JOEL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  <cell r="H1011" t="str">
            <v>DISTRIBUIÇÃO</v>
          </cell>
          <cell r="I1011" t="str">
            <v>FOOD SERVICE</v>
          </cell>
          <cell r="J1011" t="str">
            <v>FLAC 6</v>
          </cell>
          <cell r="K1011" t="str">
            <v>LACTALIS</v>
          </cell>
          <cell r="L1011" t="str">
            <v>RODRIGO</v>
          </cell>
          <cell r="M1011" t="str">
            <v>RAQUEL BARBOSA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  <cell r="H1012" t="str">
            <v>INGREDIENTS</v>
          </cell>
          <cell r="I1012" t="str">
            <v>INGREDIENTS</v>
          </cell>
          <cell r="J1012" t="str">
            <v>TATIANA NITTA</v>
          </cell>
          <cell r="K1012" t="str">
            <v>ITAMBÉ</v>
          </cell>
          <cell r="L1012" t="str">
            <v>MAURICIO</v>
          </cell>
          <cell r="M1012" t="str">
            <v>TATIANA NITTA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  <cell r="H1013" t="str">
            <v>DISTRIBUIÇÃO</v>
          </cell>
          <cell r="I1013" t="str">
            <v>FOOD SERVICE</v>
          </cell>
          <cell r="J1013" t="str">
            <v>FLAC 3</v>
          </cell>
          <cell r="K1013" t="str">
            <v>LACTALIS</v>
          </cell>
          <cell r="L1013" t="str">
            <v>RODRIGO</v>
          </cell>
          <cell r="M1013" t="str">
            <v>RAQUEL BARBOSA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  <cell r="H1014" t="str">
            <v>DISTRIBUIÇÃO</v>
          </cell>
          <cell r="I1014" t="str">
            <v>FOOD SERVICE</v>
          </cell>
          <cell r="J1014" t="str">
            <v>RAQUEL BARBOSA</v>
          </cell>
          <cell r="K1014" t="str">
            <v>ITAMBÉ</v>
          </cell>
          <cell r="L1014" t="str">
            <v>RODRIGO</v>
          </cell>
          <cell r="M1014" t="str">
            <v>RAQUEL BARBOSA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  <cell r="H1015" t="str">
            <v>DISTRIBUIÇÃO</v>
          </cell>
          <cell r="I1015" t="str">
            <v>FOOD SERVICE</v>
          </cell>
          <cell r="J1015" t="str">
            <v>RAQUEL BARBOSA</v>
          </cell>
          <cell r="K1015" t="str">
            <v>ITAMBÉ</v>
          </cell>
          <cell r="L1015" t="str">
            <v>RODRIGO</v>
          </cell>
          <cell r="M1015" t="str">
            <v>RAQUEL BARBOSA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  <cell r="H1016" t="str">
            <v>DISTRIBUIÇÃO</v>
          </cell>
          <cell r="I1016" t="str">
            <v>FOOD SERVICE</v>
          </cell>
          <cell r="J1016" t="str">
            <v>RAQUEL BARBOSA</v>
          </cell>
          <cell r="K1016" t="str">
            <v>LACTALIS</v>
          </cell>
          <cell r="L1016" t="str">
            <v>RODRIGO</v>
          </cell>
          <cell r="M1016" t="str">
            <v>RAQUEL BARBOSA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  <cell r="H1017" t="str">
            <v>DISTRIBUIÇÃO</v>
          </cell>
          <cell r="I1017" t="str">
            <v>FOOD SERVICE</v>
          </cell>
          <cell r="J1017" t="str">
            <v>FLAC 2</v>
          </cell>
          <cell r="K1017" t="str">
            <v>LACTALIS</v>
          </cell>
          <cell r="L1017" t="str">
            <v>RODRIGO</v>
          </cell>
          <cell r="M1017" t="str">
            <v>RAQUEL BARBOSA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  <cell r="H1018" t="str">
            <v>DISTRIBUIÇÃO</v>
          </cell>
          <cell r="I1018" t="str">
            <v>FOOD SERVICE</v>
          </cell>
          <cell r="J1018" t="str">
            <v>JULIANA CORDEIRO</v>
          </cell>
          <cell r="K1018" t="str">
            <v>ITAMBÉ</v>
          </cell>
          <cell r="L1018" t="str">
            <v>RODRIGO</v>
          </cell>
          <cell r="M1018" t="str">
            <v>JESSICA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  <cell r="H1019" t="str">
            <v>DISTRIBUIÇÃO</v>
          </cell>
          <cell r="I1019" t="str">
            <v>FOOD SERVICE</v>
          </cell>
          <cell r="J1019" t="str">
            <v>JULIANA CORDEIRO</v>
          </cell>
          <cell r="K1019" t="str">
            <v>ITAMBÉ</v>
          </cell>
          <cell r="L1019" t="str">
            <v>RODRIGO</v>
          </cell>
          <cell r="M1019" t="str">
            <v>JESSICA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  <cell r="H1020" t="str">
            <v>DISTRIBUIÇÃO</v>
          </cell>
          <cell r="I1020" t="str">
            <v>FOOD SERVICE</v>
          </cell>
          <cell r="J1020" t="str">
            <v>JULIANA CORDEIRO</v>
          </cell>
          <cell r="K1020" t="str">
            <v>ITAMBÉ</v>
          </cell>
          <cell r="L1020" t="str">
            <v>RODRIGO</v>
          </cell>
          <cell r="M1020" t="str">
            <v>JESSICA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  <cell r="H1021" t="str">
            <v>DISTRIBUIÇÃO</v>
          </cell>
          <cell r="I1021" t="str">
            <v>FOOD SERVICE</v>
          </cell>
          <cell r="J1021" t="str">
            <v>FLAC 6</v>
          </cell>
          <cell r="K1021" t="str">
            <v>LACTALIS</v>
          </cell>
          <cell r="L1021" t="str">
            <v>RODRIGO</v>
          </cell>
          <cell r="M1021" t="str">
            <v>RAQUEL BARBOSA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  <cell r="H1022" t="str">
            <v>DISTRIBUIÇÃO</v>
          </cell>
          <cell r="I1022" t="str">
            <v>FOOD SERVICE</v>
          </cell>
          <cell r="J1022" t="str">
            <v>FLAC 2</v>
          </cell>
          <cell r="K1022" t="str">
            <v>LACTALIS</v>
          </cell>
          <cell r="L1022" t="str">
            <v>RODRIGO</v>
          </cell>
          <cell r="M1022" t="str">
            <v>RAQUEL BARBOSA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  <cell r="H1023" t="str">
            <v>DISTRIBUIÇÃO</v>
          </cell>
          <cell r="I1023" t="str">
            <v>FOOD SERVICE</v>
          </cell>
          <cell r="J1023" t="str">
            <v>CLAUDIO JORGE</v>
          </cell>
          <cell r="K1023" t="str">
            <v>ITAMBÉ</v>
          </cell>
          <cell r="L1023" t="str">
            <v>RODRIGO</v>
          </cell>
          <cell r="M1023" t="str">
            <v>MARCO AURELIO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  <cell r="H1024" t="str">
            <v>DISTRIBUIÇÃO</v>
          </cell>
          <cell r="I1024" t="str">
            <v>FOOD SERVICE</v>
          </cell>
          <cell r="J1024" t="str">
            <v>FLAC 3</v>
          </cell>
          <cell r="K1024" t="str">
            <v>LACTALIS</v>
          </cell>
          <cell r="L1024" t="str">
            <v>RODRIGO</v>
          </cell>
          <cell r="M1024" t="str">
            <v>RAQUEL BARBOSA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  <cell r="H1025" t="str">
            <v>DISTRIBUIÇÃO</v>
          </cell>
          <cell r="I1025" t="str">
            <v>FOOD SERVICE</v>
          </cell>
          <cell r="J1025" t="str">
            <v>FLAC 3</v>
          </cell>
          <cell r="K1025" t="str">
            <v>LACTALIS</v>
          </cell>
          <cell r="L1025" t="str">
            <v>RODRIGO</v>
          </cell>
          <cell r="M1025" t="str">
            <v>RAQUEL BARBOSA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  <cell r="H1026" t="str">
            <v>DISTRIBUIÇÃO</v>
          </cell>
          <cell r="I1026" t="str">
            <v>FOOD SERVICE</v>
          </cell>
          <cell r="J1026" t="str">
            <v>FLAC 3</v>
          </cell>
          <cell r="K1026" t="str">
            <v>LACTALIS</v>
          </cell>
          <cell r="L1026" t="str">
            <v>RODRIGO</v>
          </cell>
          <cell r="M1026" t="str">
            <v>RAQUEL BARBOSA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  <cell r="H1027" t="str">
            <v>DISTRIBUIÇÃO</v>
          </cell>
          <cell r="I1027" t="str">
            <v>FOOD SERVICE</v>
          </cell>
          <cell r="J1027" t="str">
            <v>CELIO MARTINS</v>
          </cell>
          <cell r="K1027" t="str">
            <v>ITAMBÉ</v>
          </cell>
          <cell r="L1027" t="str">
            <v>RODRIGO</v>
          </cell>
          <cell r="M1027" t="str">
            <v>CELIO MARTINS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  <cell r="H1028" t="str">
            <v>INGREDIENTS</v>
          </cell>
          <cell r="I1028" t="str">
            <v>INGREDIENTS</v>
          </cell>
          <cell r="J1028" t="str">
            <v>MARCELO RODRIGUES</v>
          </cell>
          <cell r="K1028" t="str">
            <v>ITAMBÉ</v>
          </cell>
          <cell r="L1028" t="str">
            <v>MAURICIO</v>
          </cell>
          <cell r="M1028" t="str">
            <v>MARCELO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  <cell r="H1029" t="str">
            <v>INGREDIENTS</v>
          </cell>
          <cell r="I1029" t="str">
            <v>INGREDIENTS</v>
          </cell>
          <cell r="J1029" t="str">
            <v>HENRIQUE FERREIRA</v>
          </cell>
          <cell r="K1029" t="str">
            <v>ITAMBÉ</v>
          </cell>
          <cell r="L1029" t="str">
            <v>MAURICIO</v>
          </cell>
          <cell r="M1029" t="str">
            <v>JOEL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  <cell r="H1030" t="str">
            <v>DISTRIBUIÇÃO</v>
          </cell>
          <cell r="I1030" t="str">
            <v>FOOD SERVICE</v>
          </cell>
          <cell r="J1030" t="str">
            <v>JESSICA CARLA</v>
          </cell>
          <cell r="K1030" t="str">
            <v>ITAMBÉ</v>
          </cell>
          <cell r="L1030" t="str">
            <v>RODRIGO</v>
          </cell>
          <cell r="M1030" t="str">
            <v>JESSICA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  <cell r="H1031" t="str">
            <v>DISTRIBUIÇÃO</v>
          </cell>
          <cell r="I1031" t="str">
            <v>FOOD SERVICE</v>
          </cell>
          <cell r="J1031" t="str">
            <v>FLAC 2</v>
          </cell>
          <cell r="K1031" t="str">
            <v>LACTALIS</v>
          </cell>
          <cell r="L1031" t="str">
            <v>RODRIGO</v>
          </cell>
          <cell r="M1031" t="str">
            <v>RAQUEL BARBOSA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  <cell r="H1032" t="str">
            <v>DISTRIBUIÇÃO</v>
          </cell>
          <cell r="I1032" t="str">
            <v>FOOD SERVICE</v>
          </cell>
          <cell r="J1032" t="str">
            <v>FLAC 5</v>
          </cell>
          <cell r="K1032" t="str">
            <v>LACTALIS</v>
          </cell>
          <cell r="L1032" t="str">
            <v>RODRIGO</v>
          </cell>
          <cell r="M1032" t="str">
            <v>RAQUEL BARBOSA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  <cell r="H1033" t="str">
            <v>DISTRIBUIÇÃO</v>
          </cell>
          <cell r="I1033" t="str">
            <v>FOOD SERVICE</v>
          </cell>
          <cell r="J1033" t="str">
            <v>FLAC 7</v>
          </cell>
          <cell r="K1033" t="str">
            <v>LACTALIS</v>
          </cell>
          <cell r="L1033" t="str">
            <v>RODRIGO</v>
          </cell>
          <cell r="M1033" t="str">
            <v>RAQUEL BARBOSA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  <cell r="H1034" t="str">
            <v>DISTRIBUIÇÃO</v>
          </cell>
          <cell r="I1034" t="str">
            <v>FOOD SERVICE</v>
          </cell>
          <cell r="J1034" t="str">
            <v>CLAUDIO JORGE</v>
          </cell>
          <cell r="K1034" t="str">
            <v>ITAMBÉ</v>
          </cell>
          <cell r="L1034" t="str">
            <v>RODRIGO</v>
          </cell>
          <cell r="M1034" t="str">
            <v>MARIA LOURDES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  <cell r="H1035" t="str">
            <v>DISTRIBUIÇÃO</v>
          </cell>
          <cell r="I1035" t="str">
            <v>FOOD SERVICE</v>
          </cell>
          <cell r="J1035" t="str">
            <v>FLAC 2</v>
          </cell>
          <cell r="K1035" t="str">
            <v>LACTALIS</v>
          </cell>
          <cell r="L1035" t="str">
            <v>RODRIGO</v>
          </cell>
          <cell r="M1035" t="str">
            <v>RAQUEL BARBOSA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  <cell r="H1036" t="str">
            <v>DISTRIBUIÇÃO</v>
          </cell>
          <cell r="I1036" t="str">
            <v>FOOD SERVICE</v>
          </cell>
          <cell r="J1036" t="str">
            <v>FLAC 2</v>
          </cell>
          <cell r="K1036" t="str">
            <v>LACTALIS</v>
          </cell>
          <cell r="L1036" t="str">
            <v>RODRIGO</v>
          </cell>
          <cell r="M1036" t="str">
            <v>RAQUEL BARBOSA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  <cell r="H1037" t="str">
            <v>DISTRIBUIÇÃO</v>
          </cell>
          <cell r="I1037" t="str">
            <v>FOOD SERVICE</v>
          </cell>
          <cell r="J1037" t="str">
            <v>CLAUDIO JORGE/LUIZ</v>
          </cell>
          <cell r="K1037" t="str">
            <v>ITAMBÉ</v>
          </cell>
          <cell r="L1037" t="str">
            <v>RODRIGO</v>
          </cell>
          <cell r="M1037" t="str">
            <v>MARIA LOURDES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  <cell r="H1038" t="str">
            <v>DISTRIBUIÇÃO</v>
          </cell>
          <cell r="I1038" t="str">
            <v>FOOD SERVICE</v>
          </cell>
          <cell r="J1038" t="str">
            <v>MARCO AURELIO</v>
          </cell>
          <cell r="K1038" t="str">
            <v>ITAMBÉ</v>
          </cell>
          <cell r="L1038" t="str">
            <v>RODRIGO</v>
          </cell>
          <cell r="M1038" t="str">
            <v>MARCO AURELIO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  <cell r="H1039" t="str">
            <v>DISTRIBUIÇÃO</v>
          </cell>
          <cell r="I1039" t="str">
            <v>FOOD SERVICE</v>
          </cell>
          <cell r="J1039" t="str">
            <v>ANGELICA BATISTELA</v>
          </cell>
          <cell r="K1039" t="str">
            <v>ITAMBÉ</v>
          </cell>
          <cell r="L1039" t="str">
            <v>RODRIGO</v>
          </cell>
          <cell r="M1039" t="str">
            <v>ANGELICA BATISTELA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  <cell r="H1040" t="str">
            <v>DISTRIBUIÇÃO</v>
          </cell>
          <cell r="I1040" t="str">
            <v>FOOD SERVICE</v>
          </cell>
          <cell r="J1040" t="str">
            <v>CELIO/MARANATHA</v>
          </cell>
          <cell r="K1040" t="str">
            <v>ITAMBÉ</v>
          </cell>
          <cell r="L1040" t="str">
            <v>RODRIGO</v>
          </cell>
          <cell r="M1040" t="str">
            <v>CELIO MARTINS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  <cell r="H1041" t="str">
            <v>DISTRIBUIÇÃO</v>
          </cell>
          <cell r="I1041" t="str">
            <v>FOOD SERVICE</v>
          </cell>
          <cell r="J1041" t="str">
            <v>CELIO/MARANATHA</v>
          </cell>
          <cell r="K1041" t="str">
            <v>ITAMBÉ</v>
          </cell>
          <cell r="L1041" t="str">
            <v>RODRIGO</v>
          </cell>
          <cell r="M1041" t="str">
            <v>CELIO MARTINS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  <cell r="H1042" t="str">
            <v>DISTRIBUIÇÃO</v>
          </cell>
          <cell r="I1042" t="str">
            <v>FOOD SERVICE</v>
          </cell>
          <cell r="J1042" t="str">
            <v>ANGELICA BATISTELA</v>
          </cell>
          <cell r="K1042" t="str">
            <v>ITAMBÉ</v>
          </cell>
          <cell r="L1042" t="str">
            <v>RODRIGO</v>
          </cell>
          <cell r="M1042" t="str">
            <v>ANGELICA BATISTELA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  <cell r="H1043" t="str">
            <v>DISTRIBUIÇÃO</v>
          </cell>
          <cell r="I1043" t="str">
            <v>FOOD SERVICE</v>
          </cell>
          <cell r="J1043" t="str">
            <v>VAGO SP</v>
          </cell>
          <cell r="K1043" t="str">
            <v>ITAMBÉ</v>
          </cell>
          <cell r="L1043" t="str">
            <v>RODRIGO</v>
          </cell>
          <cell r="M1043" t="str">
            <v>RAQUEL BARBOSA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  <cell r="H1044" t="str">
            <v>INGREDIENTS</v>
          </cell>
          <cell r="I1044" t="str">
            <v>INGREDIENTS</v>
          </cell>
          <cell r="J1044" t="str">
            <v>HENRIQUE FERREIRA</v>
          </cell>
          <cell r="K1044" t="str">
            <v>ITAMBÉ</v>
          </cell>
          <cell r="L1044" t="str">
            <v>MAURICIO</v>
          </cell>
          <cell r="M1044" t="str">
            <v>JOEL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  <cell r="H1045" t="str">
            <v>DISTRIBUIÇÃO</v>
          </cell>
          <cell r="I1045" t="str">
            <v>FOOD SERVICE</v>
          </cell>
          <cell r="J1045" t="str">
            <v>FLAC 5</v>
          </cell>
          <cell r="K1045" t="str">
            <v>LACTALIS</v>
          </cell>
          <cell r="L1045" t="str">
            <v>RODRIGO</v>
          </cell>
          <cell r="M1045" t="str">
            <v>RAQUEL BARBOSA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  <cell r="H1046" t="str">
            <v>DISTRIBUIÇÃO</v>
          </cell>
          <cell r="I1046" t="str">
            <v>FOOD SERVICE</v>
          </cell>
          <cell r="J1046" t="str">
            <v>FLAC 6</v>
          </cell>
          <cell r="K1046" t="str">
            <v>LACTALIS</v>
          </cell>
          <cell r="L1046" t="str">
            <v>RODRIGO</v>
          </cell>
          <cell r="M1046" t="str">
            <v>RAQUEL BARBOSA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  <cell r="H1047" t="str">
            <v>INGREDIENTS</v>
          </cell>
          <cell r="I1047" t="str">
            <v>INGREDIENTS</v>
          </cell>
          <cell r="J1047" t="str">
            <v>MARCELO RODRIGUES</v>
          </cell>
          <cell r="K1047" t="str">
            <v>ITAMBÉ</v>
          </cell>
          <cell r="L1047" t="str">
            <v>MAURICIO</v>
          </cell>
          <cell r="M1047" t="str">
            <v>MARCELO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  <cell r="H1048" t="str">
            <v>DISTRIBUIÇÃO</v>
          </cell>
          <cell r="I1048" t="str">
            <v>FOOD SERVICE</v>
          </cell>
          <cell r="J1048" t="str">
            <v>ALEXANDRE BONANI</v>
          </cell>
          <cell r="K1048" t="str">
            <v>ITAMBÉ</v>
          </cell>
          <cell r="L1048" t="str">
            <v>RODRIGO</v>
          </cell>
          <cell r="M1048" t="str">
            <v>ALEXANDRE BONANI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  <cell r="H1049" t="str">
            <v>DISTRIBUIÇÃO</v>
          </cell>
          <cell r="I1049" t="str">
            <v>FOOD SERVICE</v>
          </cell>
          <cell r="J1049" t="str">
            <v>WH FOOD SERVICE CE</v>
          </cell>
          <cell r="K1049" t="str">
            <v>ITAMBÉ</v>
          </cell>
          <cell r="L1049" t="str">
            <v>RODRIGO</v>
          </cell>
          <cell r="M1049" t="str">
            <v>MARIA LOURDES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  <cell r="H1050" t="str">
            <v>DISTRIBUIÇÃO</v>
          </cell>
          <cell r="I1050" t="str">
            <v>FOOD SERVICE</v>
          </cell>
          <cell r="J1050" t="str">
            <v>CELIO MARTINS</v>
          </cell>
          <cell r="K1050" t="str">
            <v>ITAMBÉ</v>
          </cell>
          <cell r="L1050" t="str">
            <v>RODRIGO</v>
          </cell>
          <cell r="M1050" t="str">
            <v>CELIO MARTINS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  <cell r="H1051" t="str">
            <v>DISTRIBUIÇÃO</v>
          </cell>
          <cell r="I1051" t="str">
            <v>FOOD SERVICE</v>
          </cell>
          <cell r="J1051" t="str">
            <v>FLAC 6</v>
          </cell>
          <cell r="K1051" t="str">
            <v>LACTALIS</v>
          </cell>
          <cell r="L1051" t="str">
            <v>RODRIGO</v>
          </cell>
          <cell r="M1051" t="str">
            <v>RAQUEL BARBOSA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  <cell r="H1052" t="str">
            <v>DISTRIBUIÇÃO</v>
          </cell>
          <cell r="I1052" t="str">
            <v>FOOD SERVICE</v>
          </cell>
          <cell r="J1052" t="str">
            <v>FLAC 6</v>
          </cell>
          <cell r="K1052" t="str">
            <v>LACTALIS</v>
          </cell>
          <cell r="L1052" t="str">
            <v>RODRIGO</v>
          </cell>
          <cell r="M1052" t="str">
            <v>RAQUEL BARBOSA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  <cell r="H1053" t="str">
            <v>DISTRIBUIÇÃO</v>
          </cell>
          <cell r="I1053" t="str">
            <v>FOOD SERVICE</v>
          </cell>
          <cell r="J1053" t="str">
            <v>FLAC 2</v>
          </cell>
          <cell r="K1053" t="str">
            <v>LACTALIS</v>
          </cell>
          <cell r="L1053" t="str">
            <v>RODRIGO</v>
          </cell>
          <cell r="M1053" t="str">
            <v>RAQUEL BARBOSA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  <cell r="H1054" t="str">
            <v>DISTRIBUIÇÃO</v>
          </cell>
          <cell r="I1054" t="str">
            <v>FOOD SERVICE</v>
          </cell>
          <cell r="J1054" t="str">
            <v>FLAC 1</v>
          </cell>
          <cell r="K1054" t="str">
            <v>LACTALIS</v>
          </cell>
          <cell r="L1054" t="str">
            <v>RODRIGO</v>
          </cell>
          <cell r="M1054" t="str">
            <v>RAQUEL BARBOSA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  <cell r="H1055" t="str">
            <v>DISTRIBUIÇÃO</v>
          </cell>
          <cell r="I1055" t="str">
            <v>FOOD SERVICE</v>
          </cell>
          <cell r="J1055" t="str">
            <v>FLAC 2</v>
          </cell>
          <cell r="K1055" t="str">
            <v>LACTALIS</v>
          </cell>
          <cell r="L1055" t="str">
            <v>RODRIGO</v>
          </cell>
          <cell r="M1055" t="str">
            <v>RAQUEL BARBOSA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  <cell r="H1056" t="str">
            <v>DISTRIBUIÇÃO</v>
          </cell>
          <cell r="I1056" t="str">
            <v>FOOD SERVICE</v>
          </cell>
          <cell r="J1056" t="str">
            <v>FLAC 3</v>
          </cell>
          <cell r="K1056" t="str">
            <v>LACTALIS</v>
          </cell>
          <cell r="L1056" t="str">
            <v>RODRIGO</v>
          </cell>
          <cell r="M1056" t="str">
            <v>RAQUEL BARBOSA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  <cell r="H1057" t="str">
            <v>INGREDIENTS</v>
          </cell>
          <cell r="I1057" t="str">
            <v>INGREDIENTS</v>
          </cell>
          <cell r="J1057" t="str">
            <v>DUAS RODAS</v>
          </cell>
          <cell r="K1057" t="str">
            <v>ITAMBÉ</v>
          </cell>
          <cell r="L1057" t="str">
            <v>MAURICIO</v>
          </cell>
          <cell r="M1057" t="str">
            <v>MARCELO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  <cell r="H1058" t="str">
            <v>DISTRIBUIÇÃO</v>
          </cell>
          <cell r="I1058" t="str">
            <v>FOOD SERVICE</v>
          </cell>
          <cell r="J1058" t="str">
            <v>FLAC 2</v>
          </cell>
          <cell r="K1058" t="str">
            <v>LACTALIS</v>
          </cell>
          <cell r="L1058" t="str">
            <v>RODRIGO</v>
          </cell>
          <cell r="M1058" t="str">
            <v>RAQUEL BARBOSA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  <cell r="H1059" t="str">
            <v>DISTRIBUIÇÃO</v>
          </cell>
          <cell r="I1059" t="str">
            <v>FOOD SERVICE</v>
          </cell>
          <cell r="J1059" t="str">
            <v>FLAC 2</v>
          </cell>
          <cell r="K1059" t="str">
            <v>LACTALIS</v>
          </cell>
          <cell r="L1059" t="str">
            <v>RODRIGO</v>
          </cell>
          <cell r="M1059" t="str">
            <v>RAQUEL BARBOSA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  <cell r="H1060" t="str">
            <v>DISTRIBUIÇÃO</v>
          </cell>
          <cell r="I1060" t="str">
            <v>FOOD SERVICE</v>
          </cell>
          <cell r="J1060" t="str">
            <v>FLAC 2</v>
          </cell>
          <cell r="K1060" t="str">
            <v>LACTALIS</v>
          </cell>
          <cell r="L1060" t="str">
            <v>RODRIGO</v>
          </cell>
          <cell r="M1060" t="str">
            <v>RAQUEL BARBOSA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  <cell r="H1061" t="str">
            <v>DISTRIBUIÇÃO</v>
          </cell>
          <cell r="I1061" t="str">
            <v>FOOD SERVICE</v>
          </cell>
          <cell r="J1061" t="str">
            <v>FLAC 2</v>
          </cell>
          <cell r="K1061" t="str">
            <v>LACTALIS</v>
          </cell>
          <cell r="L1061" t="str">
            <v>RODRIGO</v>
          </cell>
          <cell r="M1061" t="str">
            <v>RAQUEL BARBOSA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  <cell r="H1062" t="str">
            <v>DISTRIBUIÇÃO</v>
          </cell>
          <cell r="I1062" t="str">
            <v>FOOD SERVICE</v>
          </cell>
          <cell r="J1062" t="str">
            <v>FLAC 3</v>
          </cell>
          <cell r="K1062" t="str">
            <v>LACTALIS</v>
          </cell>
          <cell r="L1062" t="str">
            <v>RODRIGO</v>
          </cell>
          <cell r="M1062" t="str">
            <v>RAQUEL BARBOSA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  <cell r="H1063" t="str">
            <v>DISTRIBUIÇÃO</v>
          </cell>
          <cell r="I1063" t="str">
            <v>FOOD SERVICE</v>
          </cell>
          <cell r="J1063" t="str">
            <v>CLAUDIO JORGE/AMANDA SANDS</v>
          </cell>
          <cell r="K1063" t="str">
            <v>ITAMBÉ</v>
          </cell>
          <cell r="L1063" t="str">
            <v>RODRIGO</v>
          </cell>
          <cell r="M1063" t="str">
            <v>MARIA LOURDES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  <cell r="H1064" t="str">
            <v>DISTRIBUIÇÃO</v>
          </cell>
          <cell r="I1064" t="str">
            <v>FOOD SERVICE</v>
          </cell>
          <cell r="J1064" t="str">
            <v>CLAUDIO JORGE/AMANDA SANDS</v>
          </cell>
          <cell r="K1064" t="str">
            <v>LACTALIS</v>
          </cell>
          <cell r="L1064" t="str">
            <v>RODRIGO</v>
          </cell>
          <cell r="M1064" t="str">
            <v>MARIA LOURDES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  <cell r="H1065" t="str">
            <v>DISTRIBUIÇÃO</v>
          </cell>
          <cell r="I1065" t="str">
            <v>FOOD SERVICE</v>
          </cell>
          <cell r="J1065" t="str">
            <v>CLAUDIO JORGE/AMANDA SANDS</v>
          </cell>
          <cell r="K1065" t="str">
            <v>ITAMBÉ</v>
          </cell>
          <cell r="L1065" t="str">
            <v>RODRIGO</v>
          </cell>
          <cell r="M1065" t="str">
            <v>MARIA LOURDES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  <cell r="H1066" t="str">
            <v>DISTRIBUIÇÃO</v>
          </cell>
          <cell r="I1066" t="str">
            <v>FOOD SERVICE</v>
          </cell>
          <cell r="J1066" t="str">
            <v>FLAC 6</v>
          </cell>
          <cell r="K1066" t="str">
            <v>LACTALIS</v>
          </cell>
          <cell r="L1066" t="str">
            <v>RODRIGO</v>
          </cell>
          <cell r="M1066" t="str">
            <v>RAQUEL BARBOSA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  <cell r="H1067" t="str">
            <v>DISTRIBUIÇÃO</v>
          </cell>
          <cell r="I1067" t="str">
            <v>FOOD SERVICE</v>
          </cell>
          <cell r="J1067" t="str">
            <v>FLAC 6</v>
          </cell>
          <cell r="K1067" t="str">
            <v>LACTALIS</v>
          </cell>
          <cell r="L1067" t="str">
            <v>RODRIGO</v>
          </cell>
          <cell r="M1067" t="str">
            <v>RAQUEL BARBOSA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  <cell r="H1068" t="str">
            <v>DISTRIBUIÇÃO</v>
          </cell>
          <cell r="I1068" t="str">
            <v>FOOD SERVICE</v>
          </cell>
          <cell r="J1068" t="str">
            <v>FLAC 3</v>
          </cell>
          <cell r="K1068" t="str">
            <v>LACTALIS</v>
          </cell>
          <cell r="L1068" t="str">
            <v>RODRIGO</v>
          </cell>
          <cell r="M1068" t="str">
            <v>RAQUEL BARBOSA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  <cell r="H1069" t="str">
            <v>DISTRIBUIÇÃO</v>
          </cell>
          <cell r="I1069" t="str">
            <v>FOOD SERVICE</v>
          </cell>
          <cell r="J1069" t="str">
            <v>GUILHERME NASCIMENTO</v>
          </cell>
          <cell r="K1069" t="str">
            <v>LACTALIS</v>
          </cell>
          <cell r="L1069" t="str">
            <v>RODRIGO</v>
          </cell>
          <cell r="M1069" t="str">
            <v>ALEXANDRO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  <cell r="H1070" t="str">
            <v>INGREDIENTS</v>
          </cell>
          <cell r="I1070" t="str">
            <v>INGREDIENTS</v>
          </cell>
          <cell r="J1070" t="str">
            <v>JOEL ELEOTÉRIO</v>
          </cell>
          <cell r="K1070" t="str">
            <v>LACTALIS</v>
          </cell>
          <cell r="L1070" t="str">
            <v>MAURICIO</v>
          </cell>
          <cell r="M1070" t="str">
            <v>JOEL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  <cell r="H1071" t="str">
            <v>DISTRIBUIÇÃO</v>
          </cell>
          <cell r="I1071" t="str">
            <v>FOOD SERVICE</v>
          </cell>
          <cell r="J1071" t="str">
            <v>FLAC 2</v>
          </cell>
          <cell r="K1071" t="str">
            <v>LACTALIS</v>
          </cell>
          <cell r="L1071" t="str">
            <v>RODRIGO</v>
          </cell>
          <cell r="M1071" t="str">
            <v>RAQUEL BARBOSA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  <cell r="H1072" t="str">
            <v>DISTRIBUIÇÃO</v>
          </cell>
          <cell r="I1072" t="str">
            <v>FOOD SERVICE</v>
          </cell>
          <cell r="J1072" t="str">
            <v>CLAUDIO JORGE</v>
          </cell>
          <cell r="K1072" t="str">
            <v>ITAMBÉ</v>
          </cell>
          <cell r="L1072" t="str">
            <v>RODRIGO</v>
          </cell>
          <cell r="M1072" t="str">
            <v>MARIA LOURDES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  <cell r="H1073" t="str">
            <v>DISTRIBUIÇÃO</v>
          </cell>
          <cell r="I1073" t="str">
            <v>FOOD SERVICE</v>
          </cell>
          <cell r="J1073" t="str">
            <v>FLAC 3</v>
          </cell>
          <cell r="K1073" t="str">
            <v>LACTALIS</v>
          </cell>
          <cell r="L1073" t="str">
            <v>RODRIGO</v>
          </cell>
          <cell r="M1073" t="str">
            <v>RAQUEL BARBOSA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  <cell r="H1074" t="str">
            <v>DISTRIBUIÇÃO</v>
          </cell>
          <cell r="I1074" t="str">
            <v>FOOD SERVICE</v>
          </cell>
          <cell r="J1074" t="str">
            <v>FLAC 3</v>
          </cell>
          <cell r="K1074" t="str">
            <v>LACTALIS</v>
          </cell>
          <cell r="L1074" t="str">
            <v>RODRIGO</v>
          </cell>
          <cell r="M1074" t="str">
            <v>RAQUEL BARBOSA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  <cell r="H1075" t="str">
            <v>INGREDIENTS</v>
          </cell>
          <cell r="I1075" t="str">
            <v>INGREDIENTS</v>
          </cell>
          <cell r="J1075" t="str">
            <v>HENRIQUE FERREIRA</v>
          </cell>
          <cell r="K1075" t="str">
            <v>ITAMBÉ</v>
          </cell>
          <cell r="L1075" t="str">
            <v>MAURICIO</v>
          </cell>
          <cell r="M1075" t="str">
            <v>JOEL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  <cell r="H1076" t="str">
            <v>INGREDIENTS</v>
          </cell>
          <cell r="I1076" t="str">
            <v>INGREDIENTS</v>
          </cell>
          <cell r="J1076" t="str">
            <v>JOEL ELEOTÉRIO</v>
          </cell>
          <cell r="K1076" t="str">
            <v>ITAMBÉ</v>
          </cell>
          <cell r="L1076" t="str">
            <v>MAURICIO</v>
          </cell>
          <cell r="M1076" t="str">
            <v>JOEL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  <cell r="H1077" t="str">
            <v>INGREDIENTS</v>
          </cell>
          <cell r="I1077" t="str">
            <v>INGREDIENTS</v>
          </cell>
          <cell r="J1077" t="str">
            <v>JOEL ELEOTÉRIO</v>
          </cell>
          <cell r="K1077" t="str">
            <v>LACTALIS</v>
          </cell>
          <cell r="L1077" t="str">
            <v>MAURICIO</v>
          </cell>
          <cell r="M1077" t="str">
            <v>JOEL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  <cell r="H1078" t="str">
            <v>INGREDIENTS</v>
          </cell>
          <cell r="I1078" t="str">
            <v>INGREDIENTS</v>
          </cell>
          <cell r="J1078" t="str">
            <v>HENRIQUE FERREIRA</v>
          </cell>
          <cell r="K1078" t="str">
            <v>ITAMBÉ</v>
          </cell>
          <cell r="L1078" t="str">
            <v>MAURICIO</v>
          </cell>
          <cell r="M1078" t="str">
            <v>JOEL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  <cell r="H1079" t="str">
            <v>INGREDIENTS</v>
          </cell>
          <cell r="I1079" t="str">
            <v>INGREDIENTS</v>
          </cell>
          <cell r="J1079" t="str">
            <v>HENRIQUE FERREIRA</v>
          </cell>
          <cell r="K1079" t="str">
            <v>LACTALIS</v>
          </cell>
          <cell r="L1079" t="str">
            <v>MAURICIO</v>
          </cell>
          <cell r="M1079" t="str">
            <v>JOEL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  <cell r="H1080" t="str">
            <v>DISTRIBUIÇÃO</v>
          </cell>
          <cell r="I1080" t="str">
            <v>FOOD SERVICE</v>
          </cell>
          <cell r="J1080" t="str">
            <v>FLAC 2</v>
          </cell>
          <cell r="K1080" t="str">
            <v>LACTALIS</v>
          </cell>
          <cell r="L1080" t="str">
            <v>RODRIGO</v>
          </cell>
          <cell r="M1080" t="str">
            <v>RAQUEL BARBOSA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  <cell r="H1081" t="str">
            <v>DISTRIBUIÇÃO</v>
          </cell>
          <cell r="I1081" t="str">
            <v>FOOD SERVICE</v>
          </cell>
          <cell r="J1081" t="str">
            <v>ANGELICA BATISTELA</v>
          </cell>
          <cell r="K1081" t="str">
            <v>ITAMBÉ</v>
          </cell>
          <cell r="L1081" t="str">
            <v>RODRIGO</v>
          </cell>
          <cell r="M1081" t="str">
            <v>ANGELICA BATISTELA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  <cell r="H1082" t="str">
            <v>DISTRIBUIÇÃO</v>
          </cell>
          <cell r="I1082" t="str">
            <v>FOOD SERVICE</v>
          </cell>
          <cell r="J1082" t="str">
            <v>FLAC 5</v>
          </cell>
          <cell r="K1082" t="str">
            <v>LACTALIS</v>
          </cell>
          <cell r="L1082" t="str">
            <v>RODRIGO</v>
          </cell>
          <cell r="M1082" t="str">
            <v>RAQUEL BARBOSA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  <cell r="H1083" t="str">
            <v>DISTRIBUIÇÃO</v>
          </cell>
          <cell r="I1083" t="str">
            <v>FOOD SERVICE</v>
          </cell>
          <cell r="J1083" t="str">
            <v>FLAC 2</v>
          </cell>
          <cell r="K1083" t="str">
            <v>LACTALIS</v>
          </cell>
          <cell r="L1083" t="str">
            <v>RODRIGO</v>
          </cell>
          <cell r="M1083" t="str">
            <v>RAQUEL BARBOSA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  <cell r="H1084" t="str">
            <v>INGREDIENTS</v>
          </cell>
          <cell r="I1084" t="str">
            <v>INGREDIENTS</v>
          </cell>
          <cell r="J1084" t="str">
            <v>HENRIQUE FERREIRA</v>
          </cell>
          <cell r="K1084" t="str">
            <v>ITAMBÉ</v>
          </cell>
          <cell r="L1084" t="str">
            <v>MAURICIO</v>
          </cell>
          <cell r="M1084" t="str">
            <v>JOEL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  <cell r="H1085" t="str">
            <v>DISTRIBUIÇÃO</v>
          </cell>
          <cell r="I1085" t="str">
            <v>FOOD SERVICE</v>
          </cell>
          <cell r="J1085" t="str">
            <v>FLAC 5</v>
          </cell>
          <cell r="K1085" t="str">
            <v>LACTALIS</v>
          </cell>
          <cell r="L1085" t="str">
            <v>RODRIGO</v>
          </cell>
          <cell r="M1085" t="str">
            <v>RAQUEL BARBOSA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  <cell r="H1086" t="str">
            <v>DISTRIBUIÇÃO</v>
          </cell>
          <cell r="I1086" t="str">
            <v>FOOD SERVICE</v>
          </cell>
          <cell r="J1086" t="str">
            <v>FLAC 2</v>
          </cell>
          <cell r="K1086" t="str">
            <v>LACTALIS</v>
          </cell>
          <cell r="L1086" t="str">
            <v>RODRIGO</v>
          </cell>
          <cell r="M1086" t="str">
            <v>RAQUEL BARBOSA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  <cell r="H1087" t="str">
            <v>DISTRIBUIÇÃO</v>
          </cell>
          <cell r="I1087" t="str">
            <v>FOOD SERVICE</v>
          </cell>
          <cell r="J1087" t="str">
            <v>FLAC 2</v>
          </cell>
          <cell r="K1087" t="str">
            <v>LACTALIS</v>
          </cell>
          <cell r="L1087" t="str">
            <v>RODRIGO</v>
          </cell>
          <cell r="M1087" t="str">
            <v>RAQUEL BARBOSA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  <cell r="H1088" t="str">
            <v>DISTRIBUIÇÃO</v>
          </cell>
          <cell r="I1088" t="str">
            <v>FOOD SERVICE</v>
          </cell>
          <cell r="J1088" t="str">
            <v>FLAC 3</v>
          </cell>
          <cell r="K1088" t="str">
            <v>LACTALIS</v>
          </cell>
          <cell r="L1088" t="str">
            <v>RODRIGO</v>
          </cell>
          <cell r="M1088" t="str">
            <v>RAQUEL BARBOSA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  <cell r="H1089" t="str">
            <v>DISTRIBUIÇÃO</v>
          </cell>
          <cell r="I1089" t="str">
            <v>FOOD SERVICE</v>
          </cell>
          <cell r="J1089" t="str">
            <v>ANGELICA BATISTELA</v>
          </cell>
          <cell r="K1089" t="str">
            <v>ITAMBÉ</v>
          </cell>
          <cell r="L1089" t="str">
            <v>RODRIGO</v>
          </cell>
          <cell r="M1089" t="str">
            <v>ANGELICA BATISTELA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  <cell r="H1090" t="str">
            <v>DISTRIBUIÇÃO</v>
          </cell>
          <cell r="I1090" t="str">
            <v>FOOD SERVICE</v>
          </cell>
          <cell r="J1090" t="str">
            <v>ANGELICA BATISTELA</v>
          </cell>
          <cell r="K1090" t="str">
            <v>ITAMBÉ</v>
          </cell>
          <cell r="L1090" t="str">
            <v>RODRIGO</v>
          </cell>
          <cell r="M1090" t="str">
            <v>ANGELICA BATISTELA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  <cell r="H1091" t="str">
            <v>DISTRIBUIÇÃO</v>
          </cell>
          <cell r="I1091" t="str">
            <v>FOOD SERVICE</v>
          </cell>
          <cell r="J1091" t="str">
            <v>ANGELICA BATISTELA</v>
          </cell>
          <cell r="K1091" t="str">
            <v>ITAMBÉ</v>
          </cell>
          <cell r="L1091" t="str">
            <v>RODRIGO</v>
          </cell>
          <cell r="M1091" t="str">
            <v>ANGELICA BATISTELA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  <cell r="H1092" t="str">
            <v>DISTRIBUIÇÃO</v>
          </cell>
          <cell r="I1092" t="str">
            <v>FOOD SERVICE</v>
          </cell>
          <cell r="J1092" t="str">
            <v>FLAC 5</v>
          </cell>
          <cell r="K1092" t="str">
            <v>LACTALIS</v>
          </cell>
          <cell r="L1092" t="str">
            <v>RODRIGO</v>
          </cell>
          <cell r="M1092" t="str">
            <v>RAQUEL BARBOSA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  <cell r="H1093" t="str">
            <v>DISTRIBUIÇÃO</v>
          </cell>
          <cell r="I1093" t="str">
            <v>FOOD SERVICE</v>
          </cell>
          <cell r="J1093" t="str">
            <v>FLAC 4</v>
          </cell>
          <cell r="K1093" t="str">
            <v>LACTALIS</v>
          </cell>
          <cell r="L1093" t="str">
            <v>RODRIGO</v>
          </cell>
          <cell r="M1093" t="str">
            <v>RAQUEL BARBOSA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  <cell r="H1094" t="str">
            <v>INGREDIENTS</v>
          </cell>
          <cell r="I1094" t="str">
            <v>INGREDIENTS</v>
          </cell>
          <cell r="J1094" t="str">
            <v>JOEL ELEOTÉRIO</v>
          </cell>
          <cell r="K1094" t="str">
            <v>LACTALIS</v>
          </cell>
          <cell r="L1094" t="str">
            <v>MAURICIO</v>
          </cell>
          <cell r="M1094" t="str">
            <v>JOEL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  <cell r="H1095" t="str">
            <v>INGREDIENTS</v>
          </cell>
          <cell r="I1095" t="str">
            <v>INGREDIENTS</v>
          </cell>
          <cell r="J1095" t="str">
            <v>DUAS RODAS</v>
          </cell>
          <cell r="K1095" t="str">
            <v>ITAMBÉ</v>
          </cell>
          <cell r="L1095" t="str">
            <v>MAURICIO</v>
          </cell>
          <cell r="M1095" t="str">
            <v>MARCELO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  <cell r="H1096" t="str">
            <v>DISTRIBUIÇÃO</v>
          </cell>
          <cell r="I1096" t="str">
            <v>FOOD SERVICE</v>
          </cell>
          <cell r="J1096" t="str">
            <v>WH FOOD SERVICE CE</v>
          </cell>
          <cell r="K1096" t="str">
            <v>ITAMBÉ</v>
          </cell>
          <cell r="L1096" t="str">
            <v>RODRIGO</v>
          </cell>
          <cell r="M1096" t="str">
            <v>MARIA LOURDES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  <cell r="H1097" t="str">
            <v>DISTRIBUIÇÃO</v>
          </cell>
          <cell r="I1097" t="str">
            <v>FOOD SERVICE</v>
          </cell>
          <cell r="J1097" t="str">
            <v>MARCELO DUARTE</v>
          </cell>
          <cell r="K1097" t="str">
            <v>ITAMBÉ</v>
          </cell>
          <cell r="L1097" t="str">
            <v>RODRIGO</v>
          </cell>
          <cell r="M1097" t="str">
            <v>JESSICA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  <cell r="H1098" t="str">
            <v>DISTRIBUIÇÃO</v>
          </cell>
          <cell r="I1098" t="str">
            <v>FOOD SERVICE</v>
          </cell>
          <cell r="J1098" t="str">
            <v>MARCELO DUARTE</v>
          </cell>
          <cell r="K1098" t="str">
            <v>ITAMBÉ</v>
          </cell>
          <cell r="L1098" t="str">
            <v>RODRIGO</v>
          </cell>
          <cell r="M1098" t="str">
            <v>JESSICA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  <cell r="H1099" t="str">
            <v>QSR</v>
          </cell>
          <cell r="I1099" t="str">
            <v>FOOD SERVICE</v>
          </cell>
          <cell r="J1099" t="str">
            <v>VAGO QSR</v>
          </cell>
          <cell r="K1099" t="str">
            <v>ITAMBÉ</v>
          </cell>
          <cell r="L1099" t="str">
            <v>PEDRO</v>
          </cell>
          <cell r="M1099" t="str">
            <v>VAGO QSR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  <cell r="H1100" t="str">
            <v>QSR</v>
          </cell>
          <cell r="I1100" t="str">
            <v>FOOD SERVICE</v>
          </cell>
          <cell r="J1100" t="str">
            <v>VAGO QSR</v>
          </cell>
          <cell r="K1100" t="str">
            <v>ITAMBÉ</v>
          </cell>
          <cell r="L1100" t="str">
            <v>PEDRO</v>
          </cell>
          <cell r="M1100" t="str">
            <v>VAGO QSR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  <cell r="H1101" t="str">
            <v>DISTRIBUIÇÃO</v>
          </cell>
          <cell r="I1101" t="str">
            <v>FOOD SERVICE</v>
          </cell>
          <cell r="J1101" t="str">
            <v>FLAC 4</v>
          </cell>
          <cell r="K1101" t="str">
            <v>LACTALIS</v>
          </cell>
          <cell r="L1101" t="str">
            <v>RODRIGO</v>
          </cell>
          <cell r="M1101" t="str">
            <v>RAQUEL BARBOSA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  <cell r="H1102" t="str">
            <v>DISTRIBUIÇÃO</v>
          </cell>
          <cell r="I1102" t="str">
            <v>FOOD SERVICE</v>
          </cell>
          <cell r="J1102" t="str">
            <v>FLAC 4</v>
          </cell>
          <cell r="K1102" t="str">
            <v>LACTALIS</v>
          </cell>
          <cell r="L1102" t="str">
            <v>RODRIGO</v>
          </cell>
          <cell r="M1102" t="str">
            <v>RAQUEL BARBOSA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  <cell r="H1103" t="str">
            <v>DISTRIBUIÇÃO</v>
          </cell>
          <cell r="I1103" t="str">
            <v>FOOD SERVICE</v>
          </cell>
          <cell r="J1103" t="str">
            <v>FLAC 3</v>
          </cell>
          <cell r="K1103" t="str">
            <v>LACTALIS</v>
          </cell>
          <cell r="L1103" t="str">
            <v>RODRIGO</v>
          </cell>
          <cell r="M1103" t="str">
            <v>RAQUEL BARBOSA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  <cell r="H1104" t="str">
            <v>DISTRIBUIÇÃO</v>
          </cell>
          <cell r="I1104" t="str">
            <v>FOOD SERVICE</v>
          </cell>
          <cell r="J1104" t="str">
            <v>FLAC 3</v>
          </cell>
          <cell r="K1104" t="str">
            <v>LACTALIS</v>
          </cell>
          <cell r="L1104" t="str">
            <v>RODRIGO</v>
          </cell>
          <cell r="M1104" t="str">
            <v>RAQUEL BARBOSA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  <cell r="H1105" t="str">
            <v>DISTRIBUIÇÃO</v>
          </cell>
          <cell r="I1105" t="str">
            <v>FOOD SERVICE</v>
          </cell>
          <cell r="J1105" t="str">
            <v>FLAC 6</v>
          </cell>
          <cell r="K1105" t="str">
            <v>LACTALIS</v>
          </cell>
          <cell r="L1105" t="str">
            <v>RODRIGO</v>
          </cell>
          <cell r="M1105" t="str">
            <v>RAQUEL BARBOSA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  <cell r="H1106" t="str">
            <v>DISTRIBUIÇÃO</v>
          </cell>
          <cell r="I1106" t="str">
            <v>FOOD SERVICE</v>
          </cell>
          <cell r="J1106" t="str">
            <v>FLAC 6</v>
          </cell>
          <cell r="K1106" t="str">
            <v>LACTALIS</v>
          </cell>
          <cell r="L1106" t="str">
            <v>RODRIGO</v>
          </cell>
          <cell r="M1106" t="str">
            <v>RAQUEL BARBOSA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  <cell r="H1107" t="str">
            <v>DISTRIBUIÇÃO</v>
          </cell>
          <cell r="I1107" t="str">
            <v>FOOD SERVICE</v>
          </cell>
          <cell r="J1107" t="str">
            <v>SP ITB FS FLAC REP.E COMERCIO</v>
          </cell>
          <cell r="K1107" t="str">
            <v>ITAMBÉ</v>
          </cell>
          <cell r="L1107" t="str">
            <v>RODRIGO</v>
          </cell>
          <cell r="M1107" t="str">
            <v>RAQUEL BARBOSA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  <cell r="H1108" t="str">
            <v>INGREDIENTS</v>
          </cell>
          <cell r="I1108" t="str">
            <v>INGREDIENTS</v>
          </cell>
          <cell r="J1108" t="str">
            <v>DUAS RODAS</v>
          </cell>
          <cell r="K1108" t="str">
            <v>ITAMBÉ</v>
          </cell>
          <cell r="L1108" t="str">
            <v>MAURICIO</v>
          </cell>
          <cell r="M1108" t="str">
            <v>JOEL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  <cell r="H1109" t="str">
            <v>DISTRIBUIÇÃO</v>
          </cell>
          <cell r="I1109" t="str">
            <v>FOOD SERVICE</v>
          </cell>
          <cell r="J1109" t="str">
            <v>FLAC 1</v>
          </cell>
          <cell r="K1109" t="str">
            <v>LACTALIS</v>
          </cell>
          <cell r="L1109" t="str">
            <v>RODRIGO</v>
          </cell>
          <cell r="M1109" t="str">
            <v>RAQUEL BARBOSA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  <cell r="H1110" t="str">
            <v>QSR</v>
          </cell>
          <cell r="I1110" t="str">
            <v>FOOD SERVICE</v>
          </cell>
          <cell r="J1110" t="str">
            <v>ANA MENIQUETE</v>
          </cell>
          <cell r="K1110" t="str">
            <v>ITAMBÉ</v>
          </cell>
          <cell r="L1110" t="str">
            <v>PEDRO</v>
          </cell>
          <cell r="M1110" t="str">
            <v>ANA MENIQUETE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  <cell r="H1111" t="str">
            <v>QSR</v>
          </cell>
          <cell r="I1111" t="str">
            <v>FOOD SERVICE</v>
          </cell>
          <cell r="J1111" t="str">
            <v>ANA MENIQUETE</v>
          </cell>
          <cell r="K1111" t="str">
            <v>LACTALIS</v>
          </cell>
          <cell r="L1111" t="str">
            <v>PEDRO</v>
          </cell>
          <cell r="M1111" t="str">
            <v>ANA MENIQUETE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  <cell r="H1112" t="str">
            <v>QSR</v>
          </cell>
          <cell r="I1112" t="str">
            <v>FOOD SERVICE</v>
          </cell>
          <cell r="J1112" t="str">
            <v>ANA MENIQUETE</v>
          </cell>
          <cell r="K1112" t="str">
            <v>ITAMBÉ</v>
          </cell>
          <cell r="L1112" t="str">
            <v>PEDRO</v>
          </cell>
          <cell r="M1112" t="str">
            <v>ANA MENIQUETE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  <cell r="H1113" t="str">
            <v>QSR</v>
          </cell>
          <cell r="I1113" t="str">
            <v>FOOD SERVICE</v>
          </cell>
          <cell r="J1113" t="str">
            <v>ANA MENIQUETE</v>
          </cell>
          <cell r="K1113" t="str">
            <v>LACTALIS</v>
          </cell>
          <cell r="L1113" t="str">
            <v>PEDRO</v>
          </cell>
          <cell r="M1113" t="str">
            <v>ANA MENIQUETE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  <cell r="H1114" t="str">
            <v>DISTRIBUIÇÃO</v>
          </cell>
          <cell r="I1114" t="str">
            <v>FOOD SERVICE</v>
          </cell>
          <cell r="J1114" t="str">
            <v>FLAC 6</v>
          </cell>
          <cell r="K1114" t="str">
            <v>LACTALIS</v>
          </cell>
          <cell r="L1114" t="str">
            <v>RODRIGO</v>
          </cell>
          <cell r="M1114" t="str">
            <v>RAQUEL BARBOSA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  <cell r="H1115" t="str">
            <v>DISTRIBUIÇÃO</v>
          </cell>
          <cell r="I1115" t="str">
            <v>FOOD SERVICE</v>
          </cell>
          <cell r="J1115" t="str">
            <v>FLAC 3</v>
          </cell>
          <cell r="K1115" t="str">
            <v>LACTALIS</v>
          </cell>
          <cell r="L1115" t="str">
            <v>RODRIGO</v>
          </cell>
          <cell r="M1115" t="str">
            <v>RAQUEL BARBOSA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  <cell r="H1116" t="str">
            <v>DISTRIBUIÇÃO</v>
          </cell>
          <cell r="I1116" t="str">
            <v>FOOD SERVICE</v>
          </cell>
          <cell r="J1116" t="str">
            <v>MARCELO SILVA</v>
          </cell>
          <cell r="K1116" t="str">
            <v>ITAMBÉ</v>
          </cell>
          <cell r="L1116" t="str">
            <v>RODRIGO</v>
          </cell>
          <cell r="M1116" t="str">
            <v>CELIO MARTINS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  <cell r="H1117" t="str">
            <v>INGREDIENTS</v>
          </cell>
          <cell r="I1117" t="str">
            <v>INGREDIENTS</v>
          </cell>
          <cell r="J1117" t="str">
            <v>TATIANA NITTA</v>
          </cell>
          <cell r="K1117" t="str">
            <v>ITAMBÉ</v>
          </cell>
          <cell r="L1117" t="str">
            <v>MAURICIO</v>
          </cell>
          <cell r="M1117" t="str">
            <v>TATIANA NITTA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  <cell r="H1118" t="str">
            <v>MC DONALDS</v>
          </cell>
          <cell r="I1118" t="str">
            <v>MC DONALDS</v>
          </cell>
          <cell r="J1118" t="str">
            <v>MAURICIO GALLI</v>
          </cell>
          <cell r="K1118" t="str">
            <v>LACTALIS</v>
          </cell>
          <cell r="L1118" t="str">
            <v>MAURICIO</v>
          </cell>
          <cell r="M1118" t="str">
            <v>MAURICIO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  <cell r="H1119" t="str">
            <v>INGREDIENTS</v>
          </cell>
          <cell r="I1119" t="str">
            <v>INGREDIENTS</v>
          </cell>
          <cell r="J1119" t="str">
            <v>TATIANA NITTA</v>
          </cell>
          <cell r="K1119" t="str">
            <v>LACTALIS</v>
          </cell>
          <cell r="L1119" t="str">
            <v>MAURICIO</v>
          </cell>
          <cell r="M1119" t="str">
            <v>TATIANA NITTA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  <cell r="H1120" t="str">
            <v>INGREDIENTS</v>
          </cell>
          <cell r="I1120" t="str">
            <v>INGREDIENTS</v>
          </cell>
          <cell r="J1120" t="str">
            <v>MARCELO RODRIGUES</v>
          </cell>
          <cell r="K1120" t="str">
            <v>LACTALIS</v>
          </cell>
          <cell r="L1120" t="str">
            <v>MAURICIO</v>
          </cell>
          <cell r="M1120" t="str">
            <v>MARCELO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  <cell r="H1121" t="str">
            <v>DISTRIBUIÇÃO</v>
          </cell>
          <cell r="I1121" t="str">
            <v>FOOD SERVICE</v>
          </cell>
          <cell r="J1121" t="str">
            <v>FLAC 3</v>
          </cell>
          <cell r="K1121" t="str">
            <v>LACTALIS</v>
          </cell>
          <cell r="L1121" t="str">
            <v>RODRIGO</v>
          </cell>
          <cell r="M1121" t="str">
            <v>RAQUEL BARBOSA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  <cell r="H1122" t="str">
            <v>INGREDIENTS</v>
          </cell>
          <cell r="I1122" t="str">
            <v>INGREDIENTS</v>
          </cell>
          <cell r="J1122" t="str">
            <v>DUAS RODAS</v>
          </cell>
          <cell r="K1122" t="str">
            <v>ITAMBÉ</v>
          </cell>
          <cell r="L1122" t="str">
            <v>MAURICIO</v>
          </cell>
          <cell r="M1122" t="str">
            <v>MARCELO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  <cell r="H1123" t="str">
            <v>DISTRIBUIÇÃO</v>
          </cell>
          <cell r="I1123" t="str">
            <v>FOOD SERVICE</v>
          </cell>
          <cell r="J1123" t="str">
            <v>JULIANA CORDEIRO</v>
          </cell>
          <cell r="K1123" t="str">
            <v>ITAMBÉ</v>
          </cell>
          <cell r="L1123" t="str">
            <v>RODRIGO</v>
          </cell>
          <cell r="M1123" t="str">
            <v>JESSICA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  <cell r="H1124" t="str">
            <v>DISTRIBUIÇÃO</v>
          </cell>
          <cell r="I1124" t="str">
            <v>FOOD SERVICE</v>
          </cell>
          <cell r="J1124" t="str">
            <v>ANGELICA BATISTELA</v>
          </cell>
          <cell r="K1124" t="str">
            <v>ITAMBÉ</v>
          </cell>
          <cell r="L1124" t="str">
            <v>RODRIGO</v>
          </cell>
          <cell r="M1124" t="str">
            <v>ANGELICA BATISTELA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  <cell r="H1125" t="str">
            <v>DISTRIBUIÇÃO</v>
          </cell>
          <cell r="I1125" t="str">
            <v>FOOD SERVICE</v>
          </cell>
          <cell r="J1125" t="str">
            <v>MARCELO SILVA</v>
          </cell>
          <cell r="K1125" t="str">
            <v>ITAMBÉ</v>
          </cell>
          <cell r="L1125" t="str">
            <v>RODRIGO</v>
          </cell>
          <cell r="M1125" t="str">
            <v>CELIO MARTINS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  <cell r="H1126" t="str">
            <v>DISTRIBUIÇÃO</v>
          </cell>
          <cell r="I1126" t="str">
            <v>FOOD SERVICE</v>
          </cell>
          <cell r="J1126" t="str">
            <v>FLAC 6</v>
          </cell>
          <cell r="K1126" t="str">
            <v>LACTALIS</v>
          </cell>
          <cell r="L1126" t="str">
            <v>RODRIGO</v>
          </cell>
          <cell r="M1126" t="str">
            <v>RAQUEL BARBOSA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  <cell r="H1127" t="str">
            <v>DISTRIBUIÇÃO</v>
          </cell>
          <cell r="I1127" t="str">
            <v>FOOD SERVICE</v>
          </cell>
          <cell r="J1127" t="str">
            <v>FLAC 3</v>
          </cell>
          <cell r="K1127" t="str">
            <v>LACTALIS</v>
          </cell>
          <cell r="L1127" t="str">
            <v>RODRIGO</v>
          </cell>
          <cell r="M1127" t="str">
            <v>RAQUEL BARBOSA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  <cell r="H1128" t="str">
            <v>DISTRIBUIÇÃO</v>
          </cell>
          <cell r="I1128" t="str">
            <v>FOOD SERVICE</v>
          </cell>
          <cell r="J1128" t="str">
            <v>FLAC 6</v>
          </cell>
          <cell r="K1128" t="str">
            <v>LACTALIS</v>
          </cell>
          <cell r="L1128" t="str">
            <v>RODRIGO</v>
          </cell>
          <cell r="M1128" t="str">
            <v>RAQUEL BARBOSA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  <cell r="H1129" t="str">
            <v>DISTRIBUIÇÃO</v>
          </cell>
          <cell r="I1129" t="str">
            <v>FOOD SERVICE</v>
          </cell>
          <cell r="J1129" t="str">
            <v>FLAC 6</v>
          </cell>
          <cell r="K1129" t="str">
            <v>LACTALIS</v>
          </cell>
          <cell r="L1129" t="str">
            <v>RODRIGO</v>
          </cell>
          <cell r="M1129" t="str">
            <v>RAQUEL BARBOSA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  <cell r="H1130" t="str">
            <v>DISTRIBUIÇÃO</v>
          </cell>
          <cell r="I1130" t="str">
            <v>FOOD SERVICE</v>
          </cell>
          <cell r="J1130" t="str">
            <v>FLAC 6</v>
          </cell>
          <cell r="K1130" t="str">
            <v>LACTALIS</v>
          </cell>
          <cell r="L1130" t="str">
            <v>RODRIGO</v>
          </cell>
          <cell r="M1130" t="str">
            <v>RAQUEL BARBOSA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  <cell r="H1131" t="str">
            <v>DISTRIBUIÇÃO</v>
          </cell>
          <cell r="I1131" t="str">
            <v>FOOD SERVICE</v>
          </cell>
          <cell r="J1131" t="str">
            <v>FLAC 6</v>
          </cell>
          <cell r="K1131" t="str">
            <v>LACTALIS</v>
          </cell>
          <cell r="L1131" t="str">
            <v>RODRIGO</v>
          </cell>
          <cell r="M1131" t="str">
            <v>RAQUEL BARBOSA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  <cell r="H1132" t="str">
            <v>DISTRIBUIÇÃO</v>
          </cell>
          <cell r="I1132" t="str">
            <v>FOOD SERVICE</v>
          </cell>
          <cell r="J1132" t="str">
            <v>FLAC 6</v>
          </cell>
          <cell r="K1132" t="str">
            <v>LACTALIS</v>
          </cell>
          <cell r="L1132" t="str">
            <v>RODRIGO</v>
          </cell>
          <cell r="M1132" t="str">
            <v>RAQUEL BARBOSA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  <cell r="H1133" t="str">
            <v>DISTRIBUIÇÃO</v>
          </cell>
          <cell r="I1133" t="str">
            <v>FOOD SERVICE</v>
          </cell>
          <cell r="J1133" t="str">
            <v>FLAC 6</v>
          </cell>
          <cell r="K1133" t="str">
            <v>LACTALIS</v>
          </cell>
          <cell r="L1133" t="str">
            <v>RODRIGO</v>
          </cell>
          <cell r="M1133" t="str">
            <v>RAQUEL BARBOSA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  <cell r="H1134" t="str">
            <v>INGREDIENTS</v>
          </cell>
          <cell r="I1134" t="str">
            <v>INGREDIENTS</v>
          </cell>
          <cell r="J1134" t="str">
            <v>HENRIQUE FERREIRA</v>
          </cell>
          <cell r="K1134" t="str">
            <v>ITAMBÉ</v>
          </cell>
          <cell r="L1134" t="str">
            <v>MAURICIO</v>
          </cell>
          <cell r="M1134" t="str">
            <v>JOEL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  <cell r="H1135" t="str">
            <v>DISTRIBUIÇÃO</v>
          </cell>
          <cell r="I1135" t="str">
            <v>FOOD SERVICE</v>
          </cell>
          <cell r="J1135" t="str">
            <v>FLAC 6</v>
          </cell>
          <cell r="K1135" t="str">
            <v>LACTALIS</v>
          </cell>
          <cell r="L1135" t="str">
            <v>RODRIGO</v>
          </cell>
          <cell r="M1135" t="str">
            <v>RAQUEL BARBOSA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  <cell r="H1136" t="str">
            <v>DISTRIBUIÇÃO</v>
          </cell>
          <cell r="I1136" t="str">
            <v>FOOD SERVICE</v>
          </cell>
          <cell r="J1136" t="str">
            <v>FLAC 4</v>
          </cell>
          <cell r="K1136" t="str">
            <v>LACTALIS</v>
          </cell>
          <cell r="L1136" t="str">
            <v>RODRIGO</v>
          </cell>
          <cell r="M1136" t="str">
            <v>RAQUEL BARBOSA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  <cell r="H1137" t="str">
            <v>DISTRIBUIÇÃO</v>
          </cell>
          <cell r="I1137" t="str">
            <v>FOOD SERVICE</v>
          </cell>
          <cell r="J1137" t="str">
            <v>FLAC 6</v>
          </cell>
          <cell r="K1137" t="str">
            <v>LACTALIS</v>
          </cell>
          <cell r="L1137" t="str">
            <v>RODRIGO</v>
          </cell>
          <cell r="M1137" t="str">
            <v>RAQUEL BARBOSA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  <cell r="H1138" t="str">
            <v>DISTRIBUIÇÃO</v>
          </cell>
          <cell r="I1138" t="str">
            <v>FOOD SERVICE</v>
          </cell>
          <cell r="J1138" t="str">
            <v>FLAC 5</v>
          </cell>
          <cell r="K1138" t="str">
            <v>LACTALIS</v>
          </cell>
          <cell r="L1138" t="str">
            <v>RODRIGO</v>
          </cell>
          <cell r="M1138" t="str">
            <v>RAQUEL BARBOSA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  <cell r="H1139" t="str">
            <v>DISTRIBUIÇÃO</v>
          </cell>
          <cell r="I1139" t="str">
            <v>FOOD SERVICE</v>
          </cell>
          <cell r="J1139" t="str">
            <v>FLAC 3</v>
          </cell>
          <cell r="K1139" t="str">
            <v>LACTALIS</v>
          </cell>
          <cell r="L1139" t="str">
            <v>RODRIGO</v>
          </cell>
          <cell r="M1139" t="str">
            <v>RAQUEL BARBOSA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  <cell r="H1140" t="str">
            <v>DISTRIBUIÇÃO</v>
          </cell>
          <cell r="I1140" t="str">
            <v>FOOD SERVICE</v>
          </cell>
          <cell r="J1140" t="str">
            <v>FLAC 7</v>
          </cell>
          <cell r="K1140" t="str">
            <v>LACTALIS</v>
          </cell>
          <cell r="L1140" t="str">
            <v>RODRIGO</v>
          </cell>
          <cell r="M1140" t="str">
            <v>RAQUEL BARBOSA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  <cell r="H1141" t="str">
            <v>INGREDIENTS</v>
          </cell>
          <cell r="I1141" t="str">
            <v>INGREDIENTS</v>
          </cell>
          <cell r="J1141" t="str">
            <v>DUAS RODAS</v>
          </cell>
          <cell r="K1141" t="str">
            <v>ITAMBÉ</v>
          </cell>
          <cell r="L1141" t="str">
            <v>MAURICIO</v>
          </cell>
          <cell r="M1141" t="str">
            <v>TATIANA NITTA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  <cell r="H1142" t="str">
            <v>DISTRIBUIÇÃO</v>
          </cell>
          <cell r="I1142" t="str">
            <v>FOOD SERVICE</v>
          </cell>
          <cell r="J1142" t="str">
            <v>CELIO MARTINS</v>
          </cell>
          <cell r="K1142" t="str">
            <v>ITAMBÉ</v>
          </cell>
          <cell r="L1142" t="str">
            <v>RODRIGO</v>
          </cell>
          <cell r="M1142" t="str">
            <v>CELIO MARTINS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  <cell r="H1143" t="str">
            <v>QSR</v>
          </cell>
          <cell r="I1143" t="str">
            <v>FOOD SERVICE</v>
          </cell>
          <cell r="J1143" t="str">
            <v>VAGO QSR</v>
          </cell>
          <cell r="K1143" t="str">
            <v>LACTALIS</v>
          </cell>
          <cell r="L1143" t="str">
            <v>PEDRO</v>
          </cell>
          <cell r="M1143" t="str">
            <v>VAGO QSR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  <cell r="H1144" t="str">
            <v>DISTRIBUIÇÃO</v>
          </cell>
          <cell r="I1144" t="str">
            <v>FOOD SERVICE</v>
          </cell>
          <cell r="J1144" t="str">
            <v>FLAC 2</v>
          </cell>
          <cell r="K1144" t="str">
            <v>LACTALIS</v>
          </cell>
          <cell r="L1144" t="str">
            <v>RODRIGO</v>
          </cell>
          <cell r="M1144" t="str">
            <v>RAQUEL BARBOSA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  <cell r="H1145" t="str">
            <v>INGREDIENTS</v>
          </cell>
          <cell r="I1145" t="str">
            <v>INGREDIENTS</v>
          </cell>
          <cell r="J1145" t="str">
            <v>HENRIQUE FERREIRA</v>
          </cell>
          <cell r="K1145" t="str">
            <v>ITAMBÉ</v>
          </cell>
          <cell r="L1145" t="str">
            <v>MAURICIO</v>
          </cell>
          <cell r="M1145" t="str">
            <v>JOEL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  <cell r="H1146" t="str">
            <v>DISTRIBUIÇÃO</v>
          </cell>
          <cell r="I1146" t="str">
            <v>FOOD SERVICE</v>
          </cell>
          <cell r="J1146" t="str">
            <v>MARCELO SILVA</v>
          </cell>
          <cell r="K1146" t="str">
            <v>ITAMBÉ</v>
          </cell>
          <cell r="L1146" t="str">
            <v>RODRIGO</v>
          </cell>
          <cell r="M1146" t="str">
            <v>CELIO MARTINS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  <cell r="H1147" t="str">
            <v>INGREDIENTS</v>
          </cell>
          <cell r="I1147" t="str">
            <v>INGREDIENTS</v>
          </cell>
          <cell r="J1147" t="str">
            <v>DUAS RODAS</v>
          </cell>
          <cell r="K1147" t="str">
            <v>ITAMBÉ</v>
          </cell>
          <cell r="L1147" t="str">
            <v>MAURICIO</v>
          </cell>
          <cell r="M1147" t="str">
            <v>JOEL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  <cell r="H1148" t="str">
            <v>DISTRIBUIÇÃO</v>
          </cell>
          <cell r="I1148" t="str">
            <v>FOOD SERVICE</v>
          </cell>
          <cell r="J1148" t="str">
            <v>FLAC 2</v>
          </cell>
          <cell r="K1148" t="str">
            <v>LACTALIS</v>
          </cell>
          <cell r="L1148" t="str">
            <v>RODRIGO</v>
          </cell>
          <cell r="M1148" t="str">
            <v>RAQUEL BARBOSA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  <cell r="H1149" t="str">
            <v>DISTRIBUIÇÃO</v>
          </cell>
          <cell r="I1149" t="str">
            <v>FOOD SERVICE</v>
          </cell>
          <cell r="J1149" t="str">
            <v>FLAC 3</v>
          </cell>
          <cell r="K1149" t="str">
            <v>LACTALIS</v>
          </cell>
          <cell r="L1149" t="str">
            <v>RODRIGO</v>
          </cell>
          <cell r="M1149" t="str">
            <v>RAQUEL BARBOSA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  <cell r="H1150" t="str">
            <v>DISTRIBUIÇÃO</v>
          </cell>
          <cell r="I1150" t="str">
            <v>FOOD SERVICE</v>
          </cell>
          <cell r="J1150" t="str">
            <v>FLAC 3</v>
          </cell>
          <cell r="K1150" t="str">
            <v>LACTALIS</v>
          </cell>
          <cell r="L1150" t="str">
            <v>RODRIGO</v>
          </cell>
          <cell r="M1150" t="str">
            <v>RAQUEL BARBOSA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  <cell r="H1151" t="str">
            <v>DISTRIBUIÇÃO</v>
          </cell>
          <cell r="I1151" t="str">
            <v>FOOD SERVICE</v>
          </cell>
          <cell r="J1151" t="str">
            <v>FLAC 3</v>
          </cell>
          <cell r="K1151" t="str">
            <v>LACTALIS</v>
          </cell>
          <cell r="L1151" t="str">
            <v>RODRIGO</v>
          </cell>
          <cell r="M1151" t="str">
            <v>RAQUEL BARBOSA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  <cell r="H1152" t="str">
            <v>DISTRIBUIÇÃO</v>
          </cell>
          <cell r="I1152" t="str">
            <v>FOOD SERVICE</v>
          </cell>
          <cell r="J1152" t="str">
            <v>FLAC 7</v>
          </cell>
          <cell r="K1152" t="str">
            <v>LACTALIS</v>
          </cell>
          <cell r="L1152" t="str">
            <v>RODRIGO</v>
          </cell>
          <cell r="M1152" t="str">
            <v>RAQUEL BARBOSA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  <cell r="H1153" t="str">
            <v>DISTRIBUIÇÃO</v>
          </cell>
          <cell r="I1153" t="str">
            <v>FOOD SERVICE</v>
          </cell>
          <cell r="J1153" t="str">
            <v>FLAC 7</v>
          </cell>
          <cell r="K1153" t="str">
            <v>LACTALIS</v>
          </cell>
          <cell r="L1153" t="str">
            <v>RODRIGO</v>
          </cell>
          <cell r="M1153" t="str">
            <v>RAQUEL BARBOSA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  <cell r="H1154" t="str">
            <v>DISTRIBUIÇÃO</v>
          </cell>
          <cell r="I1154" t="str">
            <v>FOOD SERVICE</v>
          </cell>
          <cell r="J1154" t="str">
            <v>FLAC 3</v>
          </cell>
          <cell r="K1154" t="str">
            <v>LACTALIS</v>
          </cell>
          <cell r="L1154" t="str">
            <v>RODRIGO</v>
          </cell>
          <cell r="M1154" t="str">
            <v>RAQUEL BARBOSA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  <cell r="H1155" t="str">
            <v>DISTRIBUIÇÃO</v>
          </cell>
          <cell r="I1155" t="str">
            <v>FOOD SERVICE</v>
          </cell>
          <cell r="J1155" t="str">
            <v>VAGO SP</v>
          </cell>
          <cell r="K1155" t="str">
            <v>ITAMBÉ</v>
          </cell>
          <cell r="L1155" t="str">
            <v>RODRIGO</v>
          </cell>
          <cell r="M1155" t="str">
            <v>RAQUEL BARBOSA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  <cell r="H1156" t="str">
            <v>DISTRIBUIÇÃO</v>
          </cell>
          <cell r="I1156" t="str">
            <v>FOOD SERVICE</v>
          </cell>
          <cell r="J1156" t="str">
            <v>VAGO SP</v>
          </cell>
          <cell r="K1156" t="str">
            <v>ITAMBÉ</v>
          </cell>
          <cell r="L1156" t="str">
            <v>RODRIGO</v>
          </cell>
          <cell r="M1156" t="str">
            <v>RAQUEL BARBOSA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  <cell r="H1157" t="str">
            <v>INGREDIENTS</v>
          </cell>
          <cell r="I1157" t="str">
            <v>INGREDIENTS</v>
          </cell>
          <cell r="J1157" t="str">
            <v>HENRIQUE FERREIRA</v>
          </cell>
          <cell r="K1157" t="str">
            <v>ITAMBÉ</v>
          </cell>
          <cell r="L1157" t="str">
            <v>MAURICIO</v>
          </cell>
          <cell r="M1157" t="str">
            <v>JOEL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  <cell r="H1158" t="str">
            <v>INGREDIENTS</v>
          </cell>
          <cell r="I1158" t="str">
            <v>INGREDIENTS</v>
          </cell>
          <cell r="J1158" t="str">
            <v>HENRIQUE FERREIRA</v>
          </cell>
          <cell r="K1158" t="str">
            <v>LACTALIS</v>
          </cell>
          <cell r="L1158" t="str">
            <v>MAURICIO</v>
          </cell>
          <cell r="M1158" t="str">
            <v>JOEL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  <cell r="H1159" t="str">
            <v>DISTRIBUIÇÃO</v>
          </cell>
          <cell r="I1159" t="str">
            <v>FOOD SERVICE</v>
          </cell>
          <cell r="J1159" t="str">
            <v>CLAUDIO JORGE</v>
          </cell>
          <cell r="K1159" t="str">
            <v>ITAMBÉ</v>
          </cell>
          <cell r="L1159" t="str">
            <v>RODRIGO</v>
          </cell>
          <cell r="M1159" t="str">
            <v>MARIA LOURDES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  <cell r="H1160" t="str">
            <v>DISTRIBUIÇÃO</v>
          </cell>
          <cell r="I1160" t="str">
            <v>FOOD SERVICE</v>
          </cell>
          <cell r="J1160" t="str">
            <v>FLAC 6</v>
          </cell>
          <cell r="K1160" t="str">
            <v>LACTALIS</v>
          </cell>
          <cell r="L1160" t="str">
            <v>RODRIGO</v>
          </cell>
          <cell r="M1160" t="str">
            <v>RAQUEL BARBOSA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  <cell r="H1161" t="str">
            <v>DISTRIBUIÇÃO</v>
          </cell>
          <cell r="I1161" t="str">
            <v>FOOD SERVICE</v>
          </cell>
          <cell r="J1161" t="str">
            <v>FLAC 3</v>
          </cell>
          <cell r="K1161" t="str">
            <v>LACTALIS</v>
          </cell>
          <cell r="L1161" t="str">
            <v>RODRIGO</v>
          </cell>
          <cell r="M1161" t="str">
            <v>RAQUEL BARBOSA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  <cell r="H1162" t="str">
            <v>DISTRIBUIÇÃO</v>
          </cell>
          <cell r="I1162" t="str">
            <v>FOOD SERVICE</v>
          </cell>
          <cell r="J1162" t="str">
            <v>FLAC 3</v>
          </cell>
          <cell r="K1162" t="str">
            <v>LACTALIS</v>
          </cell>
          <cell r="L1162" t="str">
            <v>RODRIGO</v>
          </cell>
          <cell r="M1162" t="str">
            <v>RAQUEL BARBOSA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  <cell r="H1163" t="str">
            <v>DISTRIBUIÇÃO</v>
          </cell>
          <cell r="I1163" t="str">
            <v>FOOD SERVICE</v>
          </cell>
          <cell r="J1163" t="str">
            <v>FLAC 6</v>
          </cell>
          <cell r="K1163" t="str">
            <v>LACTALIS</v>
          </cell>
          <cell r="L1163" t="str">
            <v>RODRIGO</v>
          </cell>
          <cell r="M1163" t="str">
            <v>RAQUEL BARBOSA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  <cell r="H1164" t="str">
            <v>DISTRIBUIÇÃO</v>
          </cell>
          <cell r="I1164" t="str">
            <v>FOOD SERVICE</v>
          </cell>
          <cell r="J1164" t="str">
            <v>FLAC 2</v>
          </cell>
          <cell r="K1164" t="str">
            <v>LACTALIS</v>
          </cell>
          <cell r="L1164" t="str">
            <v>RODRIGO</v>
          </cell>
          <cell r="M1164" t="str">
            <v>RAQUEL BARBOSA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  <cell r="H1165" t="str">
            <v>DISTRIBUIÇÃO</v>
          </cell>
          <cell r="I1165" t="str">
            <v>FOOD SERVICE</v>
          </cell>
          <cell r="J1165" t="str">
            <v>FLAC 6</v>
          </cell>
          <cell r="K1165" t="str">
            <v>LACTALIS</v>
          </cell>
          <cell r="L1165" t="str">
            <v>RODRIGO</v>
          </cell>
          <cell r="M1165" t="str">
            <v>RAQUEL BARBOSA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  <cell r="H1166" t="str">
            <v>DISTRIBUIÇÃO</v>
          </cell>
          <cell r="I1166" t="str">
            <v>FOOD SERVICE</v>
          </cell>
          <cell r="J1166" t="str">
            <v>FLAC 6</v>
          </cell>
          <cell r="K1166" t="str">
            <v>LACTALIS</v>
          </cell>
          <cell r="L1166" t="str">
            <v>RODRIGO</v>
          </cell>
          <cell r="M1166" t="str">
            <v>RAQUEL BARBOSA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  <cell r="H1167" t="str">
            <v>DISTRIBUIÇÃO</v>
          </cell>
          <cell r="I1167" t="str">
            <v>FOOD SERVICE</v>
          </cell>
          <cell r="J1167" t="str">
            <v>FLAC 2</v>
          </cell>
          <cell r="K1167" t="str">
            <v>LACTALIS</v>
          </cell>
          <cell r="L1167" t="str">
            <v>RODRIGO</v>
          </cell>
          <cell r="M1167" t="str">
            <v>RAQUEL BARBOSA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  <cell r="H1168" t="str">
            <v>DISTRIBUIÇÃO</v>
          </cell>
          <cell r="I1168" t="str">
            <v>FOOD SERVICE</v>
          </cell>
          <cell r="J1168" t="str">
            <v>FLAC 2</v>
          </cell>
          <cell r="K1168" t="str">
            <v>LACTALIS</v>
          </cell>
          <cell r="L1168" t="str">
            <v>RODRIGO</v>
          </cell>
          <cell r="M1168" t="str">
            <v>RAQUEL BARBOSA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  <cell r="H1169" t="str">
            <v>DISTRIBUIÇÃO</v>
          </cell>
          <cell r="I1169" t="str">
            <v>FOOD SERVICE</v>
          </cell>
          <cell r="J1169" t="str">
            <v>FLAC 3</v>
          </cell>
          <cell r="K1169" t="str">
            <v>LACTALIS</v>
          </cell>
          <cell r="L1169" t="str">
            <v>RODRIGO</v>
          </cell>
          <cell r="M1169" t="str">
            <v>RAQUEL BARBOSA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  <cell r="H1170" t="str">
            <v>INGREDIENTS</v>
          </cell>
          <cell r="I1170" t="str">
            <v>INGREDIENTS</v>
          </cell>
          <cell r="J1170" t="str">
            <v>JOEL ELEOTÉRIO</v>
          </cell>
          <cell r="K1170" t="str">
            <v>LACTALIS</v>
          </cell>
          <cell r="L1170" t="str">
            <v>MAURICIO</v>
          </cell>
          <cell r="M1170" t="str">
            <v>JOEL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  <cell r="H1171" t="str">
            <v>DISTRIBUIÇÃO</v>
          </cell>
          <cell r="I1171" t="str">
            <v>FOOD SERVICE</v>
          </cell>
          <cell r="J1171" t="str">
            <v>FLAC 6</v>
          </cell>
          <cell r="K1171" t="str">
            <v>LACTALIS</v>
          </cell>
          <cell r="L1171" t="str">
            <v>RODRIGO</v>
          </cell>
          <cell r="M1171" t="str">
            <v>RAQUEL BARBOSA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  <cell r="H1172" t="str">
            <v>DISTRIBUIÇÃO</v>
          </cell>
          <cell r="I1172" t="str">
            <v>FOOD SERVICE</v>
          </cell>
          <cell r="J1172" t="str">
            <v>FLAC 6</v>
          </cell>
          <cell r="K1172" t="str">
            <v>LACTALIS</v>
          </cell>
          <cell r="L1172" t="str">
            <v>RODRIGO</v>
          </cell>
          <cell r="M1172" t="str">
            <v>RAQUEL BARBOSA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  <cell r="H1173" t="str">
            <v>DISTRIBUIÇÃO</v>
          </cell>
          <cell r="I1173" t="str">
            <v>FOOD SERVICE</v>
          </cell>
          <cell r="J1173" t="str">
            <v>FLAC 3</v>
          </cell>
          <cell r="K1173" t="str">
            <v>LACTALIS</v>
          </cell>
          <cell r="L1173" t="str">
            <v>RODRIGO</v>
          </cell>
          <cell r="M1173" t="str">
            <v>RAQUEL BARBOSA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  <cell r="H1174" t="str">
            <v>DISTRIBUIÇÃO</v>
          </cell>
          <cell r="I1174" t="str">
            <v>FOOD SERVICE</v>
          </cell>
          <cell r="J1174" t="str">
            <v>FLAC 4</v>
          </cell>
          <cell r="K1174" t="str">
            <v>LACTALIS</v>
          </cell>
          <cell r="L1174" t="str">
            <v>RODRIGO</v>
          </cell>
          <cell r="M1174" t="str">
            <v>RAQUEL BARBOSA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  <cell r="H1175" t="str">
            <v>DISTRIBUIÇÃO</v>
          </cell>
          <cell r="I1175" t="str">
            <v>FOOD SERVICE</v>
          </cell>
          <cell r="J1175" t="str">
            <v>FLAC 2</v>
          </cell>
          <cell r="K1175" t="str">
            <v>LACTALIS</v>
          </cell>
          <cell r="L1175" t="str">
            <v>RODRIGO</v>
          </cell>
          <cell r="M1175" t="str">
            <v>RAQUEL BARBOSA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  <cell r="H1176" t="str">
            <v>DISTRIBUIÇÃO</v>
          </cell>
          <cell r="I1176" t="str">
            <v>FOOD SERVICE</v>
          </cell>
          <cell r="J1176" t="str">
            <v>FLAC 3</v>
          </cell>
          <cell r="K1176" t="str">
            <v>LACTALIS</v>
          </cell>
          <cell r="L1176" t="str">
            <v>RODRIGO</v>
          </cell>
          <cell r="M1176" t="str">
            <v>RAQUEL BARBOSA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  <cell r="H1177" t="str">
            <v>DISTRIBUIÇÃO</v>
          </cell>
          <cell r="I1177" t="str">
            <v>FOOD SERVICE</v>
          </cell>
          <cell r="J1177" t="str">
            <v>FLAC 2</v>
          </cell>
          <cell r="K1177" t="str">
            <v>LACTALIS</v>
          </cell>
          <cell r="L1177" t="str">
            <v>RODRIGO</v>
          </cell>
          <cell r="M1177" t="str">
            <v>RAQUEL BARBOSA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  <cell r="H1178" t="str">
            <v>MC DONALDS</v>
          </cell>
          <cell r="I1178" t="str">
            <v>MC DONALDS</v>
          </cell>
          <cell r="J1178" t="str">
            <v>MAURICIO GALLI</v>
          </cell>
          <cell r="K1178" t="str">
            <v>LACTALIS</v>
          </cell>
          <cell r="L1178" t="str">
            <v>MAURICIO</v>
          </cell>
          <cell r="M1178" t="str">
            <v>MAURICIO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  <cell r="H1179" t="str">
            <v>MC DONALDS</v>
          </cell>
          <cell r="I1179" t="str">
            <v>MC DONALDS</v>
          </cell>
          <cell r="J1179" t="str">
            <v>MAURICIO GALLI</v>
          </cell>
          <cell r="K1179" t="str">
            <v>LACTALIS</v>
          </cell>
          <cell r="L1179" t="str">
            <v>MAURICIO</v>
          </cell>
          <cell r="M1179" t="str">
            <v>MAURICIO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  <cell r="H1180" t="str">
            <v>MC DONALDS</v>
          </cell>
          <cell r="I1180" t="str">
            <v>MC DONALDS</v>
          </cell>
          <cell r="J1180" t="str">
            <v>MAURICIO GALLI</v>
          </cell>
          <cell r="K1180" t="str">
            <v>LACTALIS</v>
          </cell>
          <cell r="L1180" t="str">
            <v>MAURICIO</v>
          </cell>
          <cell r="M1180" t="str">
            <v>MAURICIO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  <cell r="H1181" t="str">
            <v>MC DONALDS</v>
          </cell>
          <cell r="I1181" t="str">
            <v>MC DONALDS</v>
          </cell>
          <cell r="J1181" t="str">
            <v>MAURICIO GALLI</v>
          </cell>
          <cell r="K1181" t="str">
            <v>LACTALIS</v>
          </cell>
          <cell r="L1181" t="str">
            <v>MAURICIO</v>
          </cell>
          <cell r="M1181" t="str">
            <v>MAURICIO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  <cell r="H1182" t="str">
            <v>MC DONALDS</v>
          </cell>
          <cell r="I1182" t="str">
            <v>MC DONALDS</v>
          </cell>
          <cell r="J1182" t="str">
            <v>MAURICIO GALLI</v>
          </cell>
          <cell r="K1182" t="str">
            <v>LACTALIS</v>
          </cell>
          <cell r="L1182" t="str">
            <v>MAURICIO</v>
          </cell>
          <cell r="M1182" t="str">
            <v>MAURICIO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  <cell r="H1183" t="str">
            <v>DISTRIBUIÇÃO</v>
          </cell>
          <cell r="I1183" t="str">
            <v>FOOD SERVICE</v>
          </cell>
          <cell r="J1183" t="str">
            <v>FLAC 8</v>
          </cell>
          <cell r="K1183" t="str">
            <v>LACTALIS</v>
          </cell>
          <cell r="L1183" t="str">
            <v>RODRIGO</v>
          </cell>
          <cell r="M1183" t="str">
            <v>RAQUEL BARBOSA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  <cell r="H1184" t="str">
            <v>INGREDIENTS</v>
          </cell>
          <cell r="I1184" t="str">
            <v>INGREDIENTS</v>
          </cell>
          <cell r="J1184" t="str">
            <v>HENRIQUE FERREIRA</v>
          </cell>
          <cell r="K1184" t="str">
            <v>ITAMBÉ</v>
          </cell>
          <cell r="L1184" t="str">
            <v>MAURICIO</v>
          </cell>
          <cell r="M1184" t="str">
            <v>JOEL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  <cell r="H1185" t="str">
            <v>DISTRIBUIÇÃO</v>
          </cell>
          <cell r="I1185" t="str">
            <v>FOOD SERVICE</v>
          </cell>
          <cell r="J1185" t="str">
            <v>CLAUDIO JORGE</v>
          </cell>
          <cell r="K1185" t="str">
            <v>ITAMBÉ</v>
          </cell>
          <cell r="L1185" t="str">
            <v>RODRIGO</v>
          </cell>
          <cell r="M1185" t="str">
            <v>MARIA LOURDES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  <cell r="H1186" t="str">
            <v>DISTRIBUIÇÃO</v>
          </cell>
          <cell r="I1186" t="str">
            <v>FOOD SERVICE</v>
          </cell>
          <cell r="J1186" t="str">
            <v>ALEXANDRE BONANI</v>
          </cell>
          <cell r="K1186" t="str">
            <v>ITAMBÉ</v>
          </cell>
          <cell r="L1186" t="str">
            <v>RODRIGO</v>
          </cell>
          <cell r="M1186" t="str">
            <v>ALEXANDRE BONANI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  <cell r="H1187" t="str">
            <v>DISTRIBUIÇÃO</v>
          </cell>
          <cell r="I1187" t="str">
            <v>FOOD SERVICE</v>
          </cell>
          <cell r="J1187" t="str">
            <v>ALEXANDRE BONANI</v>
          </cell>
          <cell r="K1187" t="str">
            <v>ITAMBÉ</v>
          </cell>
          <cell r="L1187" t="str">
            <v>RODRIGO</v>
          </cell>
          <cell r="M1187" t="str">
            <v>ALEXANDRE BONANI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  <cell r="H1188" t="str">
            <v>DISTRIBUIÇÃO</v>
          </cell>
          <cell r="I1188" t="str">
            <v>FOOD SERVICE</v>
          </cell>
          <cell r="J1188" t="str">
            <v>ALEXANDRE BONANI</v>
          </cell>
          <cell r="K1188" t="str">
            <v>LACTALIS</v>
          </cell>
          <cell r="L1188" t="str">
            <v>RODRIGO</v>
          </cell>
          <cell r="M1188" t="str">
            <v>ALEXANDRE BONANI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  <cell r="H1189" t="str">
            <v>DISTRIBUIÇÃO</v>
          </cell>
          <cell r="I1189" t="str">
            <v>FOOD SERVICE</v>
          </cell>
          <cell r="J1189" t="str">
            <v>ANGELICA BATISTELA</v>
          </cell>
          <cell r="K1189" t="str">
            <v>ITAMBÉ</v>
          </cell>
          <cell r="L1189" t="str">
            <v>RODRIGO</v>
          </cell>
          <cell r="M1189" t="str">
            <v>ANGELICA BATISTELA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  <cell r="H1190" t="str">
            <v>DISTRIBUIÇÃO</v>
          </cell>
          <cell r="I1190" t="str">
            <v>FOOD SERVICE</v>
          </cell>
          <cell r="J1190" t="str">
            <v>JESSICA CARLA</v>
          </cell>
          <cell r="K1190" t="str">
            <v>ITAMBÉ</v>
          </cell>
          <cell r="L1190" t="str">
            <v>RODRIGO</v>
          </cell>
          <cell r="M1190" t="str">
            <v>JESSICA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  <cell r="H1191" t="str">
            <v>DISTRIBUIÇÃO</v>
          </cell>
          <cell r="I1191" t="str">
            <v>FOOD SERVICE</v>
          </cell>
          <cell r="J1191" t="str">
            <v>JESSICA CARLA</v>
          </cell>
          <cell r="K1191" t="str">
            <v>LACTALIS</v>
          </cell>
          <cell r="L1191" t="str">
            <v>RODRIGO</v>
          </cell>
          <cell r="M1191" t="str">
            <v>JESSICA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  <cell r="H1192" t="str">
            <v>DISTRIBUIÇÃO</v>
          </cell>
          <cell r="I1192" t="str">
            <v>FOOD SERVICE</v>
          </cell>
          <cell r="J1192" t="str">
            <v>FLAC 2</v>
          </cell>
          <cell r="K1192" t="str">
            <v>LACTALIS</v>
          </cell>
          <cell r="L1192" t="str">
            <v>RODRIGO</v>
          </cell>
          <cell r="M1192" t="str">
            <v>RAQUEL BARBOSA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  <cell r="H1193" t="str">
            <v>DISTRIBUIÇÃO</v>
          </cell>
          <cell r="I1193" t="str">
            <v>FOOD SERVICE</v>
          </cell>
          <cell r="J1193" t="str">
            <v>FLAC 2</v>
          </cell>
          <cell r="K1193" t="str">
            <v>LACTALIS</v>
          </cell>
          <cell r="L1193" t="str">
            <v>RODRIGO</v>
          </cell>
          <cell r="M1193" t="str">
            <v>RAQUEL BARBOSA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  <cell r="H1194" t="str">
            <v>DISTRIBUIÇÃO</v>
          </cell>
          <cell r="I1194" t="str">
            <v>FOOD SERVICE</v>
          </cell>
          <cell r="J1194" t="str">
            <v>SP ITB FS FLAC REP.E COMERCIO</v>
          </cell>
          <cell r="K1194" t="str">
            <v>ITAMBÉ</v>
          </cell>
          <cell r="L1194" t="str">
            <v>RODRIGO</v>
          </cell>
          <cell r="M1194" t="str">
            <v>RAQUEL BARBOSA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  <cell r="H1195" t="str">
            <v>DISTRIBUIÇÃO</v>
          </cell>
          <cell r="I1195" t="str">
            <v>FOOD SERVICE</v>
          </cell>
          <cell r="J1195" t="str">
            <v>FLAC 2</v>
          </cell>
          <cell r="K1195" t="str">
            <v>LACTALIS</v>
          </cell>
          <cell r="L1195" t="str">
            <v>RODRIGO</v>
          </cell>
          <cell r="M1195" t="str">
            <v>RAQUEL BARBOSA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  <cell r="H1196" t="str">
            <v>DISTRIBUIÇÃO</v>
          </cell>
          <cell r="I1196" t="str">
            <v>FOOD SERVICE</v>
          </cell>
          <cell r="J1196" t="str">
            <v>FLAC 2</v>
          </cell>
          <cell r="K1196" t="str">
            <v>LACTALIS</v>
          </cell>
          <cell r="L1196" t="str">
            <v>RODRIGO</v>
          </cell>
          <cell r="M1196" t="str">
            <v>RAQUEL BARBOSA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  <cell r="H1197" t="str">
            <v>DISTRIBUIÇÃO</v>
          </cell>
          <cell r="I1197" t="str">
            <v>FOOD SERVICE</v>
          </cell>
          <cell r="J1197" t="str">
            <v>FLAC 6</v>
          </cell>
          <cell r="K1197" t="str">
            <v>LACTALIS</v>
          </cell>
          <cell r="L1197" t="str">
            <v>RODRIGO</v>
          </cell>
          <cell r="M1197" t="str">
            <v>RAQUEL BARBOSA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  <cell r="H1198" t="str">
            <v>DISTRIBUIÇÃO</v>
          </cell>
          <cell r="I1198" t="str">
            <v>FOOD SERVICE</v>
          </cell>
          <cell r="J1198" t="str">
            <v>FLAC 6</v>
          </cell>
          <cell r="K1198" t="str">
            <v>LACTALIS</v>
          </cell>
          <cell r="L1198" t="str">
            <v>RODRIGO</v>
          </cell>
          <cell r="M1198" t="str">
            <v>RAQUEL BARBOSA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  <cell r="H1199" t="str">
            <v>DISTRIBUIÇÃO</v>
          </cell>
          <cell r="I1199" t="str">
            <v>FOOD SERVICE</v>
          </cell>
          <cell r="J1199" t="str">
            <v>FLAC 2</v>
          </cell>
          <cell r="K1199" t="str">
            <v>LACTALIS</v>
          </cell>
          <cell r="L1199" t="str">
            <v>RODRIGO</v>
          </cell>
          <cell r="M1199" t="str">
            <v>RAQUEL BARBOSA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  <cell r="H1200" t="str">
            <v>DISTRIBUIÇÃO</v>
          </cell>
          <cell r="I1200" t="str">
            <v>FOOD SERVICE</v>
          </cell>
          <cell r="J1200" t="str">
            <v>FLAC 4</v>
          </cell>
          <cell r="K1200" t="str">
            <v>LACTALIS</v>
          </cell>
          <cell r="L1200" t="str">
            <v>RODRIGO</v>
          </cell>
          <cell r="M1200" t="str">
            <v>RAQUEL BARBOSA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  <cell r="H1201" t="str">
            <v>DISTRIBUIÇÃO</v>
          </cell>
          <cell r="I1201" t="str">
            <v>FOOD SERVICE</v>
          </cell>
          <cell r="J1201" t="str">
            <v>VAGO SP</v>
          </cell>
          <cell r="K1201" t="str">
            <v>ITAMBÉ</v>
          </cell>
          <cell r="L1201" t="str">
            <v>RODRIGO</v>
          </cell>
          <cell r="M1201" t="str">
            <v>RAQUEL BARBOSA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  <cell r="H1202" t="str">
            <v>DISTRIBUIÇÃO</v>
          </cell>
          <cell r="I1202" t="str">
            <v>FOOD SERVICE</v>
          </cell>
          <cell r="J1202" t="str">
            <v>VAGO SP</v>
          </cell>
          <cell r="K1202" t="str">
            <v>LACTALIS</v>
          </cell>
          <cell r="L1202" t="str">
            <v>RODRIGO</v>
          </cell>
          <cell r="M1202" t="str">
            <v>RAQUEL BARBOSA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  <cell r="H1203" t="str">
            <v>DISTRIBUIÇÃO</v>
          </cell>
          <cell r="I1203" t="str">
            <v>FOOD SERVICE</v>
          </cell>
          <cell r="J1203" t="str">
            <v>FLAC 6</v>
          </cell>
          <cell r="K1203" t="str">
            <v>LACTALIS</v>
          </cell>
          <cell r="L1203" t="str">
            <v>RODRIGO</v>
          </cell>
          <cell r="M1203" t="str">
            <v>RAQUEL BARBOSA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  <cell r="H1204" t="str">
            <v>DISTRIBUIÇÃO</v>
          </cell>
          <cell r="I1204" t="str">
            <v>FOOD SERVICE</v>
          </cell>
          <cell r="J1204" t="str">
            <v>FLAC 6</v>
          </cell>
          <cell r="K1204" t="str">
            <v>LACTALIS</v>
          </cell>
          <cell r="L1204" t="str">
            <v>RODRIGO</v>
          </cell>
          <cell r="M1204" t="str">
            <v>RAQUEL BARBOSA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  <cell r="H1205" t="str">
            <v>QSR</v>
          </cell>
          <cell r="I1205" t="str">
            <v>FOOD SERVICE</v>
          </cell>
          <cell r="J1205" t="str">
            <v>ANA MENIQUETE</v>
          </cell>
          <cell r="K1205" t="str">
            <v>ITAMBÉ</v>
          </cell>
          <cell r="L1205" t="str">
            <v>PEDRO</v>
          </cell>
          <cell r="M1205" t="str">
            <v>ANA MENIQUETE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  <cell r="H1206" t="str">
            <v>DISTRIBUIÇÃO</v>
          </cell>
          <cell r="I1206" t="str">
            <v>FOOD SERVICE</v>
          </cell>
          <cell r="J1206" t="str">
            <v>ALEXANDRE BONANI</v>
          </cell>
          <cell r="K1206" t="str">
            <v>ITAMBÉ</v>
          </cell>
          <cell r="L1206" t="str">
            <v>RODRIGO</v>
          </cell>
          <cell r="M1206" t="str">
            <v>ALEXANDRE BONANI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  <cell r="H1207" t="str">
            <v>DISTRIBUIÇÃO</v>
          </cell>
          <cell r="I1207" t="str">
            <v>FOOD SERVICE</v>
          </cell>
          <cell r="J1207" t="str">
            <v>ALEXANDRE BONANI</v>
          </cell>
          <cell r="K1207" t="str">
            <v>LACTALIS</v>
          </cell>
          <cell r="L1207" t="str">
            <v>RODRIGO</v>
          </cell>
          <cell r="M1207" t="str">
            <v>ALEXANDRE BONANI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  <cell r="H1208" t="str">
            <v>DISTRIBUIÇÃO</v>
          </cell>
          <cell r="I1208" t="str">
            <v>FOOD SERVICE</v>
          </cell>
          <cell r="J1208" t="str">
            <v>FLAC 2</v>
          </cell>
          <cell r="K1208" t="str">
            <v>LACTALIS</v>
          </cell>
          <cell r="L1208" t="str">
            <v>RODRIGO</v>
          </cell>
          <cell r="M1208" t="str">
            <v>RAQUEL BARBOSA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  <cell r="H1209" t="str">
            <v>DISTRIBUIÇÃO</v>
          </cell>
          <cell r="I1209" t="str">
            <v>FOOD SERVICE</v>
          </cell>
          <cell r="J1209" t="str">
            <v>ALEXANDRE BONANI</v>
          </cell>
          <cell r="K1209" t="str">
            <v>ITAMBÉ</v>
          </cell>
          <cell r="L1209" t="str">
            <v>RODRIGO</v>
          </cell>
          <cell r="M1209" t="str">
            <v>ALEXANDRE BONANI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  <cell r="H1210" t="str">
            <v>DISTRIBUIÇÃO</v>
          </cell>
          <cell r="I1210" t="str">
            <v>FOOD SERVICE</v>
          </cell>
          <cell r="J1210" t="str">
            <v>FLAC 8</v>
          </cell>
          <cell r="K1210" t="str">
            <v>LACTALIS</v>
          </cell>
          <cell r="L1210" t="str">
            <v>RODRIGO</v>
          </cell>
          <cell r="M1210" t="str">
            <v>RAQUEL BARBOSA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  <cell r="H1211" t="str">
            <v>DISTRIBUIÇÃO</v>
          </cell>
          <cell r="I1211" t="str">
            <v>FOOD SERVICE</v>
          </cell>
          <cell r="J1211" t="str">
            <v>FLAC 6</v>
          </cell>
          <cell r="K1211" t="str">
            <v>LACTALIS</v>
          </cell>
          <cell r="L1211" t="str">
            <v>RODRIGO</v>
          </cell>
          <cell r="M1211" t="str">
            <v>RAQUEL BARBOSA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  <cell r="H1212" t="str">
            <v>DISTRIBUIÇÃO</v>
          </cell>
          <cell r="I1212" t="str">
            <v>FOOD SERVICE</v>
          </cell>
          <cell r="J1212" t="str">
            <v>MARCO AURELIO</v>
          </cell>
          <cell r="K1212" t="str">
            <v>ITAMBÉ</v>
          </cell>
          <cell r="L1212" t="str">
            <v>RODRIGO</v>
          </cell>
          <cell r="M1212" t="str">
            <v>MARCO AURELIO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  <cell r="H1213" t="str">
            <v>DISTRIBUIÇÃO</v>
          </cell>
          <cell r="I1213" t="str">
            <v>FOOD SERVICE</v>
          </cell>
          <cell r="J1213" t="str">
            <v>FLAC 3</v>
          </cell>
          <cell r="K1213" t="str">
            <v>LACTALIS</v>
          </cell>
          <cell r="L1213" t="str">
            <v>RODRIGO</v>
          </cell>
          <cell r="M1213" t="str">
            <v>RAQUEL BARBOSA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  <cell r="H1214" t="str">
            <v>DISTRIBUIÇÃO</v>
          </cell>
          <cell r="I1214" t="str">
            <v>FOOD SERVICE</v>
          </cell>
          <cell r="J1214" t="str">
            <v>ALEXANDRE BONANI</v>
          </cell>
          <cell r="K1214" t="str">
            <v>ITAMBÉ</v>
          </cell>
          <cell r="L1214" t="str">
            <v>RODRIGO</v>
          </cell>
          <cell r="M1214" t="str">
            <v>ALEXANDRE BONANI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  <cell r="H1215" t="str">
            <v>DISTRIBUIÇÃO</v>
          </cell>
          <cell r="I1215" t="str">
            <v>FOOD SERVICE</v>
          </cell>
          <cell r="J1215" t="str">
            <v>ALEXANDRE BONANI</v>
          </cell>
          <cell r="K1215" t="str">
            <v>LACTALIS</v>
          </cell>
          <cell r="L1215" t="str">
            <v>RODRIGO</v>
          </cell>
          <cell r="M1215" t="str">
            <v>ALEXANDRE BONANI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  <cell r="H1216" t="str">
            <v>DISTRIBUIÇÃO</v>
          </cell>
          <cell r="I1216" t="str">
            <v>FOOD SERVICE</v>
          </cell>
          <cell r="J1216" t="str">
            <v>FLAC 2</v>
          </cell>
          <cell r="K1216" t="str">
            <v>LACTALIS</v>
          </cell>
          <cell r="L1216" t="str">
            <v>RODRIGO</v>
          </cell>
          <cell r="M1216" t="str">
            <v>RAQUEL BARBOSA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  <cell r="H1217" t="str">
            <v>DISTRIBUIÇÃO</v>
          </cell>
          <cell r="I1217" t="str">
            <v>FOOD SERVICE</v>
          </cell>
          <cell r="J1217" t="str">
            <v>ANGELICA BATISTELA</v>
          </cell>
          <cell r="K1217" t="str">
            <v>ITAMBÉ</v>
          </cell>
          <cell r="L1217" t="str">
            <v>RODRIGO</v>
          </cell>
          <cell r="M1217" t="str">
            <v>ANGELICA BATISTELA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  <cell r="H1218" t="str">
            <v>DISTRIBUIÇÃO</v>
          </cell>
          <cell r="I1218" t="str">
            <v>FOOD SERVICE</v>
          </cell>
          <cell r="J1218" t="str">
            <v>ANGELICA BATISTELA</v>
          </cell>
          <cell r="K1218" t="str">
            <v>LACTALIS</v>
          </cell>
          <cell r="L1218" t="str">
            <v>RODRIGO</v>
          </cell>
          <cell r="M1218" t="str">
            <v>ANGELICA BATISTELA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  <cell r="H1219" t="str">
            <v>DISTRIBUIÇÃO</v>
          </cell>
          <cell r="I1219" t="str">
            <v>FOOD SERVICE</v>
          </cell>
          <cell r="J1219" t="str">
            <v>ANGELICA BATISTELA</v>
          </cell>
          <cell r="K1219" t="str">
            <v>LACTALIS</v>
          </cell>
          <cell r="L1219" t="str">
            <v>RODRIGO</v>
          </cell>
          <cell r="M1219" t="str">
            <v>ANGELICA BATISTELA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  <cell r="H1220" t="str">
            <v>DISTRIBUIÇÃO</v>
          </cell>
          <cell r="I1220" t="str">
            <v>FOOD SERVICE</v>
          </cell>
          <cell r="J1220" t="str">
            <v>FLAC 5</v>
          </cell>
          <cell r="K1220" t="str">
            <v>LACTALIS</v>
          </cell>
          <cell r="L1220" t="str">
            <v>RODRIGO</v>
          </cell>
          <cell r="M1220" t="str">
            <v>RAQUEL BARBOSA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  <cell r="H1221" t="str">
            <v>DISTRIBUIÇÃO</v>
          </cell>
          <cell r="I1221" t="str">
            <v>FOOD SERVICE</v>
          </cell>
          <cell r="J1221" t="str">
            <v>MARCELO DUARTE</v>
          </cell>
          <cell r="K1221" t="str">
            <v>ITAMBÉ</v>
          </cell>
          <cell r="L1221" t="str">
            <v>RODRIGO</v>
          </cell>
          <cell r="M1221" t="str">
            <v>JESSICA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  <cell r="H1222" t="str">
            <v>DISTRIBUIÇÃO</v>
          </cell>
          <cell r="I1222" t="str">
            <v>FOOD SERVICE</v>
          </cell>
          <cell r="J1222" t="str">
            <v>MARCELO DUARTE</v>
          </cell>
          <cell r="K1222" t="str">
            <v>ITAMBÉ</v>
          </cell>
          <cell r="L1222" t="str">
            <v>RODRIGO</v>
          </cell>
          <cell r="M1222" t="str">
            <v>JESSICA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  <cell r="H1223" t="str">
            <v>DISTRIBUIÇÃO</v>
          </cell>
          <cell r="I1223" t="str">
            <v>FOOD SERVICE</v>
          </cell>
          <cell r="J1223" t="str">
            <v>FLAC 3</v>
          </cell>
          <cell r="K1223" t="str">
            <v>LACTALIS</v>
          </cell>
          <cell r="L1223" t="str">
            <v>RODRIGO</v>
          </cell>
          <cell r="M1223" t="str">
            <v>RAQUEL BARBOSA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  <cell r="H1224" t="str">
            <v>DISTRIBUIÇÃO</v>
          </cell>
          <cell r="I1224" t="str">
            <v>FOOD SERVICE</v>
          </cell>
          <cell r="J1224" t="str">
            <v>SP ITB FS FLAC REP.E COMERCIO</v>
          </cell>
          <cell r="K1224" t="str">
            <v>ITAMBÉ</v>
          </cell>
          <cell r="L1224" t="str">
            <v>RODRIGO</v>
          </cell>
          <cell r="M1224" t="str">
            <v>RAQUEL BARBOSA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  <cell r="H1225" t="str">
            <v>DISTRIBUIÇÃO</v>
          </cell>
          <cell r="I1225" t="str">
            <v>FOOD SERVICE</v>
          </cell>
          <cell r="J1225" t="str">
            <v>FLAC 3</v>
          </cell>
          <cell r="K1225" t="str">
            <v>LACTALIS</v>
          </cell>
          <cell r="L1225" t="str">
            <v>RODRIGO</v>
          </cell>
          <cell r="M1225" t="str">
            <v>RAQUEL BARBOSA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  <cell r="H1226" t="str">
            <v>DISTRIBUIÇÃO</v>
          </cell>
          <cell r="I1226" t="str">
            <v>FOOD SERVICE</v>
          </cell>
          <cell r="J1226" t="str">
            <v>FLAC 3</v>
          </cell>
          <cell r="K1226" t="str">
            <v>LACTALIS</v>
          </cell>
          <cell r="L1226" t="str">
            <v>RODRIGO</v>
          </cell>
          <cell r="M1226" t="str">
            <v>RAQUEL BARBOSA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  <cell r="H1227" t="str">
            <v>DISTRIBUIÇÃO</v>
          </cell>
          <cell r="I1227" t="str">
            <v>FOOD SERVICE</v>
          </cell>
          <cell r="J1227" t="str">
            <v>WH FOOD SERVICE CE</v>
          </cell>
          <cell r="K1227" t="str">
            <v>ITAMBÉ</v>
          </cell>
          <cell r="L1227" t="str">
            <v>RODRIGO</v>
          </cell>
          <cell r="M1227" t="str">
            <v>MARIA LOURDES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  <cell r="H1228" t="str">
            <v>INGREDIENTS</v>
          </cell>
          <cell r="I1228" t="str">
            <v>INGREDIENTS</v>
          </cell>
          <cell r="J1228" t="str">
            <v>HENRIQUE FERREIRA</v>
          </cell>
          <cell r="K1228" t="str">
            <v>ITAMBÉ</v>
          </cell>
          <cell r="L1228" t="str">
            <v>MAURICIO</v>
          </cell>
          <cell r="M1228" t="str">
            <v>JOEL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  <cell r="H1229" t="str">
            <v>DISTRIBUIÇÃO</v>
          </cell>
          <cell r="I1229" t="str">
            <v>FOOD SERVICE</v>
          </cell>
          <cell r="J1229" t="str">
            <v>FLAC 6</v>
          </cell>
          <cell r="K1229" t="str">
            <v>LACTALIS</v>
          </cell>
          <cell r="L1229" t="str">
            <v>RODRIGO</v>
          </cell>
          <cell r="M1229" t="str">
            <v>RAQUEL BARBOSA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  <cell r="H1230" t="str">
            <v>DISTRIBUIÇÃO</v>
          </cell>
          <cell r="I1230" t="str">
            <v>FOOD SERVICE</v>
          </cell>
          <cell r="J1230" t="str">
            <v>FLAC 5</v>
          </cell>
          <cell r="K1230" t="str">
            <v>LACTALIS</v>
          </cell>
          <cell r="L1230" t="str">
            <v>RODRIGO</v>
          </cell>
          <cell r="M1230" t="str">
            <v>RAQUEL BARBOSA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  <cell r="H1231" t="str">
            <v>DISTRIBUIÇÃO</v>
          </cell>
          <cell r="I1231" t="str">
            <v>FOOD SERVICE</v>
          </cell>
          <cell r="J1231" t="str">
            <v>FLAC 2</v>
          </cell>
          <cell r="K1231" t="str">
            <v>LACTALIS</v>
          </cell>
          <cell r="L1231" t="str">
            <v>RODRIGO</v>
          </cell>
          <cell r="M1231" t="str">
            <v>RAQUEL BARBOSA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  <cell r="H1232" t="str">
            <v>DISTRIBUIÇÃO</v>
          </cell>
          <cell r="I1232" t="str">
            <v>FOOD SERVICE</v>
          </cell>
          <cell r="J1232" t="str">
            <v>FLAC 2</v>
          </cell>
          <cell r="K1232" t="str">
            <v>LACTALIS</v>
          </cell>
          <cell r="L1232" t="str">
            <v>RODRIGO</v>
          </cell>
          <cell r="M1232" t="str">
            <v>RAQUEL BARBOSA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  <cell r="H1233" t="str">
            <v>INGREDIENTS</v>
          </cell>
          <cell r="I1233" t="str">
            <v>INGREDIENTS</v>
          </cell>
          <cell r="J1233" t="str">
            <v>HENRIQUE FERREIRA</v>
          </cell>
          <cell r="K1233" t="str">
            <v>ITAMBÉ</v>
          </cell>
          <cell r="L1233" t="str">
            <v>MAURICIO</v>
          </cell>
          <cell r="M1233" t="str">
            <v>JOEL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  <cell r="H1234" t="str">
            <v>DISTRIBUIÇÃO</v>
          </cell>
          <cell r="I1234" t="str">
            <v>FOOD SERVICE</v>
          </cell>
          <cell r="J1234" t="str">
            <v>FLAC 5</v>
          </cell>
          <cell r="K1234" t="str">
            <v>LACTALIS</v>
          </cell>
          <cell r="L1234" t="str">
            <v>RODRIGO</v>
          </cell>
          <cell r="M1234" t="str">
            <v>RAQUEL BARBOSA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  <cell r="H1235" t="str">
            <v>DISTRIBUIÇÃO</v>
          </cell>
          <cell r="I1235" t="str">
            <v>FOOD SERVICE</v>
          </cell>
          <cell r="J1235" t="str">
            <v>FLAC 2</v>
          </cell>
          <cell r="K1235" t="str">
            <v>LACTALIS</v>
          </cell>
          <cell r="L1235" t="str">
            <v>RODRIGO</v>
          </cell>
          <cell r="M1235" t="str">
            <v>RAQUEL BARBOSA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  <cell r="H1236" t="str">
            <v>DISTRIBUIÇÃO</v>
          </cell>
          <cell r="I1236" t="str">
            <v>FOOD SERVICE</v>
          </cell>
          <cell r="J1236" t="str">
            <v>FLAC 6</v>
          </cell>
          <cell r="K1236" t="str">
            <v>LACTALIS</v>
          </cell>
          <cell r="L1236" t="str">
            <v>RODRIGO</v>
          </cell>
          <cell r="M1236" t="str">
            <v>RAQUEL BARBOSA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  <cell r="H1237" t="str">
            <v>DISTRIBUIÇÃO</v>
          </cell>
          <cell r="I1237" t="str">
            <v>FOOD SERVICE</v>
          </cell>
          <cell r="J1237" t="str">
            <v>FLAC 6</v>
          </cell>
          <cell r="K1237" t="str">
            <v>LACTALIS</v>
          </cell>
          <cell r="L1237" t="str">
            <v>RODRIGO</v>
          </cell>
          <cell r="M1237" t="str">
            <v>RAQUEL BARBOSA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  <cell r="H1238" t="str">
            <v>DISTRIBUIÇÃO</v>
          </cell>
          <cell r="I1238" t="str">
            <v>FOOD SERVICE</v>
          </cell>
          <cell r="J1238" t="str">
            <v>FLAC 3</v>
          </cell>
          <cell r="K1238" t="str">
            <v>LACTALIS</v>
          </cell>
          <cell r="L1238" t="str">
            <v>RODRIGO</v>
          </cell>
          <cell r="M1238" t="str">
            <v>RAQUEL BARBOSA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  <cell r="H1239" t="str">
            <v>DISTRIBUIÇÃO</v>
          </cell>
          <cell r="I1239" t="str">
            <v>FOOD SERVICE</v>
          </cell>
          <cell r="J1239" t="str">
            <v>FLAC 6</v>
          </cell>
          <cell r="K1239" t="str">
            <v>LACTALIS</v>
          </cell>
          <cell r="L1239" t="str">
            <v>RODRIGO</v>
          </cell>
          <cell r="M1239" t="str">
            <v>RAQUEL BARBOSA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  <cell r="H1240" t="str">
            <v>QSR</v>
          </cell>
          <cell r="I1240" t="str">
            <v>FOOD SERVICE</v>
          </cell>
          <cell r="J1240" t="str">
            <v>NUTRI</v>
          </cell>
          <cell r="K1240" t="str">
            <v>ITAMBÉ</v>
          </cell>
          <cell r="L1240" t="str">
            <v>PEDRO</v>
          </cell>
          <cell r="M1240" t="str">
            <v>VAGO QSR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  <cell r="H1241" t="str">
            <v>QSR</v>
          </cell>
          <cell r="I1241" t="str">
            <v>FOOD SERVICE</v>
          </cell>
          <cell r="J1241" t="str">
            <v>NUTRI</v>
          </cell>
          <cell r="K1241" t="str">
            <v>ITAMBÉ</v>
          </cell>
          <cell r="L1241" t="str">
            <v>PEDRO</v>
          </cell>
          <cell r="M1241" t="str">
            <v>VAGO QSR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  <cell r="H1242" t="str">
            <v>QSR</v>
          </cell>
          <cell r="I1242" t="str">
            <v>FOOD SERVICE</v>
          </cell>
          <cell r="J1242" t="str">
            <v>NUTRI</v>
          </cell>
          <cell r="K1242" t="str">
            <v>LACTALIS</v>
          </cell>
          <cell r="L1242" t="str">
            <v>PEDRO</v>
          </cell>
          <cell r="M1242" t="str">
            <v>VAGO QSR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  <cell r="H1243" t="str">
            <v>QSR</v>
          </cell>
          <cell r="I1243" t="str">
            <v>FOOD SERVICE</v>
          </cell>
          <cell r="J1243" t="str">
            <v>NUTRI</v>
          </cell>
          <cell r="K1243" t="str">
            <v>ITAMBÉ</v>
          </cell>
          <cell r="L1243" t="str">
            <v>PEDRO</v>
          </cell>
          <cell r="M1243" t="str">
            <v>VAGO QSR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  <cell r="H1244" t="str">
            <v>QSR</v>
          </cell>
          <cell r="I1244" t="str">
            <v>FOOD SERVICE</v>
          </cell>
          <cell r="J1244" t="str">
            <v>NUTRI</v>
          </cell>
          <cell r="K1244" t="str">
            <v>LACTALIS</v>
          </cell>
          <cell r="L1244" t="str">
            <v>PEDRO</v>
          </cell>
          <cell r="M1244" t="str">
            <v>VAGO QSR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  <cell r="H1245" t="str">
            <v>DISTRIBUIÇÃO</v>
          </cell>
          <cell r="I1245" t="str">
            <v>FOOD SERVICE</v>
          </cell>
          <cell r="J1245" t="str">
            <v>FLAC 6</v>
          </cell>
          <cell r="K1245" t="str">
            <v>LACTALIS</v>
          </cell>
          <cell r="L1245" t="str">
            <v>RODRIGO</v>
          </cell>
          <cell r="M1245" t="str">
            <v>RAQUEL BARBOSA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  <cell r="H1246" t="str">
            <v>DISTRIBUIÇÃO</v>
          </cell>
          <cell r="I1246" t="str">
            <v>FOOD SERVICE</v>
          </cell>
          <cell r="J1246" t="str">
            <v>CLAUDIO JORGE/LUIZ</v>
          </cell>
          <cell r="K1246" t="str">
            <v>ITAMBÉ</v>
          </cell>
          <cell r="L1246" t="str">
            <v>RODRIGO</v>
          </cell>
          <cell r="M1246" t="str">
            <v>MARIA LOURDES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  <cell r="H1247" t="str">
            <v>DISTRIBUIÇÃO</v>
          </cell>
          <cell r="I1247" t="str">
            <v>FOOD SERVICE</v>
          </cell>
          <cell r="J1247" t="str">
            <v>FLAC 2</v>
          </cell>
          <cell r="K1247" t="str">
            <v>LACTALIS</v>
          </cell>
          <cell r="L1247" t="str">
            <v>RODRIGO</v>
          </cell>
          <cell r="M1247" t="str">
            <v>RAQUEL BARBOSA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  <cell r="H1248" t="str">
            <v>INGREDIENTS</v>
          </cell>
          <cell r="I1248" t="str">
            <v>INGREDIENTS</v>
          </cell>
          <cell r="J1248" t="str">
            <v>JOEL ELEOTÉRIO</v>
          </cell>
          <cell r="K1248" t="str">
            <v>LACTALIS</v>
          </cell>
          <cell r="L1248" t="str">
            <v>MAURICIO</v>
          </cell>
          <cell r="M1248" t="str">
            <v>JOEL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  <cell r="H1249" t="str">
            <v>INGREDIENTS</v>
          </cell>
          <cell r="I1249" t="str">
            <v>INGREDIENTS</v>
          </cell>
          <cell r="J1249" t="str">
            <v>JOEL ELEOTÉRIO</v>
          </cell>
          <cell r="K1249" t="str">
            <v>LACTALIS</v>
          </cell>
          <cell r="L1249" t="str">
            <v>MAURICIO</v>
          </cell>
          <cell r="M1249" t="str">
            <v>JOEL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  <cell r="H1250" t="str">
            <v>DISTRIBUIÇÃO</v>
          </cell>
          <cell r="I1250" t="str">
            <v>FOOD SERVICE</v>
          </cell>
          <cell r="J1250" t="str">
            <v>CLAUDIO JORGE/LUIZ</v>
          </cell>
          <cell r="K1250" t="str">
            <v>ITAMBÉ</v>
          </cell>
          <cell r="L1250" t="str">
            <v>RODRIGO</v>
          </cell>
          <cell r="M1250" t="str">
            <v>MARIA LOURDES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  <cell r="H1251" t="str">
            <v>DISTRIBUIÇÃO</v>
          </cell>
          <cell r="I1251" t="str">
            <v>FOOD SERVICE</v>
          </cell>
          <cell r="J1251" t="str">
            <v>FLAC 6</v>
          </cell>
          <cell r="K1251" t="str">
            <v>LACTALIS</v>
          </cell>
          <cell r="L1251" t="str">
            <v>RODRIGO</v>
          </cell>
          <cell r="M1251" t="str">
            <v>RAQUEL BARBOSA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  <cell r="H1252" t="str">
            <v>MC DONALDS</v>
          </cell>
          <cell r="I1252" t="str">
            <v>MC DONALDS</v>
          </cell>
          <cell r="J1252" t="str">
            <v>MAURICIO GALLI</v>
          </cell>
          <cell r="K1252" t="str">
            <v>LACTALIS</v>
          </cell>
          <cell r="L1252" t="str">
            <v>MAURICIO</v>
          </cell>
          <cell r="M1252" t="str">
            <v>MAURICIO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  <cell r="H1253" t="str">
            <v>INGREDIENTS</v>
          </cell>
          <cell r="I1253" t="str">
            <v>INGREDIENTS</v>
          </cell>
          <cell r="J1253" t="str">
            <v>MARCELO RODRIGUES</v>
          </cell>
          <cell r="K1253" t="str">
            <v>ITAMBÉ</v>
          </cell>
          <cell r="L1253" t="str">
            <v>MAURICIO</v>
          </cell>
          <cell r="M1253" t="str">
            <v>MARCELO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  <cell r="H1254" t="str">
            <v>INGREDIENTS</v>
          </cell>
          <cell r="I1254" t="str">
            <v>INGREDIENTS</v>
          </cell>
          <cell r="J1254" t="str">
            <v>JOEL ELEOTÉRIO</v>
          </cell>
          <cell r="K1254" t="str">
            <v>LACTALIS</v>
          </cell>
          <cell r="L1254" t="str">
            <v>MAURICIO</v>
          </cell>
          <cell r="M1254" t="str">
            <v>JOEL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  <cell r="H1255" t="str">
            <v>INGREDIENTS</v>
          </cell>
          <cell r="I1255" t="str">
            <v>INGREDIENTS</v>
          </cell>
          <cell r="J1255" t="str">
            <v>JOEL ELEOTÉRIO</v>
          </cell>
          <cell r="K1255" t="str">
            <v>LACTALIS</v>
          </cell>
          <cell r="L1255" t="str">
            <v>MAURICIO</v>
          </cell>
          <cell r="M1255" t="str">
            <v>JOEL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  <cell r="H1256" t="str">
            <v>DISTRIBUIÇÃO</v>
          </cell>
          <cell r="I1256" t="str">
            <v>FOOD SERVICE</v>
          </cell>
          <cell r="J1256" t="str">
            <v>FLAC 2</v>
          </cell>
          <cell r="K1256" t="str">
            <v>LACTALIS</v>
          </cell>
          <cell r="L1256" t="str">
            <v>RODRIGO</v>
          </cell>
          <cell r="M1256" t="str">
            <v>RAQUEL BARBOSA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  <cell r="H1257" t="str">
            <v>DISTRIBUIÇÃO</v>
          </cell>
          <cell r="I1257" t="str">
            <v>FOOD SERVICE</v>
          </cell>
          <cell r="J1257" t="str">
            <v>MARCO AURELIO</v>
          </cell>
          <cell r="K1257" t="str">
            <v>ITAMBÉ</v>
          </cell>
          <cell r="L1257" t="str">
            <v>RODRIGO</v>
          </cell>
          <cell r="M1257" t="str">
            <v>MARCO AURELIO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  <cell r="H1258" t="str">
            <v>INGREDIENTS</v>
          </cell>
          <cell r="I1258" t="str">
            <v>INGREDIENTS</v>
          </cell>
          <cell r="J1258" t="str">
            <v>HENRIQUE FERREIRA</v>
          </cell>
          <cell r="K1258" t="str">
            <v>ITAMBÉ</v>
          </cell>
          <cell r="L1258" t="str">
            <v>MAURICIO</v>
          </cell>
          <cell r="M1258" t="str">
            <v>JOEL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  <cell r="H1259" t="str">
            <v>INGREDIENTS</v>
          </cell>
          <cell r="I1259" t="str">
            <v>INGREDIENTS</v>
          </cell>
          <cell r="J1259" t="str">
            <v>HENRIQUE FERREIRA</v>
          </cell>
          <cell r="K1259" t="str">
            <v>ITAMBÉ</v>
          </cell>
          <cell r="L1259" t="str">
            <v>MAURICIO</v>
          </cell>
          <cell r="M1259" t="str">
            <v>JOEL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  <cell r="H1260" t="str">
            <v>DISTRIBUIÇÃO</v>
          </cell>
          <cell r="I1260" t="str">
            <v>FOOD SERVICE</v>
          </cell>
          <cell r="J1260" t="str">
            <v>WH FOOD SERVICE CE</v>
          </cell>
          <cell r="K1260" t="str">
            <v>ITAMBÉ</v>
          </cell>
          <cell r="L1260" t="str">
            <v>RODRIGO</v>
          </cell>
          <cell r="M1260" t="str">
            <v>MARIA LOURDES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  <cell r="H1261" t="str">
            <v>INGREDIENTS</v>
          </cell>
          <cell r="I1261" t="str">
            <v>INGREDIENTS</v>
          </cell>
          <cell r="J1261" t="str">
            <v>HENRIQUE FERREIRA</v>
          </cell>
          <cell r="K1261" t="str">
            <v>ITAMBÉ</v>
          </cell>
          <cell r="L1261" t="str">
            <v>MAURICIO</v>
          </cell>
          <cell r="M1261" t="str">
            <v>JOEL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  <cell r="H1262" t="str">
            <v>DISTRIBUIÇÃO</v>
          </cell>
          <cell r="I1262" t="str">
            <v>FOOD SERVICE</v>
          </cell>
          <cell r="J1262" t="str">
            <v>FLAC 5</v>
          </cell>
          <cell r="K1262" t="str">
            <v>LACTALIS</v>
          </cell>
          <cell r="L1262" t="str">
            <v>RODRIGO</v>
          </cell>
          <cell r="M1262" t="str">
            <v>RAQUEL BARBOSA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  <cell r="H1263" t="str">
            <v>INGREDIENTS</v>
          </cell>
          <cell r="I1263" t="str">
            <v>INGREDIENTS</v>
          </cell>
          <cell r="J1263" t="str">
            <v>AM - DUAS RODAS</v>
          </cell>
          <cell r="K1263" t="str">
            <v>ITAMBÉ</v>
          </cell>
          <cell r="L1263" t="str">
            <v>MAURICIO</v>
          </cell>
          <cell r="M1263" t="str">
            <v>JOEL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  <cell r="H1264" t="str">
            <v>DISTRIBUIÇÃO</v>
          </cell>
          <cell r="I1264" t="str">
            <v>FOOD SERVICE</v>
          </cell>
          <cell r="J1264" t="str">
            <v>FLAC 3</v>
          </cell>
          <cell r="K1264" t="str">
            <v>LACTALIS</v>
          </cell>
          <cell r="L1264" t="str">
            <v>RODRIGO</v>
          </cell>
          <cell r="M1264" t="str">
            <v>RAQUEL BARBOSA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  <cell r="H1265" t="str">
            <v>DISTRIBUIÇÃO</v>
          </cell>
          <cell r="I1265" t="str">
            <v>FOOD SERVICE</v>
          </cell>
          <cell r="J1265" t="str">
            <v>FLAC 3</v>
          </cell>
          <cell r="K1265" t="str">
            <v>LACTALIS</v>
          </cell>
          <cell r="L1265" t="str">
            <v>RODRIGO</v>
          </cell>
          <cell r="M1265" t="str">
            <v>RAQUEL BARBOSA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  <cell r="H1266" t="str">
            <v>INGREDIENTS</v>
          </cell>
          <cell r="I1266" t="str">
            <v>INGREDIENTS</v>
          </cell>
          <cell r="J1266" t="str">
            <v>MARCELO RODRIGUES</v>
          </cell>
          <cell r="K1266" t="str">
            <v>ITAMBÉ</v>
          </cell>
          <cell r="L1266" t="str">
            <v>MAURICIO</v>
          </cell>
          <cell r="M1266" t="str">
            <v>MARCELO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  <cell r="H1267" t="str">
            <v>QSR</v>
          </cell>
          <cell r="I1267" t="str">
            <v>FOOD SERVICE</v>
          </cell>
          <cell r="J1267" t="str">
            <v>ANA MENIQUETE</v>
          </cell>
          <cell r="K1267" t="str">
            <v>LACTALIS</v>
          </cell>
          <cell r="L1267" t="str">
            <v>PEDRO</v>
          </cell>
          <cell r="M1267" t="str">
            <v>ANA MENIQUETE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  <cell r="H1268" t="str">
            <v>QSR</v>
          </cell>
          <cell r="I1268" t="str">
            <v>FOOD SERVICE</v>
          </cell>
          <cell r="J1268" t="str">
            <v>ANA MENIQUETE</v>
          </cell>
          <cell r="K1268" t="str">
            <v>ITAMBÉ</v>
          </cell>
          <cell r="L1268" t="str">
            <v>PEDRO</v>
          </cell>
          <cell r="M1268" t="str">
            <v>ANA MENIQUETE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  <cell r="H1269" t="str">
            <v>QSR</v>
          </cell>
          <cell r="I1269" t="str">
            <v>FOOD SERVICE</v>
          </cell>
          <cell r="J1269" t="str">
            <v>ANA MENIQUETE</v>
          </cell>
          <cell r="K1269" t="str">
            <v>ITAMBÉ</v>
          </cell>
          <cell r="L1269" t="str">
            <v>PEDRO</v>
          </cell>
          <cell r="M1269" t="str">
            <v>ANA MENIQUETE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  <cell r="H1270" t="str">
            <v>DISTRIBUIÇÃO</v>
          </cell>
          <cell r="I1270" t="str">
            <v>FOOD SERVICE</v>
          </cell>
          <cell r="J1270" t="str">
            <v>FLAC 6</v>
          </cell>
          <cell r="K1270" t="str">
            <v>LACTALIS</v>
          </cell>
          <cell r="L1270" t="str">
            <v>RODRIGO</v>
          </cell>
          <cell r="M1270" t="str">
            <v>RAQUEL BARBOSA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  <cell r="H1271" t="str">
            <v>DISTRIBUIÇÃO</v>
          </cell>
          <cell r="I1271" t="str">
            <v>FOOD SERVICE</v>
          </cell>
          <cell r="J1271" t="str">
            <v>ALEXANDRE BONANI</v>
          </cell>
          <cell r="K1271" t="str">
            <v>LACTALIS</v>
          </cell>
          <cell r="L1271" t="str">
            <v>RODRIGO</v>
          </cell>
          <cell r="M1271" t="str">
            <v>ALEXANDRE BONANI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  <cell r="H1272" t="str">
            <v>DISTRIBUIÇÃO</v>
          </cell>
          <cell r="I1272" t="str">
            <v>FOOD SERVICE</v>
          </cell>
          <cell r="J1272" t="str">
            <v>ALEXANDRE BONANI</v>
          </cell>
          <cell r="K1272" t="str">
            <v>ITAMBÉ</v>
          </cell>
          <cell r="L1272" t="str">
            <v>RODRIGO</v>
          </cell>
          <cell r="M1272" t="str">
            <v>ALEXANDRE BONANI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  <cell r="H1273" t="str">
            <v>INGREDIENTS</v>
          </cell>
          <cell r="I1273" t="str">
            <v>INGREDIENTS</v>
          </cell>
          <cell r="J1273" t="str">
            <v>HENRIQUE FERREIRA</v>
          </cell>
          <cell r="K1273" t="str">
            <v>LACTALIS</v>
          </cell>
          <cell r="L1273" t="str">
            <v>MAURICIO</v>
          </cell>
          <cell r="M1273" t="str">
            <v>JOEL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  <cell r="H1274" t="str">
            <v>INGREDIENTS</v>
          </cell>
          <cell r="I1274" t="str">
            <v>INGREDIENTS</v>
          </cell>
          <cell r="J1274" t="str">
            <v>HENRIQUE FERREIRA</v>
          </cell>
          <cell r="K1274" t="str">
            <v>LACTALIS</v>
          </cell>
          <cell r="L1274" t="str">
            <v>MAURICIO</v>
          </cell>
          <cell r="M1274" t="str">
            <v>JOEL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  <cell r="H1275" t="str">
            <v>DISTRIBUIÇÃO</v>
          </cell>
          <cell r="I1275" t="str">
            <v>FOOD SERVICE</v>
          </cell>
          <cell r="J1275" t="str">
            <v>FLAC 6</v>
          </cell>
          <cell r="K1275" t="str">
            <v>LACTALIS</v>
          </cell>
          <cell r="L1275" t="str">
            <v>RODRIGO</v>
          </cell>
          <cell r="M1275" t="str">
            <v>RAQUEL BARBOSA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  <cell r="H1276" t="str">
            <v>DISTRIBUIÇÃO</v>
          </cell>
          <cell r="I1276" t="str">
            <v>FOOD SERVICE</v>
          </cell>
          <cell r="J1276" t="str">
            <v>FLAC 6</v>
          </cell>
          <cell r="K1276" t="str">
            <v>LACTALIS</v>
          </cell>
          <cell r="L1276" t="str">
            <v>RODRIGO</v>
          </cell>
          <cell r="M1276" t="str">
            <v>RAQUEL BARBOSA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  <cell r="H1277" t="str">
            <v>DISTRIBUIÇÃO</v>
          </cell>
          <cell r="I1277" t="str">
            <v>FOOD SERVICE</v>
          </cell>
          <cell r="J1277" t="str">
            <v>SP ITB FS FLAC REP.E COMERCIO</v>
          </cell>
          <cell r="K1277" t="str">
            <v>ITAMBÉ</v>
          </cell>
          <cell r="L1277" t="str">
            <v>RODRIGO</v>
          </cell>
          <cell r="M1277" t="str">
            <v>RAQUEL BARBOSA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  <cell r="H1278" t="str">
            <v>DISTRIBUIÇÃO</v>
          </cell>
          <cell r="I1278" t="str">
            <v>FOOD SERVICE</v>
          </cell>
          <cell r="J1278" t="str">
            <v>FLAC 3</v>
          </cell>
          <cell r="K1278" t="str">
            <v>LACTALIS</v>
          </cell>
          <cell r="L1278" t="str">
            <v>RODRIGO</v>
          </cell>
          <cell r="M1278" t="str">
            <v>RAQUEL BARBOSA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  <cell r="H1279" t="str">
            <v>INGREDIENTS</v>
          </cell>
          <cell r="I1279" t="str">
            <v>INGREDIENTS</v>
          </cell>
          <cell r="J1279" t="str">
            <v>RJ ITB FS L T MARTINS</v>
          </cell>
          <cell r="K1279" t="str">
            <v>ITAMBÉ</v>
          </cell>
          <cell r="L1279" t="str">
            <v>MAURICIO</v>
          </cell>
          <cell r="M1279" t="str">
            <v>TATIANA NITTA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  <cell r="H1280" t="str">
            <v>DISTRIBUIÇÃO</v>
          </cell>
          <cell r="I1280" t="str">
            <v>FOOD SERVICE</v>
          </cell>
          <cell r="J1280" t="str">
            <v>FLAC 8</v>
          </cell>
          <cell r="K1280" t="str">
            <v>LACTALIS</v>
          </cell>
          <cell r="L1280" t="str">
            <v>RODRIGO</v>
          </cell>
          <cell r="M1280" t="str">
            <v>RAQUEL BARBOSA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  <cell r="H1281" t="str">
            <v>DISTRIBUIÇÃO</v>
          </cell>
          <cell r="I1281" t="str">
            <v>FOOD SERVICE</v>
          </cell>
          <cell r="J1281" t="str">
            <v>FLAC 5</v>
          </cell>
          <cell r="K1281" t="str">
            <v>LACTALIS</v>
          </cell>
          <cell r="L1281" t="str">
            <v>RODRIGO</v>
          </cell>
          <cell r="M1281" t="str">
            <v>RAQUEL BARBOSA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  <cell r="H1282" t="str">
            <v>QSR</v>
          </cell>
          <cell r="I1282" t="str">
            <v>FOOD SERVICE</v>
          </cell>
          <cell r="J1282" t="str">
            <v>NUTRI</v>
          </cell>
          <cell r="K1282" t="str">
            <v>LACTALIS</v>
          </cell>
          <cell r="L1282" t="str">
            <v>PEDRO</v>
          </cell>
          <cell r="M1282" t="str">
            <v>VAGO QSR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  <cell r="H1283" t="str">
            <v>QSR</v>
          </cell>
          <cell r="I1283" t="str">
            <v>FOOD SERVICE</v>
          </cell>
          <cell r="J1283" t="str">
            <v>NUTRI</v>
          </cell>
          <cell r="K1283" t="str">
            <v>LACTALIS</v>
          </cell>
          <cell r="L1283" t="str">
            <v>PEDRO</v>
          </cell>
          <cell r="M1283" t="str">
            <v>VAGO QSR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  <cell r="H1284" t="str">
            <v>QSR</v>
          </cell>
          <cell r="I1284" t="str">
            <v>FOOD SERVICE</v>
          </cell>
          <cell r="J1284" t="str">
            <v>NUTRI</v>
          </cell>
          <cell r="K1284" t="str">
            <v>LACTALIS</v>
          </cell>
          <cell r="L1284" t="str">
            <v>PEDRO</v>
          </cell>
          <cell r="M1284" t="str">
            <v>VAGO QSR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  <cell r="H1285" t="str">
            <v>DISTRIBUIÇÃO</v>
          </cell>
          <cell r="I1285" t="str">
            <v>FOOD SERVICE</v>
          </cell>
          <cell r="J1285" t="str">
            <v>CELIO MARTINS</v>
          </cell>
          <cell r="K1285" t="str">
            <v>ITAMBÉ</v>
          </cell>
          <cell r="L1285" t="str">
            <v>RODRIGO</v>
          </cell>
          <cell r="M1285" t="str">
            <v>CELIO MARTINS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  <cell r="H1286" t="str">
            <v>DISTRIBUIÇÃO</v>
          </cell>
          <cell r="I1286" t="str">
            <v>FOOD SERVICE</v>
          </cell>
          <cell r="J1286" t="str">
            <v>WH FOOD SERVICE CE</v>
          </cell>
          <cell r="K1286" t="str">
            <v>ITAMBÉ</v>
          </cell>
          <cell r="L1286" t="str">
            <v>RODRIGO</v>
          </cell>
          <cell r="M1286" t="str">
            <v>MARIA LOURDES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  <cell r="H1287" t="str">
            <v>DISTRIBUIÇÃO</v>
          </cell>
          <cell r="I1287" t="str">
            <v>FOOD SERVICE</v>
          </cell>
          <cell r="J1287" t="str">
            <v>FLAC 2</v>
          </cell>
          <cell r="K1287" t="str">
            <v>LACTALIS</v>
          </cell>
          <cell r="L1287" t="str">
            <v>RODRIGO</v>
          </cell>
          <cell r="M1287" t="str">
            <v>RAQUEL BARBOSA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  <cell r="H1288" t="str">
            <v>INGREDIENTS</v>
          </cell>
          <cell r="I1288" t="str">
            <v>INGREDIENTS</v>
          </cell>
          <cell r="J1288" t="str">
            <v>DUAS RODAS</v>
          </cell>
          <cell r="K1288" t="str">
            <v>ITAMBÉ</v>
          </cell>
          <cell r="L1288" t="str">
            <v>MAURICIO</v>
          </cell>
          <cell r="M1288" t="str">
            <v>MARCELO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  <cell r="H1289" t="str">
            <v>DISTRIBUIÇÃO</v>
          </cell>
          <cell r="I1289" t="str">
            <v>FOOD SERVICE</v>
          </cell>
          <cell r="J1289" t="str">
            <v>FLAC 2</v>
          </cell>
          <cell r="K1289" t="str">
            <v>LACTALIS</v>
          </cell>
          <cell r="L1289" t="str">
            <v>RODRIGO</v>
          </cell>
          <cell r="M1289" t="str">
            <v>RAQUEL BARBOSA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  <cell r="H1290" t="str">
            <v>DISTRIBUIÇÃO</v>
          </cell>
          <cell r="I1290" t="str">
            <v>FOOD SERVICE</v>
          </cell>
          <cell r="J1290" t="str">
            <v>FLAC 2</v>
          </cell>
          <cell r="K1290" t="str">
            <v>LACTALIS</v>
          </cell>
          <cell r="L1290" t="str">
            <v>RODRIGO</v>
          </cell>
          <cell r="M1290" t="str">
            <v>RAQUEL BARBOSA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  <cell r="H1291" t="str">
            <v>DISTRIBUIÇÃO</v>
          </cell>
          <cell r="I1291" t="str">
            <v>FOOD SERVICE</v>
          </cell>
          <cell r="J1291" t="str">
            <v>FLAC 4</v>
          </cell>
          <cell r="K1291" t="str">
            <v>LACTALIS</v>
          </cell>
          <cell r="L1291" t="str">
            <v>RODRIGO</v>
          </cell>
          <cell r="M1291" t="str">
            <v>RAQUEL BARBOSA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  <cell r="H1292" t="str">
            <v>QSR</v>
          </cell>
          <cell r="I1292" t="str">
            <v>FOOD SERVICE</v>
          </cell>
          <cell r="J1292" t="str">
            <v>NUTRI</v>
          </cell>
          <cell r="K1292" t="str">
            <v>LACTALIS</v>
          </cell>
          <cell r="L1292" t="str">
            <v>PEDRO</v>
          </cell>
          <cell r="M1292" t="str">
            <v>VAGO QSR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  <cell r="H1293" t="str">
            <v>DISTRIBUIÇÃO</v>
          </cell>
          <cell r="I1293" t="str">
            <v>FOOD SERVICE</v>
          </cell>
          <cell r="J1293" t="str">
            <v>MARCELO DUARTE</v>
          </cell>
          <cell r="K1293" t="str">
            <v>ITAMBÉ</v>
          </cell>
          <cell r="L1293" t="str">
            <v>RODRIGO</v>
          </cell>
          <cell r="M1293" t="str">
            <v>JESSICA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  <cell r="H1294" t="str">
            <v>INGREDIENTS</v>
          </cell>
          <cell r="I1294" t="str">
            <v>INGREDIENTS</v>
          </cell>
          <cell r="J1294" t="str">
            <v>MARCELO RODRIGUES</v>
          </cell>
          <cell r="K1294" t="str">
            <v>ITAMBÉ</v>
          </cell>
          <cell r="L1294" t="str">
            <v>MAURICIO</v>
          </cell>
          <cell r="M1294" t="str">
            <v>MARCELO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  <cell r="H1295" t="str">
            <v>INGREDIENTS</v>
          </cell>
          <cell r="I1295" t="str">
            <v>INGREDIENTS</v>
          </cell>
          <cell r="J1295" t="str">
            <v>DUAS RODAS</v>
          </cell>
          <cell r="K1295" t="str">
            <v>ITAMBÉ</v>
          </cell>
          <cell r="L1295" t="str">
            <v>MAURICIO</v>
          </cell>
          <cell r="M1295" t="str">
            <v>MARCELO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  <cell r="H1296" t="str">
            <v>INGREDIENTS</v>
          </cell>
          <cell r="I1296" t="str">
            <v>INGREDIENTS</v>
          </cell>
          <cell r="J1296" t="str">
            <v>DUAS RODAS</v>
          </cell>
          <cell r="K1296" t="str">
            <v>ITAMBÉ</v>
          </cell>
          <cell r="L1296" t="str">
            <v>MAURICIO</v>
          </cell>
          <cell r="M1296" t="str">
            <v>MARCELO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  <cell r="H1297" t="str">
            <v>DISTRIBUIÇÃO</v>
          </cell>
          <cell r="I1297" t="str">
            <v>FOOD SERVICE</v>
          </cell>
          <cell r="J1297" t="str">
            <v>CLAUDIO JORGE</v>
          </cell>
          <cell r="K1297" t="str">
            <v>ITAMBÉ</v>
          </cell>
          <cell r="L1297" t="str">
            <v>RODRIGO</v>
          </cell>
          <cell r="M1297" t="str">
            <v>MARCO AURELIO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  <cell r="H1298" t="str">
            <v>INGREDIENTS</v>
          </cell>
          <cell r="I1298" t="str">
            <v>INGREDIENTS</v>
          </cell>
          <cell r="J1298" t="str">
            <v>MG ITB FS HENRIQUE WAGNER</v>
          </cell>
          <cell r="K1298" t="str">
            <v>ITAMBÉ</v>
          </cell>
          <cell r="L1298" t="str">
            <v>MAURICIO</v>
          </cell>
          <cell r="M1298" t="str">
            <v>TATIANA NITTA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  <cell r="H1299" t="str">
            <v>INGREDIENTS</v>
          </cell>
          <cell r="I1299" t="str">
            <v>INGREDIENTS</v>
          </cell>
          <cell r="J1299" t="str">
            <v>MG ITB FS HENRIQUE WAGNER</v>
          </cell>
          <cell r="K1299" t="str">
            <v>ITAMBÉ</v>
          </cell>
          <cell r="L1299" t="str">
            <v>MAURICIO</v>
          </cell>
          <cell r="M1299" t="str">
            <v>TATIANA NITTA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  <cell r="H1300" t="str">
            <v>INGREDIENTS</v>
          </cell>
          <cell r="I1300" t="str">
            <v>INGREDIENTS</v>
          </cell>
          <cell r="J1300" t="str">
            <v>DUAS RODAS</v>
          </cell>
          <cell r="K1300" t="str">
            <v>ITAMBÉ</v>
          </cell>
          <cell r="L1300" t="str">
            <v>MAURICIO</v>
          </cell>
          <cell r="M1300" t="str">
            <v>MARCELO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  <cell r="H1301" t="str">
            <v>DISTRIBUIÇÃO</v>
          </cell>
          <cell r="I1301" t="str">
            <v>FOOD SERVICE</v>
          </cell>
          <cell r="J1301" t="str">
            <v>JULIANA CORDEIRO</v>
          </cell>
          <cell r="K1301" t="str">
            <v>ITAMBÉ</v>
          </cell>
          <cell r="L1301" t="str">
            <v>RODRIGO</v>
          </cell>
          <cell r="M1301" t="str">
            <v>JESSICA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  <cell r="H1302" t="str">
            <v>DISTRIBUIÇÃO</v>
          </cell>
          <cell r="I1302" t="str">
            <v>FOOD SERVICE</v>
          </cell>
          <cell r="J1302" t="str">
            <v>FLAC 3</v>
          </cell>
          <cell r="K1302" t="str">
            <v>LACTALIS</v>
          </cell>
          <cell r="L1302" t="str">
            <v>RODRIGO</v>
          </cell>
          <cell r="M1302" t="str">
            <v>RAQUEL BARBOSA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  <cell r="H1303" t="str">
            <v>DISTRIBUIÇÃO</v>
          </cell>
          <cell r="I1303" t="str">
            <v>FOOD SERVICE</v>
          </cell>
          <cell r="J1303" t="str">
            <v>FLAC 3</v>
          </cell>
          <cell r="K1303" t="str">
            <v>LACTALIS</v>
          </cell>
          <cell r="L1303" t="str">
            <v>RODRIGO</v>
          </cell>
          <cell r="M1303" t="str">
            <v>RAQUEL BARBOSA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  <cell r="H1304" t="str">
            <v>INGREDIENTS</v>
          </cell>
          <cell r="I1304" t="str">
            <v>INGREDIENTS</v>
          </cell>
          <cell r="J1304" t="str">
            <v>DUAS RODAS</v>
          </cell>
          <cell r="K1304" t="str">
            <v>ITAMBÉ</v>
          </cell>
          <cell r="L1304" t="str">
            <v>MAURICIO</v>
          </cell>
          <cell r="M1304" t="str">
            <v>MARCELO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  <cell r="H1305" t="str">
            <v>DISTRIBUIÇÃO</v>
          </cell>
          <cell r="I1305" t="str">
            <v>FOOD SERVICE</v>
          </cell>
          <cell r="J1305" t="str">
            <v>FLAC 7</v>
          </cell>
          <cell r="K1305" t="str">
            <v>LACTALIS</v>
          </cell>
          <cell r="L1305" t="str">
            <v>RODRIGO</v>
          </cell>
          <cell r="M1305" t="str">
            <v>RAQUEL BARBOSA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  <cell r="H1306" t="str">
            <v>DISTRIBUIÇÃO</v>
          </cell>
          <cell r="I1306" t="str">
            <v>FOOD SERVICE</v>
          </cell>
          <cell r="J1306" t="str">
            <v>CLAUDIO JORGE/LUIZ</v>
          </cell>
          <cell r="K1306" t="str">
            <v>ITAMBÉ</v>
          </cell>
          <cell r="L1306" t="str">
            <v>RODRIGO</v>
          </cell>
          <cell r="M1306" t="str">
            <v>MARIA LOURDES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  <cell r="H1307" t="str">
            <v>INGREDIENTS</v>
          </cell>
          <cell r="I1307" t="str">
            <v>INGREDIENTS</v>
          </cell>
          <cell r="J1307" t="str">
            <v>JOEL ELEOTÉRIO</v>
          </cell>
          <cell r="K1307" t="str">
            <v>LACTALIS</v>
          </cell>
          <cell r="L1307" t="str">
            <v>MAURICIO</v>
          </cell>
          <cell r="M1307" t="str">
            <v>JOEL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  <cell r="H1308" t="str">
            <v>INGREDIENTS</v>
          </cell>
          <cell r="I1308" t="str">
            <v>INGREDIENTS</v>
          </cell>
          <cell r="J1308" t="str">
            <v>JOEL ELEOTÉRIO</v>
          </cell>
          <cell r="K1308" t="str">
            <v>ITAMBÉ</v>
          </cell>
          <cell r="L1308" t="str">
            <v>MAURICIO</v>
          </cell>
          <cell r="M1308" t="str">
            <v>JOEL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  <cell r="H1309" t="str">
            <v>INGREDIENTS</v>
          </cell>
          <cell r="I1309" t="str">
            <v>INGREDIENTS</v>
          </cell>
          <cell r="J1309" t="str">
            <v>DUAS RODAS</v>
          </cell>
          <cell r="K1309" t="str">
            <v>ITAMBÉ</v>
          </cell>
          <cell r="L1309" t="str">
            <v>MAURICIO</v>
          </cell>
          <cell r="M1309" t="str">
            <v>MARCELO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  <cell r="H1310" t="str">
            <v>INGREDIENTS</v>
          </cell>
          <cell r="I1310" t="str">
            <v>INGREDIENTS</v>
          </cell>
          <cell r="J1310" t="str">
            <v>DUAS RODAS</v>
          </cell>
          <cell r="K1310" t="str">
            <v>ITAMBÉ</v>
          </cell>
          <cell r="L1310" t="str">
            <v>MAURICIO</v>
          </cell>
          <cell r="M1310" t="str">
            <v>MARCELO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  <cell r="H1311" t="str">
            <v>INGREDIENTS</v>
          </cell>
          <cell r="I1311" t="str">
            <v>INGREDIENTS</v>
          </cell>
          <cell r="J1311" t="str">
            <v>TATIANA NITTA</v>
          </cell>
          <cell r="K1311" t="str">
            <v>LACTALIS</v>
          </cell>
          <cell r="L1311" t="str">
            <v>MAURICIO</v>
          </cell>
          <cell r="M1311" t="str">
            <v>TATIANA NITTA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  <cell r="H1312" t="str">
            <v>DISTRIBUIÇÃO</v>
          </cell>
          <cell r="I1312" t="str">
            <v>FOOD SERVICE</v>
          </cell>
          <cell r="J1312" t="str">
            <v>MARCELO DUARTE</v>
          </cell>
          <cell r="K1312" t="str">
            <v>ITAMBÉ</v>
          </cell>
          <cell r="L1312" t="str">
            <v>RODRIGO</v>
          </cell>
          <cell r="M1312" t="str">
            <v>JESSICA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  <cell r="H1313" t="str">
            <v>DISTRIBUIÇÃO</v>
          </cell>
          <cell r="I1313" t="str">
            <v>FOOD SERVICE</v>
          </cell>
          <cell r="J1313" t="str">
            <v>MARCELO DUARTE</v>
          </cell>
          <cell r="K1313" t="str">
            <v>ITAMBÉ</v>
          </cell>
          <cell r="L1313" t="str">
            <v>RODRIGO</v>
          </cell>
          <cell r="M1313" t="str">
            <v>JESSICA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  <cell r="H1314" t="str">
            <v>DISTRIBUIÇÃO</v>
          </cell>
          <cell r="I1314" t="str">
            <v>FOOD SERVICE</v>
          </cell>
          <cell r="J1314" t="str">
            <v>ANGELICA BATISTELA</v>
          </cell>
          <cell r="K1314" t="str">
            <v>ITAMBÉ</v>
          </cell>
          <cell r="L1314" t="str">
            <v>RODRIGO</v>
          </cell>
          <cell r="M1314" t="str">
            <v>ANGELICA BATISTELA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  <cell r="H1315" t="str">
            <v>DISTRIBUIÇÃO</v>
          </cell>
          <cell r="I1315" t="str">
            <v>FOOD SERVICE</v>
          </cell>
          <cell r="J1315" t="str">
            <v>ANGELICA BATISTELA</v>
          </cell>
          <cell r="K1315" t="str">
            <v>LACTALIS</v>
          </cell>
          <cell r="L1315" t="str">
            <v>RODRIGO</v>
          </cell>
          <cell r="M1315" t="str">
            <v>ANGELICA BATISTELA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  <cell r="H1316" t="str">
            <v>DISTRIBUIÇÃO</v>
          </cell>
          <cell r="I1316" t="str">
            <v>FOOD SERVICE</v>
          </cell>
          <cell r="J1316" t="str">
            <v>CLAUDIO JORGE/LUIZ</v>
          </cell>
          <cell r="K1316" t="str">
            <v>ITAMBÉ</v>
          </cell>
          <cell r="L1316" t="str">
            <v>RODRIGO</v>
          </cell>
          <cell r="M1316" t="str">
            <v>MARIA LOURDES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  <cell r="H1317" t="str">
            <v>DISTRIBUIÇÃO</v>
          </cell>
          <cell r="I1317" t="str">
            <v>FOOD SERVICE</v>
          </cell>
          <cell r="J1317" t="str">
            <v>FLAC 2</v>
          </cell>
          <cell r="K1317" t="str">
            <v>LACTALIS</v>
          </cell>
          <cell r="L1317" t="str">
            <v>RODRIGO</v>
          </cell>
          <cell r="M1317" t="str">
            <v>RAQUEL BARBOSA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  <cell r="H1318" t="str">
            <v>DISTRIBUIÇÃO</v>
          </cell>
          <cell r="I1318" t="str">
            <v>FOOD SERVICE</v>
          </cell>
          <cell r="J1318" t="str">
            <v>FLAC 6</v>
          </cell>
          <cell r="K1318" t="str">
            <v>LACTALIS</v>
          </cell>
          <cell r="L1318" t="str">
            <v>RODRIGO</v>
          </cell>
          <cell r="M1318" t="str">
            <v>RAQUEL BARBOSA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  <cell r="H1319" t="str">
            <v>DISTRIBUIÇÃO</v>
          </cell>
          <cell r="I1319" t="str">
            <v>FOOD SERVICE</v>
          </cell>
          <cell r="J1319" t="str">
            <v>GUILHERME NASCIMENTO</v>
          </cell>
          <cell r="K1319" t="str">
            <v>ITAMBÉ</v>
          </cell>
          <cell r="L1319" t="str">
            <v>RODRIGO</v>
          </cell>
          <cell r="M1319" t="str">
            <v>ALEXANDRO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  <cell r="H1320" t="str">
            <v>DISTRIBUIÇÃO</v>
          </cell>
          <cell r="I1320" t="str">
            <v>FOOD SERVICE</v>
          </cell>
          <cell r="J1320" t="str">
            <v>GUILHERME NASCIMENTO</v>
          </cell>
          <cell r="K1320" t="str">
            <v>LACTALIS</v>
          </cell>
          <cell r="L1320" t="str">
            <v>RODRIGO</v>
          </cell>
          <cell r="M1320" t="str">
            <v>ALEXANDRO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  <cell r="H1321" t="str">
            <v>DISTRIBUIÇÃO</v>
          </cell>
          <cell r="I1321" t="str">
            <v>FOOD SERVICE</v>
          </cell>
          <cell r="J1321" t="str">
            <v>CELIO MARTINS</v>
          </cell>
          <cell r="K1321" t="str">
            <v>ITAMBÉ</v>
          </cell>
          <cell r="L1321" t="str">
            <v>RODRIGO</v>
          </cell>
          <cell r="M1321" t="str">
            <v>CELIO MARTINS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  <cell r="H1322" t="str">
            <v>DISTRIBUIÇÃO</v>
          </cell>
          <cell r="I1322" t="str">
            <v>FOOD SERVICE</v>
          </cell>
          <cell r="J1322" t="str">
            <v>FLAC 6</v>
          </cell>
          <cell r="K1322" t="str">
            <v>LACTALIS</v>
          </cell>
          <cell r="L1322" t="str">
            <v>RODRIGO</v>
          </cell>
          <cell r="M1322" t="str">
            <v>RAQUEL BARBOSA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  <cell r="H1323" t="str">
            <v>DISTRIBUIÇÃO</v>
          </cell>
          <cell r="I1323" t="str">
            <v>FOOD SERVICE</v>
          </cell>
          <cell r="J1323" t="str">
            <v>CLAUDIO JORGE</v>
          </cell>
          <cell r="K1323" t="str">
            <v>ITAMBÉ</v>
          </cell>
          <cell r="L1323" t="str">
            <v>RODRIGO</v>
          </cell>
          <cell r="M1323" t="str">
            <v>MARIA LOURDES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  <cell r="H1324" t="str">
            <v>INGREDIENTS</v>
          </cell>
          <cell r="I1324" t="str">
            <v>INGREDIENTS</v>
          </cell>
          <cell r="J1324" t="str">
            <v>MARCELO RODRIGUES</v>
          </cell>
          <cell r="K1324" t="str">
            <v>ITAMBÉ</v>
          </cell>
          <cell r="L1324" t="str">
            <v>MAURICIO</v>
          </cell>
          <cell r="M1324" t="str">
            <v>MARCELO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  <cell r="H1325" t="str">
            <v>DISTRIBUIÇÃO</v>
          </cell>
          <cell r="I1325" t="str">
            <v>FOOD SERVICE</v>
          </cell>
          <cell r="J1325" t="str">
            <v>FLAC 6</v>
          </cell>
          <cell r="K1325" t="str">
            <v>LACTALIS</v>
          </cell>
          <cell r="L1325" t="str">
            <v>RODRIGO</v>
          </cell>
          <cell r="M1325" t="str">
            <v>RAQUEL BARBOSA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  <cell r="H1326" t="str">
            <v>DISTRIBUIÇÃO</v>
          </cell>
          <cell r="I1326" t="str">
            <v>FOOD SERVICE</v>
          </cell>
          <cell r="J1326" t="str">
            <v>MARCO AURELIO/MARIA LAURA</v>
          </cell>
          <cell r="K1326" t="str">
            <v>ITAMBÉ</v>
          </cell>
          <cell r="L1326" t="str">
            <v>RODRIGO</v>
          </cell>
          <cell r="M1326" t="str">
            <v>MARCO AURELIO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  <cell r="H1327" t="str">
            <v>DISTRIBUIÇÃO</v>
          </cell>
          <cell r="I1327" t="str">
            <v>FOOD SERVICE</v>
          </cell>
          <cell r="J1327" t="str">
            <v>FLAC 3</v>
          </cell>
          <cell r="K1327" t="str">
            <v>LACTALIS</v>
          </cell>
          <cell r="L1327" t="str">
            <v>RODRIGO</v>
          </cell>
          <cell r="M1327" t="str">
            <v>RAQUEL BARBOSA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  <cell r="H1328" t="str">
            <v>DISTRIBUIÇÃO</v>
          </cell>
          <cell r="I1328" t="str">
            <v>FOOD SERVICE</v>
          </cell>
          <cell r="J1328" t="str">
            <v>ANGELICA BATISTELA</v>
          </cell>
          <cell r="K1328" t="str">
            <v>ITAMBÉ</v>
          </cell>
          <cell r="L1328" t="str">
            <v>RODRIGO</v>
          </cell>
          <cell r="M1328" t="str">
            <v>ANGELICA BATISTELA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  <cell r="H1329" t="str">
            <v>DISTRIBUIÇÃO</v>
          </cell>
          <cell r="I1329" t="str">
            <v>FOOD SERVICE</v>
          </cell>
          <cell r="J1329" t="str">
            <v>ANGELICA BATISTELA</v>
          </cell>
          <cell r="K1329" t="str">
            <v>LACTALIS</v>
          </cell>
          <cell r="L1329" t="str">
            <v>RODRIGO</v>
          </cell>
          <cell r="M1329" t="str">
            <v>ANGELICA BATISTELA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  <cell r="H1330" t="str">
            <v>DISTRIBUIÇÃO</v>
          </cell>
          <cell r="I1330" t="str">
            <v>FOOD SERVICE</v>
          </cell>
          <cell r="J1330" t="str">
            <v>ANGELICA BATISTELA</v>
          </cell>
          <cell r="K1330" t="str">
            <v>LACTALIS</v>
          </cell>
          <cell r="L1330" t="str">
            <v>RODRIGO</v>
          </cell>
          <cell r="M1330" t="str">
            <v>ANGELICA BATISTELA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  <cell r="H1331" t="str">
            <v>DISTRIBUIÇÃO</v>
          </cell>
          <cell r="I1331" t="str">
            <v>FOOD SERVICE</v>
          </cell>
          <cell r="J1331" t="str">
            <v>FLAC 1</v>
          </cell>
          <cell r="K1331" t="str">
            <v>LACTALIS</v>
          </cell>
          <cell r="L1331" t="str">
            <v>RODRIGO</v>
          </cell>
          <cell r="M1331" t="str">
            <v>RAQUEL BARBOSA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  <cell r="H1332" t="str">
            <v>DISTRIBUIÇÃO</v>
          </cell>
          <cell r="I1332" t="str">
            <v>FOOD SERVICE</v>
          </cell>
          <cell r="J1332" t="str">
            <v>FLAC 2</v>
          </cell>
          <cell r="K1332" t="str">
            <v>LACTALIS</v>
          </cell>
          <cell r="L1332" t="str">
            <v>RODRIGO</v>
          </cell>
          <cell r="M1332" t="str">
            <v>RAQUEL BARBOSA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  <cell r="H1333" t="str">
            <v>DISTRIBUIÇÃO</v>
          </cell>
          <cell r="I1333" t="str">
            <v>FOOD SERVICE</v>
          </cell>
          <cell r="J1333" t="str">
            <v>FLAC 2</v>
          </cell>
          <cell r="K1333" t="str">
            <v>LACTALIS</v>
          </cell>
          <cell r="L1333" t="str">
            <v>RODRIGO</v>
          </cell>
          <cell r="M1333" t="str">
            <v>RAQUEL BARBOSA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  <cell r="H1334" t="str">
            <v>DISTRIBUIÇÃO</v>
          </cell>
          <cell r="I1334" t="str">
            <v>FOOD SERVICE</v>
          </cell>
          <cell r="J1334" t="str">
            <v>FLAC 2</v>
          </cell>
          <cell r="K1334" t="str">
            <v>LACTALIS</v>
          </cell>
          <cell r="L1334" t="str">
            <v>RODRIGO</v>
          </cell>
          <cell r="M1334" t="str">
            <v>RAQUEL BARBOSA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  <cell r="H1335" t="str">
            <v>DISTRIBUIÇÃO</v>
          </cell>
          <cell r="I1335" t="str">
            <v>FOOD SERVICE</v>
          </cell>
          <cell r="J1335" t="str">
            <v>LUCIANA MARTINS</v>
          </cell>
          <cell r="K1335" t="str">
            <v>ITAMBÉ</v>
          </cell>
          <cell r="L1335" t="str">
            <v>RODRIGO</v>
          </cell>
          <cell r="M1335" t="str">
            <v>JESSICA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  <cell r="H1336" t="str">
            <v>DISTRIBUIÇÃO</v>
          </cell>
          <cell r="I1336" t="str">
            <v>FOOD SERVICE</v>
          </cell>
          <cell r="J1336" t="str">
            <v>LUCIANA MARTINS</v>
          </cell>
          <cell r="K1336" t="str">
            <v>LACTALIS</v>
          </cell>
          <cell r="L1336" t="str">
            <v>RODRIGO</v>
          </cell>
          <cell r="M1336" t="str">
            <v>JESSICA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  <cell r="H1337" t="str">
            <v>DISTRIBUIÇÃO</v>
          </cell>
          <cell r="I1337" t="str">
            <v>FOOD SERVICE</v>
          </cell>
          <cell r="J1337" t="str">
            <v>FLAC 2</v>
          </cell>
          <cell r="K1337" t="str">
            <v>LACTALIS</v>
          </cell>
          <cell r="L1337" t="str">
            <v>RODRIGO</v>
          </cell>
          <cell r="M1337" t="str">
            <v>RAQUEL BARBOSA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  <cell r="H1338" t="str">
            <v>DISTRIBUIÇÃO</v>
          </cell>
          <cell r="I1338" t="str">
            <v>FOOD SERVICE</v>
          </cell>
          <cell r="J1338" t="str">
            <v>FLAC 2</v>
          </cell>
          <cell r="K1338" t="str">
            <v>LACTALIS</v>
          </cell>
          <cell r="L1338" t="str">
            <v>RODRIGO</v>
          </cell>
          <cell r="M1338" t="str">
            <v>RAQUEL BARBOSA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  <cell r="H1339" t="str">
            <v>DISTRIBUIÇÃO</v>
          </cell>
          <cell r="I1339" t="str">
            <v>FOOD SERVICE</v>
          </cell>
          <cell r="J1339" t="str">
            <v>FLAC 2</v>
          </cell>
          <cell r="K1339" t="str">
            <v>LACTALIS</v>
          </cell>
          <cell r="L1339" t="str">
            <v>RODRIGO</v>
          </cell>
          <cell r="M1339" t="str">
            <v>RAQUEL BARBOSA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  <cell r="H1340" t="str">
            <v>INGREDIENTS</v>
          </cell>
          <cell r="I1340" t="str">
            <v>INGREDIENTS</v>
          </cell>
          <cell r="J1340" t="str">
            <v>BA ITB FS ML FLAVORS</v>
          </cell>
          <cell r="K1340" t="str">
            <v>ITAMBÉ</v>
          </cell>
          <cell r="L1340" t="str">
            <v>MAURICIO</v>
          </cell>
          <cell r="M1340" t="str">
            <v>JOEL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  <cell r="H1341" t="str">
            <v>DISTRIBUIÇÃO</v>
          </cell>
          <cell r="I1341" t="str">
            <v>FOOD SERVICE</v>
          </cell>
          <cell r="J1341" t="str">
            <v>GUILHERME NASCIMENTO</v>
          </cell>
          <cell r="K1341" t="str">
            <v>ITAMBÉ</v>
          </cell>
          <cell r="L1341" t="str">
            <v>RODRIGO</v>
          </cell>
          <cell r="M1341" t="str">
            <v>ALEXANDRO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  <cell r="H1342" t="str">
            <v>DISTRIBUIÇÃO</v>
          </cell>
          <cell r="I1342" t="str">
            <v>FOOD SERVICE</v>
          </cell>
          <cell r="J1342" t="str">
            <v>GUILHERME NASCIMENTO</v>
          </cell>
          <cell r="K1342" t="str">
            <v>LACTALIS</v>
          </cell>
          <cell r="L1342" t="str">
            <v>RODRIGO</v>
          </cell>
          <cell r="M1342" t="str">
            <v>ALEXANDRO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  <cell r="H1343" t="str">
            <v>DISTRIBUIÇÃO</v>
          </cell>
          <cell r="I1343" t="str">
            <v>FOOD SERVICE</v>
          </cell>
          <cell r="J1343" t="str">
            <v>FLAC 6</v>
          </cell>
          <cell r="K1343" t="str">
            <v>LACTALIS</v>
          </cell>
          <cell r="L1343" t="str">
            <v>RODRIGO</v>
          </cell>
          <cell r="M1343" t="str">
            <v>RAQUEL BARBOSA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  <cell r="H1344" t="str">
            <v>INGREDIENTS</v>
          </cell>
          <cell r="I1344" t="str">
            <v>INGREDIENTS</v>
          </cell>
          <cell r="J1344" t="str">
            <v>HENRIQUE FERREIRA</v>
          </cell>
          <cell r="K1344" t="str">
            <v>ITAMBÉ</v>
          </cell>
          <cell r="L1344" t="str">
            <v>MAURICIO</v>
          </cell>
          <cell r="M1344" t="str">
            <v>JOEL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  <cell r="H1345" t="str">
            <v>DISTRIBUIÇÃO</v>
          </cell>
          <cell r="I1345" t="str">
            <v>FOOD SERVICE</v>
          </cell>
          <cell r="J1345" t="str">
            <v>FLAC 3</v>
          </cell>
          <cell r="K1345" t="str">
            <v>LACTALIS</v>
          </cell>
          <cell r="L1345" t="str">
            <v>RODRIGO</v>
          </cell>
          <cell r="M1345" t="str">
            <v>RAQUEL BARBOSA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  <cell r="H1346" t="str">
            <v>DISTRIBUIÇÃO</v>
          </cell>
          <cell r="I1346" t="str">
            <v>FOOD SERVICE</v>
          </cell>
          <cell r="J1346" t="str">
            <v>FLAC 2</v>
          </cell>
          <cell r="K1346" t="str">
            <v>LACTALIS</v>
          </cell>
          <cell r="L1346" t="str">
            <v>RODRIGO</v>
          </cell>
          <cell r="M1346" t="str">
            <v>RAQUEL BARBOSA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  <cell r="H1347" t="str">
            <v>INGREDIENTS</v>
          </cell>
          <cell r="I1347" t="str">
            <v>INGREDIENTS</v>
          </cell>
          <cell r="J1347" t="str">
            <v>AM - DUAS RODAS</v>
          </cell>
          <cell r="K1347" t="str">
            <v>ITAMBÉ</v>
          </cell>
          <cell r="L1347" t="str">
            <v>MAURICIO</v>
          </cell>
          <cell r="M1347" t="str">
            <v>JOEL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  <cell r="H1348" t="str">
            <v>INGREDIENTS</v>
          </cell>
          <cell r="I1348" t="str">
            <v>INGREDIENTS</v>
          </cell>
          <cell r="J1348" t="str">
            <v>JOEL ELEOTÉRIO</v>
          </cell>
          <cell r="K1348" t="str">
            <v>LACTALIS</v>
          </cell>
          <cell r="L1348" t="str">
            <v>MAURICIO</v>
          </cell>
          <cell r="M1348" t="str">
            <v>JOEL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  <cell r="H1349" t="str">
            <v>INGREDIENTS</v>
          </cell>
          <cell r="I1349" t="str">
            <v>INGREDIENTS</v>
          </cell>
          <cell r="J1349" t="str">
            <v>JOEL ELEOTÉRIO</v>
          </cell>
          <cell r="K1349" t="str">
            <v>LACTALIS</v>
          </cell>
          <cell r="L1349" t="str">
            <v>MAURICIO</v>
          </cell>
          <cell r="M1349" t="str">
            <v>JOEL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  <cell r="H1350" t="str">
            <v>DISTRIBUIÇÃO</v>
          </cell>
          <cell r="I1350" t="str">
            <v>FOOD SERVICE</v>
          </cell>
          <cell r="J1350" t="str">
            <v>VAGO SP</v>
          </cell>
          <cell r="K1350" t="str">
            <v>ITAMBÉ</v>
          </cell>
          <cell r="L1350" t="str">
            <v>RODRIGO</v>
          </cell>
          <cell r="M1350" t="str">
            <v>RAQUEL BARBOSA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  <cell r="H1351" t="str">
            <v>DISTRIBUIÇÃO</v>
          </cell>
          <cell r="I1351" t="str">
            <v>FOOD SERVICE</v>
          </cell>
          <cell r="J1351" t="str">
            <v>FLAC 2</v>
          </cell>
          <cell r="K1351" t="str">
            <v>LACTALIS</v>
          </cell>
          <cell r="L1351" t="str">
            <v>RODRIGO</v>
          </cell>
          <cell r="M1351" t="str">
            <v>RAQUEL BARBOSA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  <cell r="H1352" t="str">
            <v>DISTRIBUIÇÃO</v>
          </cell>
          <cell r="I1352" t="str">
            <v>FOOD SERVICE</v>
          </cell>
          <cell r="J1352" t="str">
            <v>CLAUDIO JORGE/LUIZ</v>
          </cell>
          <cell r="K1352" t="str">
            <v>ITAMBÉ</v>
          </cell>
          <cell r="L1352" t="str">
            <v>RODRIGO</v>
          </cell>
          <cell r="M1352" t="str">
            <v>MARIA LOURDES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  <cell r="H1353" t="str">
            <v>DISTRIBUIÇÃO</v>
          </cell>
          <cell r="I1353" t="str">
            <v>FOOD SERVICE</v>
          </cell>
          <cell r="J1353" t="str">
            <v>DIGMA REPR LTDA</v>
          </cell>
          <cell r="K1353" t="str">
            <v>ITAMBÉ</v>
          </cell>
          <cell r="L1353" t="str">
            <v>RODRIGO</v>
          </cell>
          <cell r="M1353" t="str">
            <v>MARIA LOURDES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  <cell r="H1354" t="str">
            <v>DISTRIBUIÇÃO</v>
          </cell>
          <cell r="I1354" t="str">
            <v>FOOD SERVICE</v>
          </cell>
          <cell r="J1354" t="str">
            <v>FLAC 6</v>
          </cell>
          <cell r="K1354" t="str">
            <v>LACTALIS</v>
          </cell>
          <cell r="L1354" t="str">
            <v>RODRIGO</v>
          </cell>
          <cell r="M1354" t="str">
            <v>RAQUEL BARBOSA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  <cell r="H1355" t="str">
            <v>DISTRIBUIÇÃO</v>
          </cell>
          <cell r="I1355" t="str">
            <v>FOOD SERVICE</v>
          </cell>
          <cell r="J1355" t="str">
            <v>FLAC 3</v>
          </cell>
          <cell r="K1355" t="str">
            <v>LACTALIS</v>
          </cell>
          <cell r="L1355" t="str">
            <v>RODRIGO</v>
          </cell>
          <cell r="M1355" t="str">
            <v>RAQUEL BARBOSA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  <cell r="H1356" t="str">
            <v>DISTRIBUIÇÃO</v>
          </cell>
          <cell r="I1356" t="str">
            <v>FOOD SERVICE</v>
          </cell>
          <cell r="J1356" t="str">
            <v>FLAC 2</v>
          </cell>
          <cell r="K1356" t="str">
            <v>LACTALIS</v>
          </cell>
          <cell r="L1356" t="str">
            <v>RODRIGO</v>
          </cell>
          <cell r="M1356" t="str">
            <v>RAQUEL BARBOSA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  <cell r="H1357" t="str">
            <v>DISTRIBUIÇÃO</v>
          </cell>
          <cell r="I1357" t="str">
            <v>FOOD SERVICE</v>
          </cell>
          <cell r="J1357" t="str">
            <v>FLAC 6</v>
          </cell>
          <cell r="K1357" t="str">
            <v>LACTALIS</v>
          </cell>
          <cell r="L1357" t="str">
            <v>RODRIGO</v>
          </cell>
          <cell r="M1357" t="str">
            <v>RAQUEL BARBOSA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  <cell r="H1358" t="str">
            <v>DISTRIBUIÇÃO</v>
          </cell>
          <cell r="I1358" t="str">
            <v>FOOD SERVICE</v>
          </cell>
          <cell r="J1358" t="str">
            <v>FLAC 6</v>
          </cell>
          <cell r="K1358" t="str">
            <v>LACTALIS</v>
          </cell>
          <cell r="L1358" t="str">
            <v>RODRIGO</v>
          </cell>
          <cell r="M1358" t="str">
            <v>RAQUEL BARBOSA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  <cell r="H1359" t="str">
            <v>DISTRIBUIÇÃO</v>
          </cell>
          <cell r="I1359" t="str">
            <v>FOOD SERVICE</v>
          </cell>
          <cell r="J1359" t="str">
            <v>FLAC 6</v>
          </cell>
          <cell r="K1359" t="str">
            <v>LACTALIS</v>
          </cell>
          <cell r="L1359" t="str">
            <v>RODRIGO</v>
          </cell>
          <cell r="M1359" t="str">
            <v>RAQUEL BARBOSA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  <cell r="H1360" t="str">
            <v>DISTRIBUIÇÃO</v>
          </cell>
          <cell r="I1360" t="str">
            <v>FOOD SERVICE</v>
          </cell>
          <cell r="J1360" t="str">
            <v>VAGO SP</v>
          </cell>
          <cell r="K1360" t="str">
            <v>ITAMBÉ</v>
          </cell>
          <cell r="L1360" t="str">
            <v>RODRIGO</v>
          </cell>
          <cell r="M1360" t="str">
            <v>RAQUEL BARBOSA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  <cell r="H1361" t="str">
            <v>DISTRIBUIÇÃO</v>
          </cell>
          <cell r="I1361" t="str">
            <v>FOOD SERVICE</v>
          </cell>
          <cell r="J1361" t="str">
            <v>FLAC 7</v>
          </cell>
          <cell r="K1361" t="str">
            <v>LACTALIS</v>
          </cell>
          <cell r="L1361" t="str">
            <v>RODRIGO</v>
          </cell>
          <cell r="M1361" t="str">
            <v>RAQUEL BARBOSA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  <cell r="H1362" t="str">
            <v>DISTRIBUIÇÃO</v>
          </cell>
          <cell r="I1362" t="str">
            <v>FOOD SERVICE</v>
          </cell>
          <cell r="J1362" t="str">
            <v>FLAC 2</v>
          </cell>
          <cell r="K1362" t="str">
            <v>LACTALIS</v>
          </cell>
          <cell r="L1362" t="str">
            <v>RODRIGO</v>
          </cell>
          <cell r="M1362" t="str">
            <v>RAQUEL BARBOSA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  <cell r="H1363" t="str">
            <v>DISTRIBUIÇÃO</v>
          </cell>
          <cell r="I1363" t="str">
            <v>FOOD SERVICE</v>
          </cell>
          <cell r="J1363" t="str">
            <v>FLAC 2</v>
          </cell>
          <cell r="K1363" t="str">
            <v>LACTALIS</v>
          </cell>
          <cell r="L1363" t="str">
            <v>RODRIGO</v>
          </cell>
          <cell r="M1363" t="str">
            <v>RAQUEL BARBOSA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  <cell r="H1364" t="str">
            <v>DISTRIBUIÇÃO</v>
          </cell>
          <cell r="I1364" t="str">
            <v>FOOD SERVICE</v>
          </cell>
          <cell r="J1364" t="str">
            <v>FLAC 3</v>
          </cell>
          <cell r="K1364" t="str">
            <v>LACTALIS</v>
          </cell>
          <cell r="L1364" t="str">
            <v>RODRIGO</v>
          </cell>
          <cell r="M1364" t="str">
            <v>RAQUEL BARBOSA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  <cell r="H1365" t="str">
            <v>DISTRIBUIÇÃO</v>
          </cell>
          <cell r="I1365" t="str">
            <v>FOOD SERVICE</v>
          </cell>
          <cell r="J1365" t="str">
            <v>FLAC 5</v>
          </cell>
          <cell r="K1365" t="str">
            <v>LACTALIS</v>
          </cell>
          <cell r="L1365" t="str">
            <v>RODRIGO</v>
          </cell>
          <cell r="M1365" t="str">
            <v>RAQUEL BARBOSA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  <cell r="H1366" t="str">
            <v>DISTRIBUIÇÃO</v>
          </cell>
          <cell r="I1366" t="str">
            <v>FOOD SERVICE</v>
          </cell>
          <cell r="J1366" t="str">
            <v>FLAC 2</v>
          </cell>
          <cell r="K1366" t="str">
            <v>LACTALIS</v>
          </cell>
          <cell r="L1366" t="str">
            <v>RODRIGO</v>
          </cell>
          <cell r="M1366" t="str">
            <v>RAQUEL BARBOSA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  <cell r="H1367" t="str">
            <v>DISTRIBUIÇÃO</v>
          </cell>
          <cell r="I1367" t="str">
            <v>FOOD SERVICE</v>
          </cell>
          <cell r="J1367" t="str">
            <v>FLAC 2</v>
          </cell>
          <cell r="K1367" t="str">
            <v>LACTALIS</v>
          </cell>
          <cell r="L1367" t="str">
            <v>RODRIGO</v>
          </cell>
          <cell r="M1367" t="str">
            <v>RAQUEL BARBOSA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  <cell r="H1368" t="str">
            <v>DISTRIBUIÇÃO</v>
          </cell>
          <cell r="I1368" t="str">
            <v>FOOD SERVICE</v>
          </cell>
          <cell r="J1368" t="str">
            <v>FLAC 2</v>
          </cell>
          <cell r="K1368" t="str">
            <v>LACTALIS</v>
          </cell>
          <cell r="L1368" t="str">
            <v>RODRIGO</v>
          </cell>
          <cell r="M1368" t="str">
            <v>RAQUEL BARBOSA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  <cell r="H1369" t="str">
            <v>DISTRIBUIÇÃO</v>
          </cell>
          <cell r="I1369" t="str">
            <v>FOOD SERVICE</v>
          </cell>
          <cell r="J1369" t="str">
            <v>FLAC 6</v>
          </cell>
          <cell r="K1369" t="str">
            <v>LACTALIS</v>
          </cell>
          <cell r="L1369" t="str">
            <v>RODRIGO</v>
          </cell>
          <cell r="M1369" t="str">
            <v>RAQUEL BARBOSA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  <cell r="H1370" t="str">
            <v>DISTRIBUIÇÃO</v>
          </cell>
          <cell r="I1370" t="str">
            <v>FOOD SERVICE</v>
          </cell>
          <cell r="J1370" t="str">
            <v>WH FOOD SERVICE CE</v>
          </cell>
          <cell r="K1370" t="str">
            <v>ITAMBÉ</v>
          </cell>
          <cell r="L1370" t="str">
            <v>RODRIGO</v>
          </cell>
          <cell r="M1370" t="str">
            <v>MARIA LOURDES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  <cell r="H1371" t="str">
            <v>DISTRIBUIÇÃO</v>
          </cell>
          <cell r="I1371" t="str">
            <v>FOOD SERVICE</v>
          </cell>
          <cell r="J1371" t="str">
            <v>FLAC 5</v>
          </cell>
          <cell r="K1371" t="str">
            <v>LACTALIS</v>
          </cell>
          <cell r="L1371" t="str">
            <v>RODRIGO</v>
          </cell>
          <cell r="M1371" t="str">
            <v>RAQUEL BARBOSA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  <cell r="H1372" t="str">
            <v>DISTRIBUIÇÃO</v>
          </cell>
          <cell r="I1372" t="str">
            <v>FOOD SERVICE</v>
          </cell>
          <cell r="J1372" t="str">
            <v>FLAC 3</v>
          </cell>
          <cell r="K1372" t="str">
            <v>LACTALIS</v>
          </cell>
          <cell r="L1372" t="str">
            <v>RODRIGO</v>
          </cell>
          <cell r="M1372" t="str">
            <v>RAQUEL BARBOSA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  <cell r="H1373" t="str">
            <v>DISTRIBUIÇÃO</v>
          </cell>
          <cell r="I1373" t="str">
            <v>FOOD SERVICE</v>
          </cell>
          <cell r="J1373" t="str">
            <v>FLAC 3</v>
          </cell>
          <cell r="K1373" t="str">
            <v>LACTALIS</v>
          </cell>
          <cell r="L1373" t="str">
            <v>RODRIGO</v>
          </cell>
          <cell r="M1373" t="str">
            <v>RAQUEL BARBOSA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  <cell r="H1374" t="str">
            <v>DISTRIBUIÇÃO</v>
          </cell>
          <cell r="I1374" t="str">
            <v>FOOD SERVICE</v>
          </cell>
          <cell r="J1374" t="str">
            <v>FLAC 3</v>
          </cell>
          <cell r="K1374" t="str">
            <v>LACTALIS</v>
          </cell>
          <cell r="L1374" t="str">
            <v>RODRIGO</v>
          </cell>
          <cell r="M1374" t="str">
            <v>RAQUEL BARBOSA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  <cell r="H1375" t="str">
            <v>DISTRIBUIÇÃO</v>
          </cell>
          <cell r="I1375" t="str">
            <v>FOOD SERVICE</v>
          </cell>
          <cell r="J1375" t="str">
            <v>FLAC 6</v>
          </cell>
          <cell r="K1375" t="str">
            <v>LACTALIS</v>
          </cell>
          <cell r="L1375" t="str">
            <v>RODRIGO</v>
          </cell>
          <cell r="M1375" t="str">
            <v>RAQUEL BARBOSA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  <cell r="H1376" t="str">
            <v>DISTRIBUIÇÃO</v>
          </cell>
          <cell r="I1376" t="str">
            <v>FOOD SERVICE</v>
          </cell>
          <cell r="J1376" t="str">
            <v>FLAC 6</v>
          </cell>
          <cell r="K1376" t="str">
            <v>LACTALIS</v>
          </cell>
          <cell r="L1376" t="str">
            <v>RODRIGO</v>
          </cell>
          <cell r="M1376" t="str">
            <v>RAQUEL BARBOSA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  <cell r="H1377" t="str">
            <v>DISTRIBUIÇÃO</v>
          </cell>
          <cell r="I1377" t="str">
            <v>FOOD SERVICE</v>
          </cell>
          <cell r="J1377" t="str">
            <v>FLAC 2</v>
          </cell>
          <cell r="K1377" t="str">
            <v>LACTALIS</v>
          </cell>
          <cell r="L1377" t="str">
            <v>RODRIGO</v>
          </cell>
          <cell r="M1377" t="str">
            <v>RAQUEL BARBOSA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  <cell r="H1378" t="str">
            <v>INGREDIENTS</v>
          </cell>
          <cell r="I1378" t="str">
            <v>INGREDIENTS</v>
          </cell>
          <cell r="J1378" t="str">
            <v>MARCELO RODRIGUES</v>
          </cell>
          <cell r="K1378" t="str">
            <v>LACTALIS</v>
          </cell>
          <cell r="L1378" t="str">
            <v>MAURICIO</v>
          </cell>
          <cell r="M1378" t="str">
            <v>MARCELO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  <cell r="H1379" t="str">
            <v>INGREDIENTS</v>
          </cell>
          <cell r="I1379" t="str">
            <v>INGREDIENTS</v>
          </cell>
          <cell r="J1379" t="str">
            <v>MARCELO RODRIGUES</v>
          </cell>
          <cell r="K1379" t="str">
            <v>LACTALIS</v>
          </cell>
          <cell r="L1379" t="str">
            <v>MAURICIO</v>
          </cell>
          <cell r="M1379" t="str">
            <v>MARCELO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  <cell r="H1380" t="str">
            <v>DISTRIBUIÇÃO</v>
          </cell>
          <cell r="I1380" t="str">
            <v>FOOD SERVICE</v>
          </cell>
          <cell r="J1380" t="str">
            <v>JESSICA CARLA</v>
          </cell>
          <cell r="K1380" t="str">
            <v>ITAMBÉ</v>
          </cell>
          <cell r="L1380" t="str">
            <v>RODRIGO</v>
          </cell>
          <cell r="M1380" t="str">
            <v>JESSICA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  <cell r="H1381" t="str">
            <v>DISTRIBUIÇÃO</v>
          </cell>
          <cell r="I1381" t="str">
            <v>FOOD SERVICE</v>
          </cell>
          <cell r="J1381" t="str">
            <v>FLAC 3</v>
          </cell>
          <cell r="K1381" t="str">
            <v>LACTALIS</v>
          </cell>
          <cell r="L1381" t="str">
            <v>RODRIGO</v>
          </cell>
          <cell r="M1381" t="str">
            <v>RAQUEL BARBOSA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  <cell r="H1382" t="str">
            <v>DISTRIBUIÇÃO</v>
          </cell>
          <cell r="I1382" t="str">
            <v>FOOD SERVICE</v>
          </cell>
          <cell r="J1382" t="str">
            <v>CELIO MARTINS</v>
          </cell>
          <cell r="K1382" t="str">
            <v>ITAMBÉ</v>
          </cell>
          <cell r="L1382" t="str">
            <v>RODRIGO</v>
          </cell>
          <cell r="M1382" t="str">
            <v>CELIO MARTINS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  <cell r="H1383" t="str">
            <v>DISTRIBUIÇÃO</v>
          </cell>
          <cell r="I1383" t="str">
            <v>FOOD SERVICE</v>
          </cell>
          <cell r="J1383" t="str">
            <v>FLAC 6</v>
          </cell>
          <cell r="K1383" t="str">
            <v>LACTALIS</v>
          </cell>
          <cell r="L1383" t="str">
            <v>RODRIGO</v>
          </cell>
          <cell r="M1383" t="str">
            <v>RAQUEL BARBOSA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  <cell r="H1384" t="str">
            <v>DISTRIBUIÇÃO</v>
          </cell>
          <cell r="I1384" t="str">
            <v>FOOD SERVICE</v>
          </cell>
          <cell r="J1384" t="str">
            <v>FLAC 3</v>
          </cell>
          <cell r="K1384" t="str">
            <v>LACTALIS</v>
          </cell>
          <cell r="L1384" t="str">
            <v>RODRIGO</v>
          </cell>
          <cell r="M1384" t="str">
            <v>RAQUEL BARBOSA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  <cell r="H1385" t="str">
            <v>DISTRIBUIÇÃO</v>
          </cell>
          <cell r="I1385" t="str">
            <v>FOOD SERVICE</v>
          </cell>
          <cell r="J1385" t="str">
            <v>FLAC 6</v>
          </cell>
          <cell r="K1385" t="str">
            <v>LACTALIS</v>
          </cell>
          <cell r="L1385" t="str">
            <v>RODRIGO</v>
          </cell>
          <cell r="M1385" t="str">
            <v>RAQUEL BARBOSA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  <cell r="H1386" t="str">
            <v>DISTRIBUIÇÃO</v>
          </cell>
          <cell r="I1386" t="str">
            <v>FOOD SERVICE</v>
          </cell>
          <cell r="J1386" t="str">
            <v>FLAC 2</v>
          </cell>
          <cell r="K1386" t="str">
            <v>LACTALIS</v>
          </cell>
          <cell r="L1386" t="str">
            <v>RODRIGO</v>
          </cell>
          <cell r="M1386" t="str">
            <v>RAQUEL BARBOSA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  <cell r="H1387" t="str">
            <v>INGREDIENTS</v>
          </cell>
          <cell r="I1387" t="str">
            <v>INGREDIENTS</v>
          </cell>
          <cell r="J1387" t="str">
            <v>JOEL ELEOTÉRIO</v>
          </cell>
          <cell r="K1387" t="str">
            <v>ITAMBÉ</v>
          </cell>
          <cell r="L1387" t="str">
            <v>MAURICIO</v>
          </cell>
          <cell r="M1387" t="str">
            <v>JOEL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  <cell r="H1388" t="str">
            <v>INGREDIENTS</v>
          </cell>
          <cell r="I1388" t="str">
            <v>INGREDIENTS</v>
          </cell>
          <cell r="J1388" t="str">
            <v>JOEL ELEOTÉRIO</v>
          </cell>
          <cell r="K1388" t="str">
            <v>ITAMBÉ</v>
          </cell>
          <cell r="L1388" t="str">
            <v>MAURICIO</v>
          </cell>
          <cell r="M1388" t="str">
            <v>JOEL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  <cell r="H1389" t="str">
            <v>DISTRIBUIÇÃO</v>
          </cell>
          <cell r="I1389" t="str">
            <v>FOOD SERVICE</v>
          </cell>
          <cell r="J1389" t="str">
            <v>FLAC 6</v>
          </cell>
          <cell r="K1389" t="str">
            <v>LACTALIS</v>
          </cell>
          <cell r="L1389" t="str">
            <v>RODRIGO</v>
          </cell>
          <cell r="M1389" t="str">
            <v>RAQUEL BARBOSA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  <cell r="H1390" t="str">
            <v>DISTRIBUIÇÃO</v>
          </cell>
          <cell r="I1390" t="str">
            <v>FOOD SERVICE</v>
          </cell>
          <cell r="J1390" t="str">
            <v>CLAUDIO JORGE/LUIZ</v>
          </cell>
          <cell r="K1390" t="str">
            <v>ITAMBÉ</v>
          </cell>
          <cell r="L1390" t="str">
            <v>RODRIGO</v>
          </cell>
          <cell r="M1390" t="str">
            <v>MARIA LOURDES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  <cell r="H1391" t="str">
            <v>DISTRIBUIÇÃO</v>
          </cell>
          <cell r="I1391" t="str">
            <v>FOOD SERVICE</v>
          </cell>
          <cell r="J1391" t="str">
            <v>FLAC 5</v>
          </cell>
          <cell r="K1391" t="str">
            <v>LACTALIS</v>
          </cell>
          <cell r="L1391" t="str">
            <v>RODRIGO</v>
          </cell>
          <cell r="M1391" t="str">
            <v>RAQUEL BARBOSA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  <cell r="H1392" t="str">
            <v>OUTROS</v>
          </cell>
          <cell r="I1392" t="str">
            <v>OUTROS</v>
          </cell>
          <cell r="J1392" t="str">
            <v>ITAMBE - EXPORTACAO</v>
          </cell>
          <cell r="K1392" t="str">
            <v>OUTROS</v>
          </cell>
          <cell r="L1392" t="str">
            <v>OUTROS</v>
          </cell>
          <cell r="M1392" t="str">
            <v>EXPORTAÇÃO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  <cell r="H1393" t="str">
            <v>OUTROS</v>
          </cell>
          <cell r="I1393" t="str">
            <v>OUTROS</v>
          </cell>
          <cell r="J1393" t="str">
            <v>ITAMBE - EXPORTACAO</v>
          </cell>
          <cell r="K1393" t="str">
            <v>OUTROS</v>
          </cell>
          <cell r="L1393" t="str">
            <v>OUTROS</v>
          </cell>
          <cell r="M1393" t="str">
            <v>EXPORTAÇÃO</v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  <cell r="H1394" t="str">
            <v>DISTRIBUIÇÃO</v>
          </cell>
          <cell r="I1394" t="str">
            <v>FOOD SERVICE</v>
          </cell>
          <cell r="J1394" t="str">
            <v>FLAC 6</v>
          </cell>
          <cell r="K1394" t="str">
            <v>LACTALIS</v>
          </cell>
          <cell r="L1394" t="str">
            <v>RODRIGO</v>
          </cell>
          <cell r="M1394" t="str">
            <v>RAQUEL BARBOSA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  <cell r="H1395" t="str">
            <v>DISTRIBUIÇÃO</v>
          </cell>
          <cell r="I1395" t="str">
            <v>FOOD SERVICE</v>
          </cell>
          <cell r="J1395" t="str">
            <v>FLAC 6</v>
          </cell>
          <cell r="K1395" t="str">
            <v>LACTALIS</v>
          </cell>
          <cell r="L1395" t="str">
            <v>RODRIGO</v>
          </cell>
          <cell r="M1395" t="str">
            <v>RAQUEL BARBOSA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  <cell r="H1396" t="str">
            <v>DISTRIBUIÇÃO</v>
          </cell>
          <cell r="I1396" t="str">
            <v>FOOD SERVICE</v>
          </cell>
          <cell r="J1396" t="str">
            <v>FLAC 6</v>
          </cell>
          <cell r="K1396" t="str">
            <v>LACTALIS</v>
          </cell>
          <cell r="L1396" t="str">
            <v>RODRIGO</v>
          </cell>
          <cell r="M1396" t="str">
            <v>RAQUEL BARBOSA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  <cell r="H1397" t="str">
            <v>DISTRIBUIÇÃO</v>
          </cell>
          <cell r="I1397" t="str">
            <v>FOOD SERVICE</v>
          </cell>
          <cell r="J1397" t="str">
            <v>FLAC 6</v>
          </cell>
          <cell r="K1397" t="str">
            <v>LACTALIS</v>
          </cell>
          <cell r="L1397" t="str">
            <v>RODRIGO</v>
          </cell>
          <cell r="M1397" t="str">
            <v>RAQUEL BARBOSA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  <cell r="H1398" t="str">
            <v>DISTRIBUIÇÃO</v>
          </cell>
          <cell r="I1398" t="str">
            <v>FOOD SERVICE</v>
          </cell>
          <cell r="J1398" t="str">
            <v>WH FOOD SERVICE CE</v>
          </cell>
          <cell r="K1398" t="str">
            <v>ITAMBÉ</v>
          </cell>
          <cell r="L1398" t="str">
            <v>RODRIGO</v>
          </cell>
          <cell r="M1398" t="str">
            <v>MARIA LOURDES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  <cell r="H1399" t="str">
            <v>DISTRIBUIÇÃO</v>
          </cell>
          <cell r="I1399" t="str">
            <v>FOOD SERVICE</v>
          </cell>
          <cell r="J1399" t="str">
            <v>FLAC 7</v>
          </cell>
          <cell r="K1399" t="str">
            <v>LACTALIS</v>
          </cell>
          <cell r="L1399" t="str">
            <v>RODRIGO</v>
          </cell>
          <cell r="M1399" t="str">
            <v>RAQUEL BARBOSA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  <cell r="H1400" t="str">
            <v>DISTRIBUIÇÃO</v>
          </cell>
          <cell r="I1400" t="str">
            <v>FOOD SERVICE</v>
          </cell>
          <cell r="J1400" t="str">
            <v>FLAC 5</v>
          </cell>
          <cell r="K1400" t="str">
            <v>LACTALIS</v>
          </cell>
          <cell r="L1400" t="str">
            <v>RODRIGO</v>
          </cell>
          <cell r="M1400" t="str">
            <v>RAQUEL BARBOSA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  <cell r="H1401" t="str">
            <v>DISTRIBUIÇÃO</v>
          </cell>
          <cell r="I1401" t="str">
            <v>FOOD SERVICE</v>
          </cell>
          <cell r="J1401" t="str">
            <v>CLAUDIO JORGE/LUIZ</v>
          </cell>
          <cell r="K1401" t="str">
            <v>ITAMBÉ</v>
          </cell>
          <cell r="L1401" t="str">
            <v>RODRIGO</v>
          </cell>
          <cell r="M1401" t="str">
            <v>MARIA LOURDES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  <cell r="H1402" t="str">
            <v>DISTRIBUIÇÃO</v>
          </cell>
          <cell r="I1402" t="str">
            <v>FOOD SERVICE</v>
          </cell>
          <cell r="J1402" t="str">
            <v>TC REPRESENTAÇÕES</v>
          </cell>
          <cell r="K1402" t="str">
            <v>ITAMBÉ</v>
          </cell>
          <cell r="L1402" t="str">
            <v>RODRIGO</v>
          </cell>
          <cell r="M1402" t="str">
            <v>MARCO AURELIO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  <cell r="H1403" t="str">
            <v>DISTRIBUIÇÃO</v>
          </cell>
          <cell r="I1403" t="str">
            <v>FOOD SERVICE</v>
          </cell>
          <cell r="J1403" t="str">
            <v>FLAC 3</v>
          </cell>
          <cell r="K1403" t="str">
            <v>LACTALIS</v>
          </cell>
          <cell r="L1403" t="str">
            <v>RODRIGO</v>
          </cell>
          <cell r="M1403" t="str">
            <v>RAQUEL BARBOSA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  <cell r="H1404" t="str">
            <v>INGREDIENTS</v>
          </cell>
          <cell r="I1404" t="str">
            <v>INGREDIENTS</v>
          </cell>
          <cell r="J1404" t="str">
            <v>MARCELO RODRIGUES</v>
          </cell>
          <cell r="K1404" t="str">
            <v>LACTALIS</v>
          </cell>
          <cell r="L1404" t="str">
            <v>MAURICIO</v>
          </cell>
          <cell r="M1404" t="str">
            <v>MARCELO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  <cell r="H1405" t="str">
            <v>INGREDIENTS</v>
          </cell>
          <cell r="I1405" t="str">
            <v>INGREDIENTS</v>
          </cell>
          <cell r="J1405" t="str">
            <v>MARCELO RODRIGUES</v>
          </cell>
          <cell r="K1405" t="str">
            <v>ITAMBÉ</v>
          </cell>
          <cell r="L1405" t="str">
            <v>MAURICIO</v>
          </cell>
          <cell r="M1405" t="str">
            <v>MARCELO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  <cell r="H1406" t="str">
            <v>OUTROS</v>
          </cell>
          <cell r="I1406" t="str">
            <v>OUTROS</v>
          </cell>
          <cell r="J1406" t="str">
            <v>ITAMBE - EXPORTACAO</v>
          </cell>
          <cell r="K1406" t="str">
            <v>OUTROS</v>
          </cell>
          <cell r="L1406" t="str">
            <v>OUTROS</v>
          </cell>
          <cell r="M1406" t="str">
            <v>EXPORTAÇÃO</v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  <cell r="H1407" t="str">
            <v>DISTRIBUIÇÃO</v>
          </cell>
          <cell r="I1407" t="str">
            <v>FOOD SERVICE</v>
          </cell>
          <cell r="J1407" t="str">
            <v>FLAC 6</v>
          </cell>
          <cell r="K1407" t="str">
            <v>LACTALIS</v>
          </cell>
          <cell r="L1407" t="str">
            <v>RODRIGO</v>
          </cell>
          <cell r="M1407" t="str">
            <v>RAQUEL BARBOSA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  <cell r="H1408" t="str">
            <v>INGREDIENTS</v>
          </cell>
          <cell r="I1408" t="str">
            <v>INGREDIENTS</v>
          </cell>
          <cell r="J1408" t="str">
            <v>TATIANA NITTA</v>
          </cell>
          <cell r="K1408" t="str">
            <v>ITAMBÉ</v>
          </cell>
          <cell r="L1408" t="str">
            <v>MAURICIO</v>
          </cell>
          <cell r="M1408" t="str">
            <v>TATIANA NITTA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  <cell r="H1409" t="str">
            <v>INGREDIENTS</v>
          </cell>
          <cell r="I1409" t="str">
            <v>INGREDIENTS</v>
          </cell>
          <cell r="J1409" t="str">
            <v>TATIANA NITTA</v>
          </cell>
          <cell r="K1409" t="str">
            <v>ITAMBÉ</v>
          </cell>
          <cell r="L1409" t="str">
            <v>MAURICIO</v>
          </cell>
          <cell r="M1409" t="str">
            <v>TATIANA NITTA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  <cell r="H1410" t="str">
            <v>DISTRIBUIÇÃO</v>
          </cell>
          <cell r="I1410" t="str">
            <v>FOOD SERVICE</v>
          </cell>
          <cell r="J1410" t="str">
            <v>MARCO AURELIO</v>
          </cell>
          <cell r="K1410" t="str">
            <v>ITAMBÉ</v>
          </cell>
          <cell r="L1410" t="str">
            <v>RODRIGO</v>
          </cell>
          <cell r="M1410" t="str">
            <v>MARCO AURELIO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  <cell r="H1411" t="str">
            <v>DISTRIBUIÇÃO</v>
          </cell>
          <cell r="I1411" t="str">
            <v>FOOD SERVICE</v>
          </cell>
          <cell r="J1411" t="str">
            <v>DIGMA REPR LTDA</v>
          </cell>
          <cell r="K1411" t="str">
            <v>ITAMBÉ</v>
          </cell>
          <cell r="L1411" t="str">
            <v>RODRIGO</v>
          </cell>
          <cell r="M1411" t="str">
            <v>MARIA LOURDES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  <cell r="H1412" t="str">
            <v>DISTRIBUIÇÃO</v>
          </cell>
          <cell r="I1412" t="str">
            <v>FOOD SERVICE</v>
          </cell>
          <cell r="J1412" t="str">
            <v>FLAC 4</v>
          </cell>
          <cell r="K1412" t="str">
            <v>LACTALIS</v>
          </cell>
          <cell r="L1412" t="str">
            <v>RODRIGO</v>
          </cell>
          <cell r="M1412" t="str">
            <v>RAQUEL BARBOSA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  <cell r="H1413" t="str">
            <v>DISTRIBUIÇÃO</v>
          </cell>
          <cell r="I1413" t="str">
            <v>FOOD SERVICE</v>
          </cell>
          <cell r="J1413" t="str">
            <v>FLAC 6</v>
          </cell>
          <cell r="K1413" t="str">
            <v>LACTALIS</v>
          </cell>
          <cell r="L1413" t="str">
            <v>RODRIGO</v>
          </cell>
          <cell r="M1413" t="str">
            <v>RAQUEL BARBOSA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  <cell r="H1414" t="str">
            <v>INGREDIENTS</v>
          </cell>
          <cell r="I1414" t="str">
            <v>INGREDIENTS</v>
          </cell>
          <cell r="J1414" t="str">
            <v>TATIANA NITTA</v>
          </cell>
          <cell r="K1414" t="str">
            <v>ITAMBÉ</v>
          </cell>
          <cell r="L1414" t="str">
            <v>MAURICIO</v>
          </cell>
          <cell r="M1414" t="str">
            <v>TATIANA NITTA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  <cell r="H1415" t="str">
            <v>DISTRIBUIÇÃO</v>
          </cell>
          <cell r="I1415" t="str">
            <v>FOOD SERVICE</v>
          </cell>
          <cell r="J1415" t="str">
            <v>MARCELO DUARTE</v>
          </cell>
          <cell r="K1415" t="str">
            <v>ITAMBÉ</v>
          </cell>
          <cell r="L1415" t="str">
            <v>RODRIGO</v>
          </cell>
          <cell r="M1415" t="str">
            <v>JESSICA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  <cell r="H1416" t="str">
            <v>DISTRIBUIÇÃO</v>
          </cell>
          <cell r="I1416" t="str">
            <v>FOOD SERVICE</v>
          </cell>
          <cell r="J1416" t="str">
            <v>MARCELO DUARTE</v>
          </cell>
          <cell r="K1416" t="str">
            <v>ITAMBÉ</v>
          </cell>
          <cell r="L1416" t="str">
            <v>RODRIGO</v>
          </cell>
          <cell r="M1416" t="str">
            <v>JESSICA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  <cell r="H1417" t="str">
            <v>DISTRIBUIÇÃO</v>
          </cell>
          <cell r="I1417" t="str">
            <v>FOOD SERVICE</v>
          </cell>
          <cell r="J1417" t="str">
            <v>FLAC 7</v>
          </cell>
          <cell r="K1417" t="str">
            <v>LACTALIS</v>
          </cell>
          <cell r="L1417" t="str">
            <v>RODRIGO</v>
          </cell>
          <cell r="M1417" t="str">
            <v>RAQUEL BARBOSA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  <cell r="H1418" t="str">
            <v>DISTRIBUIÇÃO</v>
          </cell>
          <cell r="I1418" t="str">
            <v>FOOD SERVICE</v>
          </cell>
          <cell r="J1418" t="str">
            <v>CELIO MARTINS</v>
          </cell>
          <cell r="K1418" t="str">
            <v>ITAMBÉ</v>
          </cell>
          <cell r="L1418" t="str">
            <v>RODRIGO</v>
          </cell>
          <cell r="M1418" t="str">
            <v>CELIO MARTINS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  <cell r="H1419" t="str">
            <v>DISTRIBUIÇÃO</v>
          </cell>
          <cell r="I1419" t="str">
            <v>FOOD SERVICE</v>
          </cell>
          <cell r="J1419" t="str">
            <v>MARCELO SILVA</v>
          </cell>
          <cell r="K1419" t="str">
            <v>ITAMBÉ</v>
          </cell>
          <cell r="L1419" t="str">
            <v>RODRIGO</v>
          </cell>
          <cell r="M1419" t="str">
            <v>CELIO MARTINS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  <cell r="H1420" t="str">
            <v>DISTRIBUIÇÃO</v>
          </cell>
          <cell r="I1420" t="str">
            <v>FOOD SERVICE</v>
          </cell>
          <cell r="J1420" t="str">
            <v>JULIANA CORDEIRO</v>
          </cell>
          <cell r="K1420" t="str">
            <v>ITAMBÉ</v>
          </cell>
          <cell r="L1420" t="str">
            <v>RODRIGO</v>
          </cell>
          <cell r="M1420" t="str">
            <v>JESSICA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  <cell r="H1421" t="str">
            <v>DISTRIBUIÇÃO</v>
          </cell>
          <cell r="I1421" t="str">
            <v>FOOD SERVICE</v>
          </cell>
          <cell r="J1421" t="str">
            <v>MARCELO DUARTE</v>
          </cell>
          <cell r="K1421" t="str">
            <v>ITAMBÉ</v>
          </cell>
          <cell r="L1421" t="str">
            <v>RODRIGO</v>
          </cell>
          <cell r="M1421" t="str">
            <v>JESSICA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  <cell r="H1422" t="str">
            <v>INGREDIENTS</v>
          </cell>
          <cell r="I1422" t="str">
            <v>INGREDIENTS</v>
          </cell>
          <cell r="J1422" t="str">
            <v>TATIANA NITTA</v>
          </cell>
          <cell r="K1422" t="str">
            <v>ITAMBÉ</v>
          </cell>
          <cell r="L1422" t="str">
            <v>MAURICIO</v>
          </cell>
          <cell r="M1422" t="str">
            <v>TATIANA NITTA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  <cell r="H1423" t="str">
            <v>DISTRIBUIÇÃO</v>
          </cell>
          <cell r="I1423" t="str">
            <v>FOOD SERVICE</v>
          </cell>
          <cell r="J1423" t="str">
            <v>FLAC 6</v>
          </cell>
          <cell r="K1423" t="str">
            <v>LACTALIS</v>
          </cell>
          <cell r="L1423" t="str">
            <v>RODRIGO</v>
          </cell>
          <cell r="M1423" t="str">
            <v>RAQUEL BARBOSA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  <cell r="H1424" t="str">
            <v>INGREDIENTS</v>
          </cell>
          <cell r="I1424" t="str">
            <v>INGREDIENTS</v>
          </cell>
          <cell r="J1424" t="str">
            <v>MARCELO RODRIGUES</v>
          </cell>
          <cell r="K1424" t="str">
            <v>LACTALIS</v>
          </cell>
          <cell r="L1424" t="str">
            <v>MAURICIO</v>
          </cell>
          <cell r="M1424" t="str">
            <v>MARCELO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  <cell r="H1425" t="str">
            <v>DISTRIBUIÇÃO</v>
          </cell>
          <cell r="I1425" t="str">
            <v>FOOD SERVICE</v>
          </cell>
          <cell r="J1425" t="str">
            <v>FLAC 6</v>
          </cell>
          <cell r="K1425" t="str">
            <v>LACTALIS</v>
          </cell>
          <cell r="L1425" t="str">
            <v>RODRIGO</v>
          </cell>
          <cell r="M1425" t="str">
            <v>RAQUEL BARBOSA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  <cell r="H1426" t="str">
            <v>DISTRIBUIÇÃO</v>
          </cell>
          <cell r="I1426" t="str">
            <v>FOOD SERVICE</v>
          </cell>
          <cell r="J1426" t="str">
            <v>CLAUDIO JORGE/LUIZ</v>
          </cell>
          <cell r="K1426" t="str">
            <v>ITAMBÉ</v>
          </cell>
          <cell r="L1426" t="str">
            <v>RODRIGO</v>
          </cell>
          <cell r="M1426" t="str">
            <v>MARIA LOURDES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  <cell r="H1427" t="str">
            <v>DISTRIBUIÇÃO</v>
          </cell>
          <cell r="I1427" t="str">
            <v>FOOD SERVICE</v>
          </cell>
          <cell r="J1427" t="str">
            <v>FLAC 5</v>
          </cell>
          <cell r="K1427" t="str">
            <v>LACTALIS</v>
          </cell>
          <cell r="L1427" t="str">
            <v>RODRIGO</v>
          </cell>
          <cell r="M1427" t="str">
            <v>RAQUEL BARBOSA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  <cell r="H1428" t="str">
            <v>DISTRIBUIÇÃO</v>
          </cell>
          <cell r="I1428" t="str">
            <v>FOOD SERVICE</v>
          </cell>
          <cell r="J1428" t="str">
            <v>FLAC 2</v>
          </cell>
          <cell r="K1428" t="str">
            <v>LACTALIS</v>
          </cell>
          <cell r="L1428" t="str">
            <v>RODRIGO</v>
          </cell>
          <cell r="M1428" t="str">
            <v>RAQUEL BARBOSA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  <cell r="H1429" t="str">
            <v>INGREDIENTS</v>
          </cell>
          <cell r="I1429" t="str">
            <v>INGREDIENTS</v>
          </cell>
          <cell r="J1429" t="str">
            <v>MARCELO RODRIGUES</v>
          </cell>
          <cell r="K1429" t="str">
            <v>LACTALIS</v>
          </cell>
          <cell r="L1429" t="str">
            <v>MAURICIO</v>
          </cell>
          <cell r="M1429" t="str">
            <v>MARCELO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  <cell r="H1430" t="str">
            <v>QSR</v>
          </cell>
          <cell r="I1430" t="str">
            <v>FOOD SERVICE</v>
          </cell>
          <cell r="J1430" t="str">
            <v>NUTRI</v>
          </cell>
          <cell r="K1430" t="str">
            <v>LACTALIS</v>
          </cell>
          <cell r="L1430" t="str">
            <v>PEDRO</v>
          </cell>
          <cell r="M1430" t="str">
            <v>VAGO QSR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  <cell r="H1431" t="str">
            <v>DISTRIBUIÇÃO</v>
          </cell>
          <cell r="I1431" t="str">
            <v>FOOD SERVICE</v>
          </cell>
          <cell r="J1431" t="str">
            <v>FLAC 3</v>
          </cell>
          <cell r="K1431" t="str">
            <v>LACTALIS</v>
          </cell>
          <cell r="L1431" t="str">
            <v>RODRIGO</v>
          </cell>
          <cell r="M1431" t="str">
            <v>RAQUEL BARBOSA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  <cell r="H1432" t="str">
            <v>DISTRIBUIÇÃO</v>
          </cell>
          <cell r="I1432" t="str">
            <v>FOOD SERVICE</v>
          </cell>
          <cell r="J1432" t="str">
            <v>FLAC 7</v>
          </cell>
          <cell r="K1432" t="str">
            <v>LACTALIS</v>
          </cell>
          <cell r="L1432" t="str">
            <v>RODRIGO</v>
          </cell>
          <cell r="M1432" t="str">
            <v>RAQUEL BARBOSA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  <cell r="H1433" t="str">
            <v>DISTRIBUIÇÃO</v>
          </cell>
          <cell r="I1433" t="str">
            <v>FOOD SERVICE</v>
          </cell>
          <cell r="J1433" t="str">
            <v>FLAC 7</v>
          </cell>
          <cell r="K1433" t="str">
            <v>LACTALIS</v>
          </cell>
          <cell r="L1433" t="str">
            <v>RODRIGO</v>
          </cell>
          <cell r="M1433" t="str">
            <v>RAQUEL BARBOSA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  <cell r="H1434" t="str">
            <v>DISTRIBUIÇÃO</v>
          </cell>
          <cell r="I1434" t="str">
            <v>FOOD SERVICE</v>
          </cell>
          <cell r="J1434" t="str">
            <v>FLAC 2</v>
          </cell>
          <cell r="K1434" t="str">
            <v>LACTALIS</v>
          </cell>
          <cell r="L1434" t="str">
            <v>RODRIGO</v>
          </cell>
          <cell r="M1434" t="str">
            <v>RAQUEL BARBOSA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  <cell r="H1435" t="str">
            <v>DISTRIBUIÇÃO</v>
          </cell>
          <cell r="I1435" t="str">
            <v>FOOD SERVICE</v>
          </cell>
          <cell r="J1435" t="str">
            <v>FLAC 6</v>
          </cell>
          <cell r="K1435" t="str">
            <v>LACTALIS</v>
          </cell>
          <cell r="L1435" t="str">
            <v>RODRIGO</v>
          </cell>
          <cell r="M1435" t="str">
            <v>RAQUEL BARBOSA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  <cell r="H1436" t="str">
            <v>DISTRIBUIÇÃO</v>
          </cell>
          <cell r="I1436" t="str">
            <v>FOOD SERVICE</v>
          </cell>
          <cell r="J1436" t="str">
            <v>MARCELO DUARTE</v>
          </cell>
          <cell r="K1436" t="str">
            <v>ITAMBÉ</v>
          </cell>
          <cell r="L1436" t="str">
            <v>RODRIGO</v>
          </cell>
          <cell r="M1436" t="str">
            <v>JESSICA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  <cell r="H1437" t="str">
            <v>INGREDIENTS</v>
          </cell>
          <cell r="I1437" t="str">
            <v>INGREDIENTS</v>
          </cell>
          <cell r="J1437" t="str">
            <v>DUAS RODAS</v>
          </cell>
          <cell r="K1437" t="str">
            <v>ITAMBÉ</v>
          </cell>
          <cell r="L1437" t="str">
            <v>MAURICIO</v>
          </cell>
          <cell r="M1437" t="str">
            <v>MARCELO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  <cell r="H1438" t="str">
            <v>INGREDIENTS</v>
          </cell>
          <cell r="I1438" t="str">
            <v>INGREDIENTS</v>
          </cell>
          <cell r="J1438" t="str">
            <v>JOEL ELEOTÉRIO</v>
          </cell>
          <cell r="K1438" t="str">
            <v>ITAMBÉ</v>
          </cell>
          <cell r="L1438" t="str">
            <v>MAURICIO</v>
          </cell>
          <cell r="M1438" t="str">
            <v>JOEL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  <cell r="H1439" t="str">
            <v>DISTRIBUIÇÃO</v>
          </cell>
          <cell r="I1439" t="str">
            <v>FOOD SERVICE</v>
          </cell>
          <cell r="J1439" t="str">
            <v>FLAC 2</v>
          </cell>
          <cell r="K1439" t="str">
            <v>LACTALIS</v>
          </cell>
          <cell r="L1439" t="str">
            <v>RODRIGO</v>
          </cell>
          <cell r="M1439" t="str">
            <v>RAQUEL BARBOSA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  <cell r="H1440" t="str">
            <v>DISTRIBUIÇÃO</v>
          </cell>
          <cell r="I1440" t="str">
            <v>FOOD SERVICE</v>
          </cell>
          <cell r="J1440" t="str">
            <v>CLAUDIO JORGE/LUIZ</v>
          </cell>
          <cell r="K1440" t="str">
            <v>ITAMBÉ</v>
          </cell>
          <cell r="L1440" t="str">
            <v>RODRIGO</v>
          </cell>
          <cell r="M1440" t="str">
            <v>MARIA LOURDES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  <cell r="H1441" t="str">
            <v>DISTRIBUIÇÃO</v>
          </cell>
          <cell r="I1441" t="str">
            <v>FOOD SERVICE</v>
          </cell>
          <cell r="J1441" t="str">
            <v>GUILHERME NASCIMENTO</v>
          </cell>
          <cell r="K1441" t="str">
            <v>ITAMBÉ</v>
          </cell>
          <cell r="L1441" t="str">
            <v>RODRIGO</v>
          </cell>
          <cell r="M1441" t="str">
            <v>ALEXANDRO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  <cell r="H1442" t="str">
            <v>INGREDIENTS</v>
          </cell>
          <cell r="I1442" t="str">
            <v>INGREDIENTS</v>
          </cell>
          <cell r="J1442" t="str">
            <v>MARCELO RODRIGUES</v>
          </cell>
          <cell r="K1442" t="str">
            <v>LACTALIS</v>
          </cell>
          <cell r="L1442" t="str">
            <v>MAURICIO</v>
          </cell>
          <cell r="M1442" t="str">
            <v>MARCELO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  <cell r="H1443" t="str">
            <v>DISTRIBUIÇÃO</v>
          </cell>
          <cell r="I1443" t="str">
            <v>FOOD SERVICE</v>
          </cell>
          <cell r="J1443" t="str">
            <v>FLAC 3</v>
          </cell>
          <cell r="K1443" t="str">
            <v>LACTALIS</v>
          </cell>
          <cell r="L1443" t="str">
            <v>RODRIGO</v>
          </cell>
          <cell r="M1443" t="str">
            <v>RAQUEL BARBOSA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  <cell r="H1444" t="str">
            <v>INGREDIENTS</v>
          </cell>
          <cell r="I1444" t="str">
            <v>INGREDIENTS</v>
          </cell>
          <cell r="J1444" t="str">
            <v>MARCELO RODRIGUES</v>
          </cell>
          <cell r="K1444" t="str">
            <v>LACTALIS</v>
          </cell>
          <cell r="L1444" t="str">
            <v>MAURICIO</v>
          </cell>
          <cell r="M1444" t="str">
            <v>MARCELO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  <cell r="H1445" t="str">
            <v>DISTRIBUIÇÃO</v>
          </cell>
          <cell r="I1445" t="str">
            <v>FOOD SERVICE</v>
          </cell>
          <cell r="J1445" t="str">
            <v>ANGELICA BATISTELA</v>
          </cell>
          <cell r="K1445" t="str">
            <v>ITAMBÉ</v>
          </cell>
          <cell r="L1445" t="str">
            <v>RODRIGO</v>
          </cell>
          <cell r="M1445" t="str">
            <v>ANGELICA BATISTELA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  <cell r="H1446" t="str">
            <v>DISTRIBUIÇÃO</v>
          </cell>
          <cell r="I1446" t="str">
            <v>FOOD SERVICE</v>
          </cell>
          <cell r="J1446" t="str">
            <v>FLAC 2</v>
          </cell>
          <cell r="K1446" t="str">
            <v>LACTALIS</v>
          </cell>
          <cell r="L1446" t="str">
            <v>RODRIGO</v>
          </cell>
          <cell r="M1446" t="str">
            <v>RAQUEL BARBOSA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  <cell r="H1447" t="str">
            <v>DISTRIBUIÇÃO</v>
          </cell>
          <cell r="I1447" t="str">
            <v>FOOD SERVICE</v>
          </cell>
          <cell r="J1447" t="str">
            <v>SP ITB FS FLAC REP.E COMERCIO</v>
          </cell>
          <cell r="K1447" t="str">
            <v>LACTALIS</v>
          </cell>
          <cell r="L1447" t="str">
            <v>RODRIGO</v>
          </cell>
          <cell r="M1447" t="str">
            <v>RAQUEL BARBOSA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  <cell r="H1448" t="str">
            <v>DISTRIBUIÇÃO</v>
          </cell>
          <cell r="I1448" t="str">
            <v>FOOD SERVICE</v>
          </cell>
          <cell r="J1448" t="str">
            <v>SP ITB FS FLAC REP.E COMERCIO</v>
          </cell>
          <cell r="K1448" t="str">
            <v>ITAMBÉ</v>
          </cell>
          <cell r="L1448" t="str">
            <v>RODRIGO</v>
          </cell>
          <cell r="M1448" t="str">
            <v>RAQUEL BARBOSA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  <cell r="H1449" t="str">
            <v>DISTRIBUIÇÃO</v>
          </cell>
          <cell r="I1449" t="str">
            <v>FOOD SERVICE</v>
          </cell>
          <cell r="J1449" t="str">
            <v>MARCELO DUARTE</v>
          </cell>
          <cell r="K1449" t="str">
            <v>ITAMBÉ</v>
          </cell>
          <cell r="L1449" t="str">
            <v>RODRIGO</v>
          </cell>
          <cell r="M1449" t="str">
            <v>JESSICA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  <cell r="H1450" t="str">
            <v>OUTROS</v>
          </cell>
          <cell r="I1450" t="str">
            <v>OUTROS</v>
          </cell>
          <cell r="J1450" t="str">
            <v>ITAMBE - EXPORTACAO</v>
          </cell>
          <cell r="K1450" t="str">
            <v>OUTROS</v>
          </cell>
          <cell r="L1450" t="str">
            <v>OUTROS</v>
          </cell>
          <cell r="M1450" t="str">
            <v>EXPORTAÇÃO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  <cell r="H1451" t="str">
            <v>INGREDIENTS</v>
          </cell>
          <cell r="I1451" t="str">
            <v>INGREDIENTS</v>
          </cell>
          <cell r="J1451" t="str">
            <v>DUAS RODAS</v>
          </cell>
          <cell r="K1451" t="str">
            <v>ITAMBÉ</v>
          </cell>
          <cell r="L1451" t="str">
            <v>MAURICIO</v>
          </cell>
          <cell r="M1451" t="str">
            <v>MARCELO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  <cell r="H1452" t="str">
            <v>DISTRIBUIÇÃO</v>
          </cell>
          <cell r="I1452" t="str">
            <v>FOOD SERVICE</v>
          </cell>
          <cell r="J1452" t="str">
            <v>FLAC 2</v>
          </cell>
          <cell r="K1452" t="str">
            <v>LACTALIS</v>
          </cell>
          <cell r="L1452" t="str">
            <v>RODRIGO</v>
          </cell>
          <cell r="M1452" t="str">
            <v>RAQUEL BARBOSA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  <cell r="H1453" t="str">
            <v>DISTRIBUIÇÃO</v>
          </cell>
          <cell r="I1453" t="str">
            <v>FOOD SERVICE</v>
          </cell>
          <cell r="J1453" t="str">
            <v>FLAC 3</v>
          </cell>
          <cell r="K1453" t="str">
            <v>LACTALIS</v>
          </cell>
          <cell r="L1453" t="str">
            <v>RODRIGO</v>
          </cell>
          <cell r="M1453" t="str">
            <v>RAQUEL BARBOSA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  <cell r="H1454" t="str">
            <v>DISTRIBUIÇÃO</v>
          </cell>
          <cell r="I1454" t="str">
            <v>FOOD SERVICE</v>
          </cell>
          <cell r="J1454" t="str">
            <v>FLAC 2</v>
          </cell>
          <cell r="K1454" t="str">
            <v>LACTALIS</v>
          </cell>
          <cell r="L1454" t="str">
            <v>RODRIGO</v>
          </cell>
          <cell r="M1454" t="str">
            <v>RAQUEL BARBOSA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  <cell r="H1455" t="str">
            <v>DISTRIBUIÇÃO</v>
          </cell>
          <cell r="I1455" t="str">
            <v>FOOD SERVICE</v>
          </cell>
          <cell r="J1455" t="str">
            <v>FLAC 6</v>
          </cell>
          <cell r="K1455" t="str">
            <v>LACTALIS</v>
          </cell>
          <cell r="L1455" t="str">
            <v>RODRIGO</v>
          </cell>
          <cell r="M1455" t="str">
            <v>RAQUEL BARBOSA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  <cell r="H1456" t="str">
            <v>DISTRIBUIÇÃO</v>
          </cell>
          <cell r="I1456" t="str">
            <v>FOOD SERVICE</v>
          </cell>
          <cell r="J1456" t="str">
            <v>FLAC 1</v>
          </cell>
          <cell r="K1456" t="str">
            <v>LACTALIS</v>
          </cell>
          <cell r="L1456" t="str">
            <v>RODRIGO</v>
          </cell>
          <cell r="M1456" t="str">
            <v>RAQUEL BARBOSA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  <cell r="H1457" t="str">
            <v>DISTRIBUIÇÃO</v>
          </cell>
          <cell r="I1457" t="str">
            <v>FOOD SERVICE</v>
          </cell>
          <cell r="J1457" t="str">
            <v>FLAC 5</v>
          </cell>
          <cell r="K1457" t="str">
            <v>LACTALIS</v>
          </cell>
          <cell r="L1457" t="str">
            <v>RODRIGO</v>
          </cell>
          <cell r="M1457" t="str">
            <v>RAQUEL BARBOSA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  <cell r="H1458" t="str">
            <v>DISTRIBUIÇÃO</v>
          </cell>
          <cell r="I1458" t="str">
            <v>FOOD SERVICE</v>
          </cell>
          <cell r="J1458" t="str">
            <v>FLAC 6</v>
          </cell>
          <cell r="K1458" t="str">
            <v>LACTALIS</v>
          </cell>
          <cell r="L1458" t="str">
            <v>RODRIGO</v>
          </cell>
          <cell r="M1458" t="str">
            <v>RAQUEL BARBOSA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  <cell r="H1459" t="str">
            <v>DISTRIBUIÇÃO</v>
          </cell>
          <cell r="I1459" t="str">
            <v>FOOD SERVICE</v>
          </cell>
          <cell r="J1459" t="str">
            <v>FLAC 4</v>
          </cell>
          <cell r="K1459" t="str">
            <v>LACTALIS</v>
          </cell>
          <cell r="L1459" t="str">
            <v>RODRIGO</v>
          </cell>
          <cell r="M1459" t="str">
            <v>RAQUEL BARBOSA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  <cell r="H1460" t="str">
            <v>INGREDIENTS</v>
          </cell>
          <cell r="I1460" t="str">
            <v>INGREDIENTS</v>
          </cell>
          <cell r="J1460" t="str">
            <v>JOEL ELEOTÉRIO</v>
          </cell>
          <cell r="K1460" t="str">
            <v>LACTALIS</v>
          </cell>
          <cell r="L1460" t="str">
            <v>MAURICIO</v>
          </cell>
          <cell r="M1460" t="str">
            <v>JOEL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  <cell r="H1461" t="str">
            <v>INGREDIENTS</v>
          </cell>
          <cell r="I1461" t="str">
            <v>INGREDIENTS</v>
          </cell>
          <cell r="J1461" t="str">
            <v>MARCELO RODRIGUES</v>
          </cell>
          <cell r="K1461" t="str">
            <v>LACTALIS</v>
          </cell>
          <cell r="L1461" t="str">
            <v>MAURICIO</v>
          </cell>
          <cell r="M1461" t="str">
            <v>MARCELO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  <cell r="H1462" t="str">
            <v>INGREDIENTS</v>
          </cell>
          <cell r="I1462" t="str">
            <v>INGREDIENTS</v>
          </cell>
          <cell r="J1462" t="str">
            <v>DUAS RODAS</v>
          </cell>
          <cell r="K1462" t="str">
            <v>ITAMBÉ</v>
          </cell>
          <cell r="L1462" t="str">
            <v>MAURICIO</v>
          </cell>
          <cell r="M1462" t="str">
            <v>MARCELO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  <cell r="H1463" t="str">
            <v>DISTRIBUIÇÃO</v>
          </cell>
          <cell r="I1463" t="str">
            <v>FOOD SERVICE</v>
          </cell>
          <cell r="J1463" t="str">
            <v>FLAC 2</v>
          </cell>
          <cell r="K1463" t="str">
            <v>LACTALIS</v>
          </cell>
          <cell r="L1463" t="str">
            <v>RODRIGO</v>
          </cell>
          <cell r="M1463" t="str">
            <v>RAQUEL BARBOSA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  <cell r="H1464" t="str">
            <v>INGREDIENTS</v>
          </cell>
          <cell r="I1464" t="str">
            <v>INGREDIENTS</v>
          </cell>
          <cell r="J1464" t="str">
            <v>JOEL ELEOTÉRIO</v>
          </cell>
          <cell r="K1464" t="str">
            <v>LACTALIS</v>
          </cell>
          <cell r="L1464" t="str">
            <v>MAURICIO</v>
          </cell>
          <cell r="M1464" t="str">
            <v>JOEL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  <cell r="H1465" t="str">
            <v>DISTRIBUIÇÃO</v>
          </cell>
          <cell r="I1465" t="str">
            <v>FOOD SERVICE</v>
          </cell>
          <cell r="J1465" t="str">
            <v>FLAC 2</v>
          </cell>
          <cell r="K1465" t="str">
            <v>LACTALIS</v>
          </cell>
          <cell r="L1465" t="str">
            <v>RODRIGO</v>
          </cell>
          <cell r="M1465" t="str">
            <v>RAQUEL BARBOSA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  <cell r="H1466" t="str">
            <v>INGREDIENTS</v>
          </cell>
          <cell r="I1466" t="str">
            <v>INGREDIENTS</v>
          </cell>
          <cell r="J1466" t="str">
            <v>MARCELO RODRIGUES</v>
          </cell>
          <cell r="K1466" t="str">
            <v>LACTALIS</v>
          </cell>
          <cell r="L1466" t="str">
            <v>MAURICIO</v>
          </cell>
          <cell r="M1466" t="str">
            <v>MARCELO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  <cell r="H1467" t="str">
            <v>INGREDIENTS</v>
          </cell>
          <cell r="I1467" t="str">
            <v>INGREDIENTS</v>
          </cell>
          <cell r="J1467" t="str">
            <v>MARCELO RODRIGUES</v>
          </cell>
          <cell r="K1467" t="str">
            <v>LACTALIS</v>
          </cell>
          <cell r="L1467" t="str">
            <v>MAURICIO</v>
          </cell>
          <cell r="M1467" t="str">
            <v>MARCELO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  <cell r="H1468" t="str">
            <v>DISTRIBUIÇÃO</v>
          </cell>
          <cell r="I1468" t="str">
            <v>FOOD SERVICE</v>
          </cell>
          <cell r="J1468" t="str">
            <v>FLAC 6</v>
          </cell>
          <cell r="K1468" t="str">
            <v>LACTALIS</v>
          </cell>
          <cell r="L1468" t="str">
            <v>RODRIGO</v>
          </cell>
          <cell r="M1468" t="str">
            <v>RAQUEL BARBOSA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  <cell r="H1469" t="str">
            <v>DISTRIBUIÇÃO</v>
          </cell>
          <cell r="I1469" t="str">
            <v>FOOD SERVICE</v>
          </cell>
          <cell r="J1469" t="str">
            <v>FLAC 6</v>
          </cell>
          <cell r="K1469" t="str">
            <v>LACTALIS</v>
          </cell>
          <cell r="L1469" t="str">
            <v>RODRIGO</v>
          </cell>
          <cell r="M1469" t="str">
            <v>RAQUEL BARBOSA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  <cell r="H1470" t="str">
            <v>DISTRIBUIÇÃO</v>
          </cell>
          <cell r="I1470" t="str">
            <v>FOOD SERVICE</v>
          </cell>
          <cell r="J1470" t="str">
            <v>MARCELO DUARTE</v>
          </cell>
          <cell r="K1470" t="str">
            <v>LACTALIS</v>
          </cell>
          <cell r="L1470" t="str">
            <v>RODRIGO</v>
          </cell>
          <cell r="M1470" t="str">
            <v>JESSICA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  <cell r="H1471" t="str">
            <v>DISTRIBUIÇÃO</v>
          </cell>
          <cell r="I1471" t="str">
            <v>FOOD SERVICE</v>
          </cell>
          <cell r="J1471" t="str">
            <v>FLAC 2</v>
          </cell>
          <cell r="K1471" t="str">
            <v>LACTALIS</v>
          </cell>
          <cell r="L1471" t="str">
            <v>RODRIGO</v>
          </cell>
          <cell r="M1471" t="str">
            <v>RAQUEL BARBOSA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  <cell r="H1472" t="str">
            <v>DISTRIBUIÇÃO</v>
          </cell>
          <cell r="I1472" t="str">
            <v>FOOD SERVICE</v>
          </cell>
          <cell r="J1472" t="str">
            <v>FLAC 2</v>
          </cell>
          <cell r="K1472" t="str">
            <v>LACTALIS</v>
          </cell>
          <cell r="L1472" t="str">
            <v>RODRIGO</v>
          </cell>
          <cell r="M1472" t="str">
            <v>RAQUEL BARBOSA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  <cell r="H1473" t="str">
            <v>DISTRIBUIÇÃO</v>
          </cell>
          <cell r="I1473" t="str">
            <v>FOOD SERVICE</v>
          </cell>
          <cell r="J1473" t="str">
            <v>FLAC 2</v>
          </cell>
          <cell r="K1473" t="str">
            <v>LACTALIS</v>
          </cell>
          <cell r="L1473" t="str">
            <v>RODRIGO</v>
          </cell>
          <cell r="M1473" t="str">
            <v>RAQUEL BARBOSA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  <cell r="H1474" t="str">
            <v>DISTRIBUIÇÃO</v>
          </cell>
          <cell r="I1474" t="str">
            <v>FOOD SERVICE</v>
          </cell>
          <cell r="J1474" t="str">
            <v>FLAC 3</v>
          </cell>
          <cell r="K1474" t="str">
            <v>LACTALIS</v>
          </cell>
          <cell r="L1474" t="str">
            <v>RODRIGO</v>
          </cell>
          <cell r="M1474" t="str">
            <v>RAQUEL BARBOSA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  <cell r="H1475" t="str">
            <v>QSR</v>
          </cell>
          <cell r="I1475" t="str">
            <v>FOOD SERVICE</v>
          </cell>
          <cell r="J1475" t="str">
            <v>VAGO QSR</v>
          </cell>
          <cell r="K1475" t="str">
            <v>ITAMBÉ</v>
          </cell>
          <cell r="L1475" t="str">
            <v>PEDRO</v>
          </cell>
          <cell r="M1475" t="str">
            <v>VAGO QSR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  <cell r="H1476" t="str">
            <v>INGREDIENTS</v>
          </cell>
          <cell r="I1476" t="str">
            <v>INGREDIENTS</v>
          </cell>
          <cell r="J1476" t="str">
            <v>JOEL ELEOTÉRIO</v>
          </cell>
          <cell r="K1476" t="str">
            <v>ITAMBÉ</v>
          </cell>
          <cell r="L1476" t="str">
            <v>MAURICIO</v>
          </cell>
          <cell r="M1476" t="str">
            <v>JOEL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  <cell r="H1477" t="str">
            <v>INGREDIENTS</v>
          </cell>
          <cell r="I1477" t="str">
            <v>INGREDIENTS</v>
          </cell>
          <cell r="J1477" t="str">
            <v>DUAS RODAS</v>
          </cell>
          <cell r="K1477" t="str">
            <v>ITAMBÉ</v>
          </cell>
          <cell r="L1477" t="str">
            <v>MAURICIO</v>
          </cell>
          <cell r="M1477" t="str">
            <v>TATIANA NITTA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  <cell r="H1478" t="str">
            <v>DISTRIBUIÇÃO</v>
          </cell>
          <cell r="I1478" t="str">
            <v>FOOD SERVICE</v>
          </cell>
          <cell r="J1478" t="str">
            <v>FLAC 3</v>
          </cell>
          <cell r="K1478" t="str">
            <v>LACTALIS</v>
          </cell>
          <cell r="L1478" t="str">
            <v>RODRIGO</v>
          </cell>
          <cell r="M1478" t="str">
            <v>RAQUEL BARBOSA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  <cell r="H1479" t="str">
            <v>DISTRIBUIÇÃO</v>
          </cell>
          <cell r="I1479" t="str">
            <v>FOOD SERVICE</v>
          </cell>
          <cell r="J1479" t="str">
            <v>ANGELICA BATISTELA</v>
          </cell>
          <cell r="K1479" t="str">
            <v>LACTALIS</v>
          </cell>
          <cell r="L1479" t="str">
            <v>RODRIGO</v>
          </cell>
          <cell r="M1479" t="str">
            <v>ANGELICA BATISTELA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  <cell r="H1480" t="str">
            <v>INGREDIENTS</v>
          </cell>
          <cell r="I1480" t="str">
            <v>INGREDIENTS</v>
          </cell>
          <cell r="J1480" t="str">
            <v>DUAS RODAS</v>
          </cell>
          <cell r="K1480" t="str">
            <v>ITAMBÉ</v>
          </cell>
          <cell r="L1480" t="str">
            <v>MAURICIO</v>
          </cell>
          <cell r="M1480" t="str">
            <v>MARCELO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  <cell r="H1481" t="str">
            <v>DISTRIBUIÇÃO</v>
          </cell>
          <cell r="I1481" t="str">
            <v>FOOD SERVICE</v>
          </cell>
          <cell r="J1481" t="str">
            <v>CLAUDIO JORGE</v>
          </cell>
          <cell r="K1481" t="str">
            <v>LACTALIS</v>
          </cell>
          <cell r="L1481" t="str">
            <v>RODRIGO</v>
          </cell>
          <cell r="M1481" t="str">
            <v>MARIA LOURDES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  <cell r="H1482" t="str">
            <v>DISTRIBUIÇÃO</v>
          </cell>
          <cell r="I1482" t="str">
            <v>FOOD SERVICE</v>
          </cell>
          <cell r="J1482" t="str">
            <v>FLAC 1</v>
          </cell>
          <cell r="K1482" t="str">
            <v>LACTALIS</v>
          </cell>
          <cell r="L1482" t="str">
            <v>RODRIGO</v>
          </cell>
          <cell r="M1482" t="str">
            <v>RAQUEL BARBOSA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  <cell r="H1483" t="str">
            <v>DISTRIBUIÇÃO</v>
          </cell>
          <cell r="I1483" t="str">
            <v>FOOD SERVICE</v>
          </cell>
          <cell r="J1483" t="str">
            <v>FLAC 3</v>
          </cell>
          <cell r="K1483" t="str">
            <v>LACTALIS</v>
          </cell>
          <cell r="L1483" t="str">
            <v>RODRIGO</v>
          </cell>
          <cell r="M1483" t="str">
            <v>RAQUEL BARBOSA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  <cell r="H1484" t="str">
            <v>DISTRIBUIÇÃO</v>
          </cell>
          <cell r="I1484" t="str">
            <v>FOOD SERVICE</v>
          </cell>
          <cell r="J1484" t="str">
            <v>LUCIANA MARTINS</v>
          </cell>
          <cell r="K1484" t="str">
            <v>LACTALIS</v>
          </cell>
          <cell r="L1484" t="str">
            <v>RODRIGO</v>
          </cell>
          <cell r="M1484" t="str">
            <v>JESSICA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  <cell r="H1485" t="str">
            <v>DISTRIBUIÇÃO</v>
          </cell>
          <cell r="I1485" t="str">
            <v>FOOD SERVICE</v>
          </cell>
          <cell r="J1485" t="str">
            <v>FLAC 4</v>
          </cell>
          <cell r="K1485" t="str">
            <v>LACTALIS</v>
          </cell>
          <cell r="L1485" t="str">
            <v>RODRIGO</v>
          </cell>
          <cell r="M1485" t="str">
            <v>RAQUEL BARBOSA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  <cell r="H1486" t="str">
            <v>DISTRIBUIÇÃO</v>
          </cell>
          <cell r="I1486" t="str">
            <v>FOOD SERVICE</v>
          </cell>
          <cell r="J1486" t="str">
            <v>FLAC 2</v>
          </cell>
          <cell r="K1486" t="str">
            <v>LACTALIS</v>
          </cell>
          <cell r="L1486" t="str">
            <v>RODRIGO</v>
          </cell>
          <cell r="M1486" t="str">
            <v>RAQUEL BARBOSA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  <cell r="H1487" t="str">
            <v>DISTRIBUIÇÃO</v>
          </cell>
          <cell r="I1487" t="str">
            <v>FOOD SERVICE</v>
          </cell>
          <cell r="J1487" t="str">
            <v>FLAC 6</v>
          </cell>
          <cell r="K1487" t="str">
            <v>LACTALIS</v>
          </cell>
          <cell r="L1487" t="str">
            <v>RODRIGO</v>
          </cell>
          <cell r="M1487" t="str">
            <v>RAQUEL BARBOSA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  <cell r="H1488" t="str">
            <v>INGREDIENTS</v>
          </cell>
          <cell r="I1488" t="str">
            <v>INGREDIENTS</v>
          </cell>
          <cell r="J1488" t="str">
            <v>DUAS RODAS</v>
          </cell>
          <cell r="K1488" t="str">
            <v>ITAMBÉ</v>
          </cell>
          <cell r="L1488" t="str">
            <v>MAURICIO</v>
          </cell>
          <cell r="M1488" t="str">
            <v>MARCELO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  <cell r="H1489" t="str">
            <v>QSR</v>
          </cell>
          <cell r="I1489" t="str">
            <v>FOOD SERVICE</v>
          </cell>
          <cell r="J1489" t="str">
            <v>ANA MENIQUETE</v>
          </cell>
          <cell r="K1489" t="str">
            <v>LACTALIS</v>
          </cell>
          <cell r="L1489" t="str">
            <v>PEDRO</v>
          </cell>
          <cell r="M1489" t="str">
            <v>ANA MENIQUETE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  <cell r="H1490" t="str">
            <v>QSR</v>
          </cell>
          <cell r="I1490" t="str">
            <v>FOOD SERVICE</v>
          </cell>
          <cell r="J1490" t="str">
            <v>NUTRI</v>
          </cell>
          <cell r="K1490" t="str">
            <v>LACTALIS</v>
          </cell>
          <cell r="L1490" t="str">
            <v>PEDRO</v>
          </cell>
          <cell r="M1490" t="str">
            <v>VAGO QSR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  <cell r="H1491" t="str">
            <v>DISTRIBUIÇÃO</v>
          </cell>
          <cell r="I1491" t="str">
            <v>FOOD SERVICE</v>
          </cell>
          <cell r="J1491" t="str">
            <v>MARCELO DUARTE</v>
          </cell>
          <cell r="K1491" t="str">
            <v>LACTALIS</v>
          </cell>
          <cell r="L1491" t="str">
            <v>RODRIGO</v>
          </cell>
          <cell r="M1491" t="str">
            <v>JESSICA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  <cell r="H1492" t="str">
            <v>DISTRIBUIÇÃO</v>
          </cell>
          <cell r="I1492" t="str">
            <v>FOOD SERVICE</v>
          </cell>
          <cell r="J1492" t="str">
            <v>WH FOOD SERVICE CE</v>
          </cell>
          <cell r="K1492" t="str">
            <v>ITAMBÉ</v>
          </cell>
          <cell r="L1492" t="str">
            <v>RODRIGO</v>
          </cell>
          <cell r="M1492" t="str">
            <v>MARIA LOURDES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  <cell r="H1493" t="str">
            <v>DISTRIBUIÇÃO</v>
          </cell>
          <cell r="I1493" t="str">
            <v>FOOD SERVICE</v>
          </cell>
          <cell r="J1493" t="str">
            <v>JESSICA CARLA</v>
          </cell>
          <cell r="K1493" t="str">
            <v>LACTALIS</v>
          </cell>
          <cell r="L1493" t="str">
            <v>RODRIGO</v>
          </cell>
          <cell r="M1493" t="str">
            <v>JESSICA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  <cell r="H1494" t="str">
            <v>DISTRIBUIÇÃO</v>
          </cell>
          <cell r="I1494" t="str">
            <v>FOOD SERVICE</v>
          </cell>
          <cell r="J1494" t="str">
            <v>LUCIANA MARTINS</v>
          </cell>
          <cell r="K1494" t="str">
            <v>LACTALIS</v>
          </cell>
          <cell r="L1494" t="str">
            <v>RODRIGO</v>
          </cell>
          <cell r="M1494" t="str">
            <v>JESSICA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  <cell r="H1495" t="str">
            <v>QSR</v>
          </cell>
          <cell r="I1495" t="str">
            <v>FOOD SERVICE</v>
          </cell>
          <cell r="J1495" t="str">
            <v>NUTRI</v>
          </cell>
          <cell r="K1495" t="str">
            <v>LACTALIS</v>
          </cell>
          <cell r="L1495" t="str">
            <v>PEDRO</v>
          </cell>
          <cell r="M1495" t="str">
            <v>VAGO QSR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  <cell r="H1496" t="str">
            <v>QSR</v>
          </cell>
          <cell r="I1496" t="str">
            <v>FOOD SERVICE</v>
          </cell>
          <cell r="J1496" t="str">
            <v>NUTRI</v>
          </cell>
          <cell r="K1496" t="str">
            <v>LACTALIS</v>
          </cell>
          <cell r="L1496" t="str">
            <v>PEDRO</v>
          </cell>
          <cell r="M1496" t="str">
            <v>VAGO QSR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  <cell r="H1497" t="str">
            <v>DISTRIBUIÇÃO</v>
          </cell>
          <cell r="I1497" t="str">
            <v>FOOD SERVICE</v>
          </cell>
          <cell r="J1497" t="str">
            <v>LUCIANA MARTINS</v>
          </cell>
          <cell r="K1497" t="str">
            <v>LACTALIS</v>
          </cell>
          <cell r="L1497" t="str">
            <v>RODRIGO</v>
          </cell>
          <cell r="M1497" t="str">
            <v>JESSICA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  <cell r="H1498" t="str">
            <v>DISTRIBUIÇÃO</v>
          </cell>
          <cell r="I1498" t="str">
            <v>FOOD SERVICE</v>
          </cell>
          <cell r="J1498" t="str">
            <v>FLAC 3</v>
          </cell>
          <cell r="K1498" t="str">
            <v>LACTALIS</v>
          </cell>
          <cell r="L1498" t="str">
            <v>RODRIGO</v>
          </cell>
          <cell r="M1498" t="str">
            <v>RAQUEL BARBOSA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  <cell r="H1499" t="str">
            <v>QSR</v>
          </cell>
          <cell r="I1499" t="str">
            <v>FOOD SERVICE</v>
          </cell>
          <cell r="J1499" t="str">
            <v>NUTRI</v>
          </cell>
          <cell r="K1499" t="str">
            <v>LACTALIS</v>
          </cell>
          <cell r="L1499" t="str">
            <v>PEDRO</v>
          </cell>
          <cell r="M1499" t="str">
            <v>VAGO QSR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  <cell r="H1500" t="str">
            <v>DISTRIBUIÇÃO</v>
          </cell>
          <cell r="I1500" t="str">
            <v>FOOD SERVICE</v>
          </cell>
          <cell r="J1500" t="str">
            <v>FLAC 5</v>
          </cell>
          <cell r="K1500" t="str">
            <v>LACTALIS</v>
          </cell>
          <cell r="L1500" t="str">
            <v>RODRIGO</v>
          </cell>
          <cell r="M1500" t="str">
            <v>RAQUEL BARBOSA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  <cell r="H1501" t="str">
            <v>DISTRIBUIÇÃO</v>
          </cell>
          <cell r="I1501" t="str">
            <v>FOOD SERVICE</v>
          </cell>
          <cell r="J1501" t="str">
            <v>ANGELICA BATISTELA</v>
          </cell>
          <cell r="K1501" t="str">
            <v>LACTALIS</v>
          </cell>
          <cell r="L1501" t="str">
            <v>RODRIGO</v>
          </cell>
          <cell r="M1501" t="str">
            <v>ANGELICA BATISTELA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  <cell r="H1502" t="str">
            <v>INGREDIENTS</v>
          </cell>
          <cell r="I1502" t="str">
            <v>INGREDIENTS</v>
          </cell>
          <cell r="J1502" t="str">
            <v>HENRIQUE FERREIRA</v>
          </cell>
          <cell r="K1502" t="str">
            <v>ITAMBÉ</v>
          </cell>
          <cell r="L1502" t="str">
            <v>MAURICIO</v>
          </cell>
          <cell r="M1502" t="str">
            <v>JOEL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  <cell r="H1503" t="str">
            <v>DISTRIBUIÇÃO</v>
          </cell>
          <cell r="I1503" t="str">
            <v>FOOD SERVICE</v>
          </cell>
          <cell r="J1503" t="str">
            <v>FLAC 6</v>
          </cell>
          <cell r="K1503" t="str">
            <v>LACTALIS</v>
          </cell>
          <cell r="L1503" t="str">
            <v>RODRIGO</v>
          </cell>
          <cell r="M1503" t="str">
            <v>RAQUEL BARBOSA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  <cell r="H1504" t="str">
            <v>DISTRIBUIÇÃO</v>
          </cell>
          <cell r="I1504" t="str">
            <v>FOOD SERVICE</v>
          </cell>
          <cell r="J1504" t="str">
            <v>FLAC 4</v>
          </cell>
          <cell r="K1504" t="str">
            <v>LACTALIS</v>
          </cell>
          <cell r="L1504" t="str">
            <v>RODRIGO</v>
          </cell>
          <cell r="M1504" t="str">
            <v>RAQUEL BARBOSA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  <cell r="H1505" t="str">
            <v>DISTRIBUIÇÃO</v>
          </cell>
          <cell r="I1505" t="str">
            <v>FOOD SERVICE</v>
          </cell>
          <cell r="J1505" t="str">
            <v>LUCIANA MARTINS</v>
          </cell>
          <cell r="K1505" t="str">
            <v>LACTALIS</v>
          </cell>
          <cell r="L1505" t="str">
            <v>RODRIGO</v>
          </cell>
          <cell r="M1505" t="str">
            <v>JESSICA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  <cell r="H1506" t="str">
            <v>DISTRIBUIÇÃO</v>
          </cell>
          <cell r="I1506" t="str">
            <v>FOOD SERVICE</v>
          </cell>
          <cell r="J1506" t="str">
            <v>MARCELO DUARTE</v>
          </cell>
          <cell r="K1506" t="str">
            <v>ITAMBÉ</v>
          </cell>
          <cell r="L1506" t="str">
            <v>RODRIGO</v>
          </cell>
          <cell r="M1506" t="str">
            <v>JESSICA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  <cell r="H1507" t="str">
            <v>INGREDIENTS</v>
          </cell>
          <cell r="I1507" t="str">
            <v>INGREDIENTS</v>
          </cell>
          <cell r="J1507" t="str">
            <v>ES ITB FS RADTKE REPRES</v>
          </cell>
          <cell r="K1507" t="str">
            <v>ITAMBÉ</v>
          </cell>
          <cell r="L1507" t="str">
            <v>MAURICIO</v>
          </cell>
          <cell r="M1507" t="str">
            <v>JOEL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  <cell r="H1508" t="str">
            <v>INGREDIENTS</v>
          </cell>
          <cell r="I1508" t="str">
            <v>INGREDIENTS</v>
          </cell>
          <cell r="J1508" t="str">
            <v>TATIANA NITTA</v>
          </cell>
          <cell r="K1508" t="str">
            <v>ITAMBÉ</v>
          </cell>
          <cell r="L1508" t="str">
            <v>MAURICIO</v>
          </cell>
          <cell r="M1508" t="str">
            <v>TATIANA NITTA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  <cell r="H1509" t="str">
            <v>INGREDIENTS</v>
          </cell>
          <cell r="I1509" t="str">
            <v>INGREDIENTS</v>
          </cell>
          <cell r="J1509" t="str">
            <v>JOEL ELEOTÉRIO</v>
          </cell>
          <cell r="K1509" t="str">
            <v>LACTALIS</v>
          </cell>
          <cell r="L1509" t="str">
            <v>MAURICIO</v>
          </cell>
          <cell r="M1509" t="str">
            <v>JOEL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  <cell r="H1510" t="str">
            <v>DISTRIBUIÇÃO</v>
          </cell>
          <cell r="I1510" t="str">
            <v>FOOD SERVICE</v>
          </cell>
          <cell r="J1510" t="str">
            <v>FLAC 6</v>
          </cell>
          <cell r="K1510" t="str">
            <v>LACTALIS</v>
          </cell>
          <cell r="L1510" t="str">
            <v>RODRIGO</v>
          </cell>
          <cell r="M1510" t="str">
            <v>RAQUEL BARBOSA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  <cell r="H1511" t="str">
            <v>DISTRIBUIÇÃO</v>
          </cell>
          <cell r="I1511" t="str">
            <v>FOOD SERVICE</v>
          </cell>
          <cell r="J1511" t="str">
            <v>FLAC 6</v>
          </cell>
          <cell r="K1511" t="str">
            <v>LACTALIS</v>
          </cell>
          <cell r="L1511" t="str">
            <v>RODRIGO</v>
          </cell>
          <cell r="M1511" t="str">
            <v>RAQUEL BARBOSA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  <cell r="H1512" t="str">
            <v>QSR</v>
          </cell>
          <cell r="I1512" t="str">
            <v>FOOD SERVICE</v>
          </cell>
          <cell r="J1512" t="str">
            <v>NUTRI</v>
          </cell>
          <cell r="K1512" t="str">
            <v>ITAMBÉ</v>
          </cell>
          <cell r="L1512" t="str">
            <v>PEDRO</v>
          </cell>
          <cell r="M1512" t="str">
            <v>VAGO QSR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  <cell r="H1513" t="str">
            <v>DISTRIBUIÇÃO</v>
          </cell>
          <cell r="I1513" t="str">
            <v>FOOD SERVICE</v>
          </cell>
          <cell r="J1513" t="str">
            <v>MARCELO DUARTE</v>
          </cell>
          <cell r="K1513" t="str">
            <v>ITAMBÉ</v>
          </cell>
          <cell r="L1513" t="str">
            <v>RODRIGO</v>
          </cell>
          <cell r="M1513" t="str">
            <v>JESSICA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  <cell r="H1514" t="str">
            <v>INGREDIENTS</v>
          </cell>
          <cell r="I1514" t="str">
            <v>INGREDIENTS</v>
          </cell>
          <cell r="J1514" t="str">
            <v>MARCELO RODRIGUES</v>
          </cell>
          <cell r="K1514" t="str">
            <v>LACTALIS</v>
          </cell>
          <cell r="L1514" t="str">
            <v>MAURICIO</v>
          </cell>
          <cell r="M1514" t="str">
            <v>MARCELO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  <cell r="H1515" t="str">
            <v>QSR</v>
          </cell>
          <cell r="I1515" t="str">
            <v>FOOD SERVICE</v>
          </cell>
          <cell r="J1515" t="str">
            <v>NUTRI</v>
          </cell>
          <cell r="K1515" t="str">
            <v>ITAMBÉ</v>
          </cell>
          <cell r="L1515" t="str">
            <v>PEDRO</v>
          </cell>
          <cell r="M1515" t="str">
            <v>VAGO QSR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  <cell r="H1516" t="str">
            <v>INGREDIENTS</v>
          </cell>
          <cell r="I1516" t="str">
            <v>INGREDIENTS</v>
          </cell>
          <cell r="J1516" t="str">
            <v>HENRIQUE FERREIRA</v>
          </cell>
          <cell r="K1516" t="str">
            <v>ITAMBÉ</v>
          </cell>
          <cell r="L1516" t="str">
            <v>MAURICIO</v>
          </cell>
          <cell r="M1516" t="str">
            <v>JOEL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  <cell r="H1517" t="str">
            <v>INGREDIENTS</v>
          </cell>
          <cell r="I1517" t="str">
            <v>INGREDIENTS</v>
          </cell>
          <cell r="J1517" t="str">
            <v>TATIANA NITTA</v>
          </cell>
          <cell r="K1517" t="str">
            <v>ITAMBÉ</v>
          </cell>
          <cell r="L1517" t="str">
            <v>MAURICIO</v>
          </cell>
          <cell r="M1517" t="str">
            <v>TATIANA NITTA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  <cell r="H1518" t="str">
            <v>INGREDIENTS</v>
          </cell>
          <cell r="I1518" t="str">
            <v>INGREDIENTS</v>
          </cell>
          <cell r="J1518" t="str">
            <v>JOEL ELEOTÉRIO</v>
          </cell>
          <cell r="K1518" t="str">
            <v>ITAMBÉ</v>
          </cell>
          <cell r="L1518" t="str">
            <v>MAURICIO</v>
          </cell>
          <cell r="M1518" t="str">
            <v>JOEL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  <cell r="H1519" t="str">
            <v>INGREDIENTS</v>
          </cell>
          <cell r="I1519" t="str">
            <v>INGREDIENTS</v>
          </cell>
          <cell r="J1519" t="str">
            <v>DUAS RODAS</v>
          </cell>
          <cell r="K1519" t="str">
            <v>ITAMBÉ</v>
          </cell>
          <cell r="L1519" t="str">
            <v>MAURICIO</v>
          </cell>
          <cell r="M1519" t="str">
            <v>MARCELO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  <cell r="H1520" t="str">
            <v>INGREDIENTS</v>
          </cell>
          <cell r="I1520" t="str">
            <v>INGREDIENTS</v>
          </cell>
          <cell r="J1520" t="str">
            <v>DUAS RODAS</v>
          </cell>
          <cell r="K1520" t="str">
            <v>ITAMBÉ</v>
          </cell>
          <cell r="L1520" t="str">
            <v>MAURICIO</v>
          </cell>
          <cell r="M1520" t="str">
            <v>MARCELO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  <cell r="H1521" t="str">
            <v>INGREDIENTS</v>
          </cell>
          <cell r="I1521" t="str">
            <v>INGREDIENTS</v>
          </cell>
          <cell r="J1521" t="str">
            <v>JOEL ELEOTÉRIO</v>
          </cell>
          <cell r="K1521" t="str">
            <v>LACTALIS</v>
          </cell>
          <cell r="L1521" t="str">
            <v>MAURICIO</v>
          </cell>
          <cell r="M1521" t="str">
            <v>JOEL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  <cell r="H1522" t="str">
            <v>QSR</v>
          </cell>
          <cell r="I1522" t="str">
            <v>FOOD SERVICE</v>
          </cell>
          <cell r="J1522" t="str">
            <v>ANA MENIQUETE</v>
          </cell>
          <cell r="K1522" t="str">
            <v>LACTALIS</v>
          </cell>
          <cell r="L1522" t="str">
            <v>PEDRO</v>
          </cell>
          <cell r="M1522" t="str">
            <v>ANA MENIQUETE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  <cell r="H1523" t="str">
            <v>DISTRIBUIÇÃO</v>
          </cell>
          <cell r="I1523" t="str">
            <v>FOOD SERVICE</v>
          </cell>
          <cell r="J1523" t="str">
            <v>LUCIANA MARTINS</v>
          </cell>
          <cell r="K1523" t="str">
            <v>ITAMBÉ</v>
          </cell>
          <cell r="L1523" t="str">
            <v>RODRIGO</v>
          </cell>
          <cell r="M1523" t="str">
            <v>JESSICA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  <cell r="H1524" t="str">
            <v>INGREDIENTS</v>
          </cell>
          <cell r="I1524" t="str">
            <v>INGREDIENTS</v>
          </cell>
          <cell r="J1524" t="str">
            <v>DUAS RODAS</v>
          </cell>
          <cell r="K1524" t="str">
            <v>ITAMBÉ</v>
          </cell>
          <cell r="L1524" t="str">
            <v>MAURICIO</v>
          </cell>
          <cell r="M1524" t="str">
            <v>MARCELO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  <cell r="H1525" t="str">
            <v>DISTRIBUIÇÃO</v>
          </cell>
          <cell r="I1525" t="str">
            <v>FOOD SERVICE</v>
          </cell>
          <cell r="J1525" t="str">
            <v>FLAC 7</v>
          </cell>
          <cell r="K1525" t="str">
            <v>LACTALIS</v>
          </cell>
          <cell r="L1525" t="str">
            <v>RODRIGO</v>
          </cell>
          <cell r="M1525" t="str">
            <v>RAQUEL BARBOSA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  <cell r="H1526" t="str">
            <v>INGREDIENTS</v>
          </cell>
          <cell r="I1526" t="str">
            <v>INGREDIENTS</v>
          </cell>
          <cell r="J1526" t="str">
            <v>RJ ITB FS CDR REPRESENTAÇÕES</v>
          </cell>
          <cell r="K1526" t="str">
            <v>ITAMBÉ</v>
          </cell>
          <cell r="L1526" t="str">
            <v>MAURICIO</v>
          </cell>
          <cell r="M1526" t="str">
            <v>TATIANA NITTA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  <cell r="H1527" t="str">
            <v>INGREDIENTS</v>
          </cell>
          <cell r="I1527" t="str">
            <v>INGREDIENTS</v>
          </cell>
          <cell r="J1527" t="str">
            <v>HENRIQUE FERREIRA</v>
          </cell>
          <cell r="K1527" t="str">
            <v>ITAMBÉ</v>
          </cell>
          <cell r="L1527" t="str">
            <v>MAURICIO</v>
          </cell>
          <cell r="M1527" t="str">
            <v>JOEL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  <cell r="H1528" t="str">
            <v>QSR</v>
          </cell>
          <cell r="I1528" t="str">
            <v>FOOD SERVICE</v>
          </cell>
          <cell r="J1528" t="str">
            <v>NUTRI</v>
          </cell>
          <cell r="K1528" t="str">
            <v>LACTALIS</v>
          </cell>
          <cell r="L1528" t="str">
            <v>PEDRO</v>
          </cell>
          <cell r="M1528" t="str">
            <v>VAGO QSR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  <cell r="H1529" t="str">
            <v>DISTRIBUIÇÃO</v>
          </cell>
          <cell r="I1529" t="str">
            <v>FOOD SERVICE</v>
          </cell>
          <cell r="J1529" t="str">
            <v>FLAC 1</v>
          </cell>
          <cell r="K1529" t="str">
            <v>LACTALIS</v>
          </cell>
          <cell r="L1529" t="str">
            <v>RODRIGO</v>
          </cell>
          <cell r="M1529" t="str">
            <v>RAQUEL BARBOSA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  <cell r="H1530" t="str">
            <v>DISTRIBUIÇÃO</v>
          </cell>
          <cell r="I1530" t="str">
            <v>FOOD SERVICE</v>
          </cell>
          <cell r="J1530" t="str">
            <v>ANGELICA BATISTELA</v>
          </cell>
          <cell r="K1530" t="str">
            <v>LACTALIS</v>
          </cell>
          <cell r="L1530" t="str">
            <v>RODRIGO</v>
          </cell>
          <cell r="M1530" t="str">
            <v>ANGELICA BATISTELA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  <cell r="H1531" t="str">
            <v>QSR</v>
          </cell>
          <cell r="I1531" t="str">
            <v>FOOD SERVICE</v>
          </cell>
          <cell r="J1531" t="str">
            <v>NUTRI</v>
          </cell>
          <cell r="K1531" t="str">
            <v>LACTALIS</v>
          </cell>
          <cell r="L1531" t="str">
            <v>PEDRO</v>
          </cell>
          <cell r="M1531" t="str">
            <v>VAGO QSR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  <cell r="H1532" t="str">
            <v>DISTRIBUIÇÃO</v>
          </cell>
          <cell r="I1532" t="str">
            <v>FOOD SERVICE</v>
          </cell>
          <cell r="J1532" t="str">
            <v>MARCELO DUARTE</v>
          </cell>
          <cell r="K1532" t="str">
            <v>ITAMBÉ</v>
          </cell>
          <cell r="L1532" t="str">
            <v>RODRIGO</v>
          </cell>
          <cell r="M1532" t="str">
            <v>JESSICA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  <cell r="H1533" t="str">
            <v>DISTRIBUIÇÃO</v>
          </cell>
          <cell r="I1533" t="str">
            <v>FOOD SERVICE</v>
          </cell>
          <cell r="J1533" t="str">
            <v>MARCELO DUARTE</v>
          </cell>
          <cell r="K1533" t="str">
            <v>LACTALIS</v>
          </cell>
          <cell r="L1533" t="str">
            <v>RODRIGO</v>
          </cell>
          <cell r="M1533" t="str">
            <v>JESSICA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  <cell r="H1534" t="str">
            <v>DISTRIBUIÇÃO</v>
          </cell>
          <cell r="I1534" t="str">
            <v>FOOD SERVICE</v>
          </cell>
          <cell r="J1534" t="str">
            <v>MARCELO DUARTE</v>
          </cell>
          <cell r="K1534" t="str">
            <v>ITAMBÉ</v>
          </cell>
          <cell r="L1534" t="str">
            <v>RODRIGO</v>
          </cell>
          <cell r="M1534" t="str">
            <v>JESSICA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  <cell r="H1535" t="str">
            <v>DISTRIBUIÇÃO</v>
          </cell>
          <cell r="I1535" t="str">
            <v>FOOD SERVICE</v>
          </cell>
          <cell r="J1535" t="str">
            <v>JESSICA CARLA</v>
          </cell>
          <cell r="K1535" t="str">
            <v>ITAMBÉ</v>
          </cell>
          <cell r="L1535" t="str">
            <v>RODRIGO</v>
          </cell>
          <cell r="M1535" t="str">
            <v>JESSICA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  <cell r="H1536" t="str">
            <v>DISTRIBUIÇÃO</v>
          </cell>
          <cell r="I1536" t="str">
            <v>FOOD SERVICE</v>
          </cell>
          <cell r="J1536" t="str">
            <v>MARCELO DUARTE</v>
          </cell>
          <cell r="K1536" t="str">
            <v>ITAMBÉ</v>
          </cell>
          <cell r="L1536" t="str">
            <v>RODRIGO</v>
          </cell>
          <cell r="M1536" t="str">
            <v>JESSICA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  <cell r="H1537" t="str">
            <v>INGREDIENTS</v>
          </cell>
          <cell r="I1537" t="str">
            <v>INGREDIENTS</v>
          </cell>
          <cell r="J1537" t="str">
            <v>JOEL ELEOTÉRIO</v>
          </cell>
          <cell r="K1537" t="str">
            <v>LACTALIS</v>
          </cell>
          <cell r="L1537" t="str">
            <v>MAURICIO</v>
          </cell>
          <cell r="M1537" t="str">
            <v>JOEL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  <cell r="H1538" t="str">
            <v>DISTRIBUIÇÃO</v>
          </cell>
          <cell r="I1538" t="str">
            <v>FOOD SERVICE</v>
          </cell>
          <cell r="J1538" t="str">
            <v>MARCELO DUARTE</v>
          </cell>
          <cell r="K1538" t="str">
            <v>ITAMBÉ</v>
          </cell>
          <cell r="L1538" t="str">
            <v>RODRIGO</v>
          </cell>
          <cell r="M1538" t="str">
            <v>JESSICA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  <cell r="H1539" t="str">
            <v>DISTRIBUIÇÃO</v>
          </cell>
          <cell r="I1539" t="str">
            <v>FOOD SERVICE</v>
          </cell>
          <cell r="J1539" t="str">
            <v>MARCELO DUARTE</v>
          </cell>
          <cell r="K1539" t="str">
            <v>ITAMBÉ</v>
          </cell>
          <cell r="L1539" t="str">
            <v>RODRIGO</v>
          </cell>
          <cell r="M1539" t="str">
            <v>JESSICA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  <cell r="H1540" t="str">
            <v>DISTRIBUIÇÃO</v>
          </cell>
          <cell r="I1540" t="str">
            <v>FOOD SERVICE</v>
          </cell>
          <cell r="J1540" t="str">
            <v>JULIANA CORDEIRO</v>
          </cell>
          <cell r="K1540" t="str">
            <v>ITAMBÉ</v>
          </cell>
          <cell r="L1540" t="str">
            <v>RODRIGO</v>
          </cell>
          <cell r="M1540" t="str">
            <v>JESSICA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  <cell r="H1541" t="str">
            <v>DISTRIBUIÇÃO</v>
          </cell>
          <cell r="I1541" t="str">
            <v>FOOD SERVICE</v>
          </cell>
          <cell r="J1541" t="str">
            <v>JULIANA CORDEIRO</v>
          </cell>
          <cell r="K1541" t="str">
            <v>ITAMBÉ</v>
          </cell>
          <cell r="L1541" t="str">
            <v>RODRIGO</v>
          </cell>
          <cell r="M1541" t="str">
            <v>JESSICA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  <cell r="H1542" t="str">
            <v>DISTRIBUIÇÃO</v>
          </cell>
          <cell r="I1542" t="str">
            <v>FOOD SERVICE</v>
          </cell>
          <cell r="J1542" t="str">
            <v>CLAUDIO JORGE</v>
          </cell>
          <cell r="K1542" t="str">
            <v>ITAMBÉ</v>
          </cell>
          <cell r="L1542" t="str">
            <v>RODRIGO</v>
          </cell>
          <cell r="M1542" t="str">
            <v>JESSICA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  <cell r="H1543" t="str">
            <v>DISTRIBUIÇÃO</v>
          </cell>
          <cell r="I1543" t="str">
            <v>FOOD SERVICE</v>
          </cell>
          <cell r="J1543" t="str">
            <v>MARCELO DUARTE</v>
          </cell>
          <cell r="K1543" t="str">
            <v>ITAMBÉ</v>
          </cell>
          <cell r="L1543" t="str">
            <v>RODRIGO</v>
          </cell>
          <cell r="M1543" t="str">
            <v>JESSICA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  <cell r="H1544" t="str">
            <v>QSR</v>
          </cell>
          <cell r="I1544" t="str">
            <v>FOOD SERVICE</v>
          </cell>
          <cell r="J1544" t="str">
            <v>NUTRI</v>
          </cell>
          <cell r="K1544" t="str">
            <v>LACTALIS</v>
          </cell>
          <cell r="L1544" t="str">
            <v>PEDRO</v>
          </cell>
          <cell r="M1544" t="str">
            <v>VAGO QSR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  <cell r="H1545" t="str">
            <v>INGREDIENTS</v>
          </cell>
          <cell r="I1545" t="str">
            <v>INGREDIENTS</v>
          </cell>
          <cell r="J1545" t="str">
            <v>MARCELO RODRIGUES</v>
          </cell>
          <cell r="K1545" t="str">
            <v>LACTALIS</v>
          </cell>
          <cell r="L1545" t="str">
            <v>MAURICIO</v>
          </cell>
          <cell r="M1545" t="str">
            <v>MARCELO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  <cell r="H1546" t="str">
            <v>QSR</v>
          </cell>
          <cell r="I1546" t="str">
            <v>FOOD SERVICE</v>
          </cell>
          <cell r="J1546" t="str">
            <v>NUTRI</v>
          </cell>
          <cell r="K1546" t="str">
            <v>LACTALIS</v>
          </cell>
          <cell r="L1546" t="str">
            <v>PEDRO</v>
          </cell>
          <cell r="M1546" t="str">
            <v>VAGO QSR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  <cell r="H1547" t="str">
            <v>INGREDIENTS</v>
          </cell>
          <cell r="I1547" t="str">
            <v>INGREDIENTS</v>
          </cell>
          <cell r="J1547" t="str">
            <v>TATIANA NITTA</v>
          </cell>
          <cell r="K1547" t="str">
            <v>LACTALIS</v>
          </cell>
          <cell r="L1547" t="str">
            <v>MAURICIO</v>
          </cell>
          <cell r="M1547" t="str">
            <v>TATIANA NITTA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  <cell r="H1548" t="str">
            <v>DISTRIBUIÇÃO</v>
          </cell>
          <cell r="I1548" t="str">
            <v>FOOD SERVICE</v>
          </cell>
          <cell r="J1548" t="str">
            <v>LUCIANA MARTINS</v>
          </cell>
          <cell r="K1548" t="str">
            <v>ITAMBÉ</v>
          </cell>
          <cell r="L1548" t="str">
            <v>RODRIGO</v>
          </cell>
          <cell r="M1548" t="str">
            <v>JESSICA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  <cell r="H1549" t="str">
            <v>DISTRIBUIÇÃO</v>
          </cell>
          <cell r="I1549" t="str">
            <v>FOOD SERVICE</v>
          </cell>
          <cell r="J1549" t="str">
            <v>MARCELO DUARTE</v>
          </cell>
          <cell r="K1549" t="str">
            <v>ITAMBÉ</v>
          </cell>
          <cell r="L1549" t="str">
            <v>RODRIGO</v>
          </cell>
          <cell r="M1549" t="str">
            <v>JESSICA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  <cell r="H1550" t="str">
            <v>INGREDIENTS</v>
          </cell>
          <cell r="I1550" t="str">
            <v>INGREDIENTS</v>
          </cell>
          <cell r="J1550" t="str">
            <v>TATIANA NITTA</v>
          </cell>
          <cell r="K1550" t="str">
            <v>ITAMBÉ</v>
          </cell>
          <cell r="L1550" t="str">
            <v>MAURICIO</v>
          </cell>
          <cell r="M1550" t="str">
            <v>TATIANA NITTA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  <cell r="H1551" t="str">
            <v>DISTRIBUIÇÃO</v>
          </cell>
          <cell r="I1551" t="str">
            <v>FOOD SERVICE</v>
          </cell>
          <cell r="J1551" t="str">
            <v>MARCELO DUARTE</v>
          </cell>
          <cell r="K1551" t="str">
            <v>ITAMBÉ</v>
          </cell>
          <cell r="L1551" t="str">
            <v>RODRIGO</v>
          </cell>
          <cell r="M1551" t="str">
            <v>JESSICA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  <cell r="H1552" t="str">
            <v>DISTRIBUIÇÃO</v>
          </cell>
          <cell r="I1552" t="str">
            <v>FOOD SERVICE</v>
          </cell>
          <cell r="J1552" t="str">
            <v>JESSICA CARLA</v>
          </cell>
          <cell r="K1552" t="str">
            <v>ITAMBÉ</v>
          </cell>
          <cell r="L1552" t="str">
            <v>RODRIGO</v>
          </cell>
          <cell r="M1552" t="str">
            <v>JESSICA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  <cell r="H1553" t="str">
            <v>DISTRIBUIÇÃO</v>
          </cell>
          <cell r="I1553" t="str">
            <v>FOOD SERVICE</v>
          </cell>
          <cell r="J1553" t="str">
            <v>VAGO SP</v>
          </cell>
          <cell r="K1553" t="str">
            <v>LACTALIS</v>
          </cell>
          <cell r="L1553" t="str">
            <v>RODRIGO</v>
          </cell>
          <cell r="M1553" t="str">
            <v>RAQUEL BARBOSA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  <cell r="H1554" t="str">
            <v>DISTRIBUIÇÃO</v>
          </cell>
          <cell r="I1554" t="str">
            <v>FOOD SERVICE</v>
          </cell>
          <cell r="J1554" t="str">
            <v>JULIANA CORDEIRO</v>
          </cell>
          <cell r="K1554" t="str">
            <v>ITAMBÉ</v>
          </cell>
          <cell r="L1554" t="str">
            <v>RODRIGO</v>
          </cell>
          <cell r="M1554" t="str">
            <v>JESSICA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  <cell r="H1555" t="str">
            <v>DISTRIBUIÇÃO</v>
          </cell>
          <cell r="I1555" t="str">
            <v>FOOD SERVICE</v>
          </cell>
          <cell r="J1555" t="str">
            <v>MARCELO DUARTE</v>
          </cell>
          <cell r="K1555" t="str">
            <v>ITAMBÉ</v>
          </cell>
          <cell r="L1555" t="str">
            <v>RODRIGO</v>
          </cell>
          <cell r="M1555" t="str">
            <v>JESSICA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  <cell r="H1556" t="str">
            <v>DISTRIBUIÇÃO</v>
          </cell>
          <cell r="I1556" t="str">
            <v>FOOD SERVICE</v>
          </cell>
          <cell r="J1556" t="str">
            <v>MARCELO DUARTE</v>
          </cell>
          <cell r="K1556" t="str">
            <v>ITAMBÉ</v>
          </cell>
          <cell r="L1556" t="str">
            <v>RODRIGO</v>
          </cell>
          <cell r="M1556" t="str">
            <v>JESSICA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  <cell r="H1557" t="str">
            <v>DISTRIBUIÇÃO</v>
          </cell>
          <cell r="I1557" t="str">
            <v>FOOD SERVICE</v>
          </cell>
          <cell r="J1557" t="str">
            <v>MARCELO DUARTE</v>
          </cell>
          <cell r="K1557" t="str">
            <v>ITAMBÉ</v>
          </cell>
          <cell r="L1557" t="str">
            <v>RODRIGO</v>
          </cell>
          <cell r="M1557" t="str">
            <v>JESSICA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  <cell r="H1558" t="str">
            <v>DISTRIBUIÇÃO</v>
          </cell>
          <cell r="I1558" t="str">
            <v>FOOD SERVICE</v>
          </cell>
          <cell r="J1558" t="str">
            <v>JULIANA CORDEIRO</v>
          </cell>
          <cell r="K1558" t="str">
            <v>ITAMBÉ</v>
          </cell>
          <cell r="L1558" t="str">
            <v>RODRIGO</v>
          </cell>
          <cell r="M1558" t="str">
            <v>JESSICA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  <cell r="H1559" t="str">
            <v>QSR</v>
          </cell>
          <cell r="I1559" t="str">
            <v>FOOD SERVICE</v>
          </cell>
          <cell r="J1559" t="str">
            <v>NUTRI</v>
          </cell>
          <cell r="K1559" t="str">
            <v>LACTALIS</v>
          </cell>
          <cell r="L1559" t="str">
            <v>PEDRO</v>
          </cell>
          <cell r="M1559" t="str">
            <v>VAGO QSR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  <cell r="H1560" t="str">
            <v>DISTRIBUIÇÃO</v>
          </cell>
          <cell r="I1560" t="str">
            <v>FOOD SERVICE</v>
          </cell>
          <cell r="J1560" t="str">
            <v>JESSICA CARLA</v>
          </cell>
          <cell r="K1560" t="str">
            <v>ITAMBÉ</v>
          </cell>
          <cell r="L1560" t="str">
            <v>RODRIGO</v>
          </cell>
          <cell r="M1560" t="str">
            <v>JESSICA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  <cell r="H1561" t="str">
            <v>DISTRIBUIÇÃO</v>
          </cell>
          <cell r="I1561" t="str">
            <v>FOOD SERVICE</v>
          </cell>
          <cell r="J1561" t="str">
            <v>JULIANA CORDEIRO</v>
          </cell>
          <cell r="K1561" t="str">
            <v>ITAMBÉ</v>
          </cell>
          <cell r="L1561" t="str">
            <v>RODRIGO</v>
          </cell>
          <cell r="M1561" t="str">
            <v>JESSICA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  <cell r="H1562" t="str">
            <v>QSR</v>
          </cell>
          <cell r="I1562" t="str">
            <v>FOOD SERVICE</v>
          </cell>
          <cell r="J1562" t="str">
            <v>NUTRI</v>
          </cell>
          <cell r="K1562" t="str">
            <v>LACTALIS</v>
          </cell>
          <cell r="L1562" t="str">
            <v>PEDRO</v>
          </cell>
          <cell r="M1562" t="str">
            <v>VAGO QSR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  <cell r="H1563" t="str">
            <v>QSR</v>
          </cell>
          <cell r="I1563" t="str">
            <v>FOOD SERVICE</v>
          </cell>
          <cell r="J1563" t="str">
            <v>NUTRI</v>
          </cell>
          <cell r="K1563" t="str">
            <v>LACTALIS</v>
          </cell>
          <cell r="L1563" t="str">
            <v>PEDRO</v>
          </cell>
          <cell r="M1563" t="str">
            <v>VAGO QSR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  <cell r="H1564" t="str">
            <v>QSR</v>
          </cell>
          <cell r="I1564" t="str">
            <v>FOOD SERVICE</v>
          </cell>
          <cell r="J1564" t="str">
            <v>NUTRI</v>
          </cell>
          <cell r="K1564" t="str">
            <v>LACTALIS</v>
          </cell>
          <cell r="L1564" t="str">
            <v>PEDRO</v>
          </cell>
          <cell r="M1564" t="str">
            <v>VAGO QSR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  <cell r="H1565" t="str">
            <v>DISTRIBUIÇÃO</v>
          </cell>
          <cell r="I1565" t="str">
            <v>FOOD SERVICE</v>
          </cell>
          <cell r="J1565" t="str">
            <v>SP ITB FS FLAC REP.E COMERCIO</v>
          </cell>
          <cell r="K1565" t="str">
            <v>LACTALIS</v>
          </cell>
          <cell r="L1565" t="str">
            <v>RODRIGO</v>
          </cell>
          <cell r="M1565" t="str">
            <v>RAQUEL BARBOSA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  <cell r="H1566" t="str">
            <v>INGREDIENTS</v>
          </cell>
          <cell r="I1566" t="str">
            <v>INGREDIENTS</v>
          </cell>
          <cell r="J1566" t="str">
            <v>HENRIQUE FERREIRA</v>
          </cell>
          <cell r="K1566" t="str">
            <v>ITAMBÉ</v>
          </cell>
          <cell r="L1566" t="str">
            <v>MAURICIO</v>
          </cell>
          <cell r="M1566" t="str">
            <v>JOEL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  <cell r="H1567" t="str">
            <v>INGREDIENTS</v>
          </cell>
          <cell r="I1567" t="str">
            <v>INGREDIENTS</v>
          </cell>
          <cell r="J1567" t="str">
            <v>RJ ITB FS L T MARTINS</v>
          </cell>
          <cell r="K1567" t="str">
            <v>ITAMBÉ</v>
          </cell>
          <cell r="L1567" t="str">
            <v>MAURICIO</v>
          </cell>
          <cell r="M1567" t="str">
            <v>TATIANA NITTA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  <cell r="H1568" t="str">
            <v>DISTRIBUIÇÃO</v>
          </cell>
          <cell r="I1568" t="str">
            <v>FOOD SERVICE</v>
          </cell>
          <cell r="J1568" t="str">
            <v>LUCIANA MARTINS</v>
          </cell>
          <cell r="K1568" t="str">
            <v>ITAMBÉ</v>
          </cell>
          <cell r="L1568" t="str">
            <v>RODRIGO</v>
          </cell>
          <cell r="M1568" t="str">
            <v>JESSICA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  <cell r="H1569" t="str">
            <v>DISTRIBUIÇÃO</v>
          </cell>
          <cell r="I1569" t="str">
            <v>FOOD SERVICE</v>
          </cell>
          <cell r="J1569" t="str">
            <v>MARCELO DUARTE</v>
          </cell>
          <cell r="K1569" t="str">
            <v>ITAMBÉ</v>
          </cell>
          <cell r="L1569" t="str">
            <v>RODRIGO</v>
          </cell>
          <cell r="M1569" t="str">
            <v>JESSICA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  <cell r="H1570" t="str">
            <v>QSR</v>
          </cell>
          <cell r="I1570" t="str">
            <v>FOOD SERVICE</v>
          </cell>
          <cell r="J1570" t="str">
            <v>NUTRI</v>
          </cell>
          <cell r="K1570" t="str">
            <v>LACTALIS</v>
          </cell>
          <cell r="L1570" t="str">
            <v>PEDRO</v>
          </cell>
          <cell r="M1570" t="str">
            <v>VAGO QSR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  <cell r="H1571" t="str">
            <v>DISTRIBUIÇÃO</v>
          </cell>
          <cell r="I1571" t="str">
            <v>FOOD SERVICE</v>
          </cell>
          <cell r="J1571" t="str">
            <v>MARCELO DUARTE</v>
          </cell>
          <cell r="K1571" t="str">
            <v>ITAMBÉ</v>
          </cell>
          <cell r="L1571" t="str">
            <v>RODRIGO</v>
          </cell>
          <cell r="M1571" t="str">
            <v>JESSICA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  <cell r="H1572" t="str">
            <v>DISTRIBUIÇÃO</v>
          </cell>
          <cell r="I1572" t="str">
            <v>FOOD SERVICE</v>
          </cell>
          <cell r="J1572" t="str">
            <v>JULIANA CORDEIRO</v>
          </cell>
          <cell r="K1572" t="str">
            <v>ITAMBÉ</v>
          </cell>
          <cell r="L1572" t="str">
            <v>RODRIGO</v>
          </cell>
          <cell r="M1572" t="str">
            <v>JESSICA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  <cell r="H1573" t="str">
            <v>DISTRIBUIÇÃO</v>
          </cell>
          <cell r="I1573" t="str">
            <v>FOOD SERVICE</v>
          </cell>
          <cell r="J1573" t="str">
            <v>MARCELO DUARTE</v>
          </cell>
          <cell r="K1573" t="str">
            <v>ITAMBÉ</v>
          </cell>
          <cell r="L1573" t="str">
            <v>RODRIGO</v>
          </cell>
          <cell r="M1573" t="str">
            <v>JESSICA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  <cell r="H1574" t="str">
            <v>QSR</v>
          </cell>
          <cell r="I1574" t="str">
            <v>FOOD SERVICE</v>
          </cell>
          <cell r="J1574" t="str">
            <v>NUTRI</v>
          </cell>
          <cell r="K1574" t="str">
            <v>LACTALIS</v>
          </cell>
          <cell r="L1574" t="str">
            <v>PEDRO</v>
          </cell>
          <cell r="M1574" t="str">
            <v>VAGO QSR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  <cell r="H1575" t="str">
            <v>DISTRIBUIÇÃO</v>
          </cell>
          <cell r="I1575" t="str">
            <v>FOOD SERVICE</v>
          </cell>
          <cell r="J1575" t="str">
            <v>LUCIANA MARTINS</v>
          </cell>
          <cell r="K1575" t="str">
            <v>ITAMBÉ</v>
          </cell>
          <cell r="L1575" t="str">
            <v>RODRIGO</v>
          </cell>
          <cell r="M1575" t="str">
            <v>JESSICA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  <cell r="H1576" t="str">
            <v>DISTRIBUIÇÃO</v>
          </cell>
          <cell r="I1576" t="str">
            <v>FOOD SERVICE</v>
          </cell>
          <cell r="J1576" t="str">
            <v>MARCELO DUARTE</v>
          </cell>
          <cell r="K1576" t="str">
            <v>ITAMBÉ</v>
          </cell>
          <cell r="L1576" t="str">
            <v>RODRIGO</v>
          </cell>
          <cell r="M1576" t="str">
            <v>JESSICA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  <cell r="H1577" t="str">
            <v>DISTRIBUIÇÃO</v>
          </cell>
          <cell r="I1577" t="str">
            <v>FOOD SERVICE</v>
          </cell>
          <cell r="J1577" t="str">
            <v>MARCELO DUARTE</v>
          </cell>
          <cell r="K1577" t="str">
            <v>ITAMBÉ</v>
          </cell>
          <cell r="L1577" t="str">
            <v>RODRIGO</v>
          </cell>
          <cell r="M1577" t="str">
            <v>JESSICA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  <cell r="H1578" t="str">
            <v>DISTRIBUIÇÃO</v>
          </cell>
          <cell r="I1578" t="str">
            <v>FOOD SERVICE</v>
          </cell>
          <cell r="J1578" t="str">
            <v>MARCELO DUARTE</v>
          </cell>
          <cell r="K1578" t="str">
            <v>ITAMBÉ</v>
          </cell>
          <cell r="L1578" t="str">
            <v>RODRIGO</v>
          </cell>
          <cell r="M1578" t="str">
            <v>JESSICA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  <cell r="H1579" t="str">
            <v>DISTRIBUIÇÃO</v>
          </cell>
          <cell r="I1579" t="str">
            <v>FOOD SERVICE</v>
          </cell>
          <cell r="J1579" t="str">
            <v>JULIANA CORDEIRO</v>
          </cell>
          <cell r="K1579" t="str">
            <v>ITAMBÉ</v>
          </cell>
          <cell r="L1579" t="str">
            <v>RODRIGO</v>
          </cell>
          <cell r="M1579" t="str">
            <v>JESSICA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  <cell r="H1580" t="str">
            <v>QSR</v>
          </cell>
          <cell r="I1580" t="str">
            <v>FOOD SERVICE</v>
          </cell>
          <cell r="J1580" t="str">
            <v>NUTRI</v>
          </cell>
          <cell r="K1580" t="str">
            <v>LACTALIS</v>
          </cell>
          <cell r="L1580" t="str">
            <v>PEDRO</v>
          </cell>
          <cell r="M1580" t="str">
            <v>VAGO QSR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  <cell r="H1581" t="str">
            <v>DISTRIBUIÇÃO</v>
          </cell>
          <cell r="I1581" t="str">
            <v>FOOD SERVICE</v>
          </cell>
          <cell r="J1581" t="str">
            <v>MARCELO DUARTE</v>
          </cell>
          <cell r="K1581" t="str">
            <v>ITAMBÉ</v>
          </cell>
          <cell r="L1581" t="str">
            <v>RODRIGO</v>
          </cell>
          <cell r="M1581" t="str">
            <v>JESSICA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  <cell r="H1582" t="str">
            <v>INGREDIENTS</v>
          </cell>
          <cell r="I1582" t="str">
            <v>INGREDIENTS</v>
          </cell>
          <cell r="J1582" t="str">
            <v>JOEL ELEOTÉRIO</v>
          </cell>
          <cell r="K1582" t="str">
            <v>LACTALIS</v>
          </cell>
          <cell r="L1582" t="str">
            <v>MAURICIO</v>
          </cell>
          <cell r="M1582" t="str">
            <v>JOEL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  <cell r="H1583" t="str">
            <v>DISTRIBUIÇÃO</v>
          </cell>
          <cell r="I1583" t="str">
            <v>FOOD SERVICE</v>
          </cell>
          <cell r="J1583" t="str">
            <v>JULIANA CORDEIRO</v>
          </cell>
          <cell r="K1583" t="str">
            <v>ITAMBÉ</v>
          </cell>
          <cell r="L1583" t="str">
            <v>RODRIGO</v>
          </cell>
          <cell r="M1583" t="str">
            <v>JESSICA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  <cell r="H1584" t="str">
            <v>DISTRIBUIÇÃO</v>
          </cell>
          <cell r="I1584" t="str">
            <v>FOOD SERVICE</v>
          </cell>
          <cell r="J1584" t="str">
            <v>JULIANA CORDEIRO</v>
          </cell>
          <cell r="K1584" t="str">
            <v>ITAMBÉ</v>
          </cell>
          <cell r="L1584" t="str">
            <v>RODRIGO</v>
          </cell>
          <cell r="M1584" t="str">
            <v>JESSICA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  <cell r="H1585" t="str">
            <v>DISTRIBUIÇÃO</v>
          </cell>
          <cell r="I1585" t="str">
            <v>FOOD SERVICE</v>
          </cell>
          <cell r="J1585" t="str">
            <v>MARCELO DUARTE</v>
          </cell>
          <cell r="K1585" t="str">
            <v>ITAMBÉ</v>
          </cell>
          <cell r="L1585" t="str">
            <v>RODRIGO</v>
          </cell>
          <cell r="M1585" t="str">
            <v>JESSICA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  <cell r="H1586" t="str">
            <v>QSR</v>
          </cell>
          <cell r="I1586" t="str">
            <v>FOOD SERVICE</v>
          </cell>
          <cell r="J1586" t="str">
            <v>NUTRI</v>
          </cell>
          <cell r="K1586" t="str">
            <v>LACTALIS</v>
          </cell>
          <cell r="L1586" t="str">
            <v>PEDRO</v>
          </cell>
          <cell r="M1586" t="str">
            <v>VAGO QSR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  <cell r="H1587" t="str">
            <v>DISTRIBUIÇÃO</v>
          </cell>
          <cell r="I1587" t="str">
            <v>FOOD SERVICE</v>
          </cell>
          <cell r="J1587" t="str">
            <v>MARCELO DUARTE</v>
          </cell>
          <cell r="K1587" t="str">
            <v>ITAMBÉ</v>
          </cell>
          <cell r="L1587" t="str">
            <v>RODRIGO</v>
          </cell>
          <cell r="M1587" t="str">
            <v>JESSICA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  <cell r="H1588" t="str">
            <v>INGREDIENTS</v>
          </cell>
          <cell r="I1588" t="str">
            <v>INGREDIENTS</v>
          </cell>
          <cell r="J1588" t="str">
            <v>HENRIQUE FERREIRA</v>
          </cell>
          <cell r="K1588" t="str">
            <v>LACTALIS</v>
          </cell>
          <cell r="L1588" t="str">
            <v>MAURICIO</v>
          </cell>
          <cell r="M1588" t="str">
            <v>JOEL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  <cell r="H1589" t="str">
            <v>QSR</v>
          </cell>
          <cell r="I1589" t="str">
            <v>FOOD SERVICE</v>
          </cell>
          <cell r="J1589" t="str">
            <v>ANA MENIQUETE</v>
          </cell>
          <cell r="K1589" t="str">
            <v>ITAMBÉ</v>
          </cell>
          <cell r="L1589" t="str">
            <v>PEDRO</v>
          </cell>
          <cell r="M1589" t="str">
            <v>ANA MENIQUETE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  <cell r="H1590" t="str">
            <v>INGREDIENTS</v>
          </cell>
          <cell r="I1590" t="str">
            <v>INGREDIENTS</v>
          </cell>
          <cell r="J1590" t="str">
            <v>JOEL ELEOTÉRIO</v>
          </cell>
          <cell r="K1590" t="str">
            <v>ITAMBÉ</v>
          </cell>
          <cell r="L1590" t="str">
            <v>MAURICIO</v>
          </cell>
          <cell r="M1590" t="str">
            <v>JOEL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  <cell r="H1591" t="str">
            <v>DISTRIBUIÇÃO</v>
          </cell>
          <cell r="I1591" t="str">
            <v>FOOD SERVICE</v>
          </cell>
          <cell r="J1591" t="str">
            <v>MARCELO DUARTE</v>
          </cell>
          <cell r="K1591" t="str">
            <v>ITAMBÉ</v>
          </cell>
          <cell r="L1591" t="str">
            <v>RODRIGO</v>
          </cell>
          <cell r="M1591" t="str">
            <v>JESSICA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  <cell r="H1592" t="str">
            <v>DISTRIBUIÇÃO</v>
          </cell>
          <cell r="I1592" t="str">
            <v>FOOD SERVICE</v>
          </cell>
          <cell r="J1592" t="str">
            <v>MARCELO DUARTE</v>
          </cell>
          <cell r="K1592" t="str">
            <v>ITAMBÉ</v>
          </cell>
          <cell r="L1592" t="str">
            <v>RODRIGO</v>
          </cell>
          <cell r="M1592" t="str">
            <v>JESSICA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  <cell r="H1593" t="str">
            <v>DISTRIBUIÇÃO</v>
          </cell>
          <cell r="I1593" t="str">
            <v>FOOD SERVICE</v>
          </cell>
          <cell r="J1593" t="str">
            <v>MARCELO DUARTE</v>
          </cell>
          <cell r="K1593" t="str">
            <v>ITAMBÉ</v>
          </cell>
          <cell r="L1593" t="str">
            <v>RODRIGO</v>
          </cell>
          <cell r="M1593" t="str">
            <v>JESSICA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  <cell r="H1594" t="str">
            <v>DISTRIBUIÇÃO</v>
          </cell>
          <cell r="I1594" t="str">
            <v>FOOD SERVICE</v>
          </cell>
          <cell r="J1594" t="str">
            <v>MARCELO DUARTE</v>
          </cell>
          <cell r="K1594" t="str">
            <v>ITAMBÉ</v>
          </cell>
          <cell r="L1594" t="str">
            <v>RODRIGO</v>
          </cell>
          <cell r="M1594" t="str">
            <v>JESSICA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  <cell r="H1595" t="str">
            <v>DISTRIBUIÇÃO</v>
          </cell>
          <cell r="I1595" t="str">
            <v>FOOD SERVICE</v>
          </cell>
          <cell r="J1595" t="str">
            <v>MARCELO DUARTE</v>
          </cell>
          <cell r="K1595" t="str">
            <v>ITAMBÉ</v>
          </cell>
          <cell r="L1595" t="str">
            <v>RODRIGO</v>
          </cell>
          <cell r="M1595" t="str">
            <v>JESSICA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  <cell r="H1596" t="str">
            <v>DISTRIBUIÇÃO</v>
          </cell>
          <cell r="I1596" t="str">
            <v>FOOD SERVICE</v>
          </cell>
          <cell r="J1596" t="str">
            <v>ANGELICA BATISTELA</v>
          </cell>
          <cell r="K1596" t="str">
            <v>LACTALIS</v>
          </cell>
          <cell r="L1596" t="str">
            <v>RODRIGO</v>
          </cell>
          <cell r="M1596" t="str">
            <v>ANGELICA BATISTELA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  <cell r="H1597" t="str">
            <v>DISTRIBUIÇÃO</v>
          </cell>
          <cell r="I1597" t="str">
            <v>FOOD SERVICE</v>
          </cell>
          <cell r="J1597" t="str">
            <v>LUCIANA MARTINS</v>
          </cell>
          <cell r="K1597" t="str">
            <v>ITAMBÉ</v>
          </cell>
          <cell r="L1597" t="str">
            <v>RODRIGO</v>
          </cell>
          <cell r="M1597" t="str">
            <v>JESSICA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  <cell r="H1598" t="str">
            <v>DISTRIBUIÇÃO</v>
          </cell>
          <cell r="I1598" t="str">
            <v>FOOD SERVICE</v>
          </cell>
          <cell r="J1598" t="str">
            <v>MARCELO DUARTE</v>
          </cell>
          <cell r="K1598" t="str">
            <v>ITAMBÉ</v>
          </cell>
          <cell r="L1598" t="str">
            <v>RODRIGO</v>
          </cell>
          <cell r="M1598" t="str">
            <v>JESSICA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  <cell r="H1599" t="str">
            <v>DISTRIBUIÇÃO</v>
          </cell>
          <cell r="I1599" t="str">
            <v>FOOD SERVICE</v>
          </cell>
          <cell r="J1599" t="str">
            <v>JESSICA CARLA</v>
          </cell>
          <cell r="K1599" t="str">
            <v>ITAMBÉ</v>
          </cell>
          <cell r="L1599" t="str">
            <v>RODRIGO</v>
          </cell>
          <cell r="M1599" t="str">
            <v>JESSICA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  <cell r="H1600" t="str">
            <v>INGREDIENTS</v>
          </cell>
          <cell r="I1600" t="str">
            <v>INGREDIENTS</v>
          </cell>
          <cell r="J1600" t="str">
            <v>HENRIQUE FERREIRA</v>
          </cell>
          <cell r="K1600" t="str">
            <v>ITAMBÉ</v>
          </cell>
          <cell r="L1600" t="str">
            <v>MAURICIO</v>
          </cell>
          <cell r="M1600" t="str">
            <v>JOEL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  <cell r="H1601" t="str">
            <v>DISTRIBUIÇÃO</v>
          </cell>
          <cell r="I1601" t="str">
            <v>FOOD SERVICE</v>
          </cell>
          <cell r="J1601" t="str">
            <v>LUCIANA MARTINS</v>
          </cell>
          <cell r="K1601" t="str">
            <v>ITAMBÉ</v>
          </cell>
          <cell r="L1601" t="str">
            <v>RODRIGO</v>
          </cell>
          <cell r="M1601" t="str">
            <v>JESSICA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  <cell r="H1602" t="str">
            <v>DISTRIBUIÇÃO</v>
          </cell>
          <cell r="I1602" t="str">
            <v>FOOD SERVICE</v>
          </cell>
          <cell r="J1602" t="str">
            <v>MARCELO DUARTE</v>
          </cell>
          <cell r="K1602" t="str">
            <v>ITAMBÉ</v>
          </cell>
          <cell r="L1602" t="str">
            <v>RODRIGO</v>
          </cell>
          <cell r="M1602" t="str">
            <v>JESSICA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  <cell r="H1603" t="str">
            <v>QSR</v>
          </cell>
          <cell r="I1603" t="str">
            <v>FOOD SERVICE</v>
          </cell>
          <cell r="J1603" t="str">
            <v>NUTRI</v>
          </cell>
          <cell r="K1603" t="str">
            <v>LACTALIS</v>
          </cell>
          <cell r="L1603" t="str">
            <v>PEDRO</v>
          </cell>
          <cell r="M1603" t="str">
            <v>VAGO QSR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  <cell r="H1604" t="str">
            <v>QSR</v>
          </cell>
          <cell r="I1604" t="str">
            <v>FOOD SERVICE</v>
          </cell>
          <cell r="J1604" t="str">
            <v>NUTRI</v>
          </cell>
          <cell r="K1604" t="str">
            <v>LACTALIS</v>
          </cell>
          <cell r="L1604" t="str">
            <v>PEDRO</v>
          </cell>
          <cell r="M1604" t="str">
            <v>VAGO QSR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  <cell r="H1605" t="str">
            <v>QSR</v>
          </cell>
          <cell r="I1605" t="str">
            <v>FOOD SERVICE</v>
          </cell>
          <cell r="J1605" t="str">
            <v>NUTRI</v>
          </cell>
          <cell r="K1605" t="str">
            <v>LACTALIS</v>
          </cell>
          <cell r="L1605" t="str">
            <v>PEDRO</v>
          </cell>
          <cell r="M1605" t="str">
            <v>VAGO QSR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  <cell r="H1606" t="str">
            <v>QSR</v>
          </cell>
          <cell r="I1606" t="str">
            <v>FOOD SERVICE</v>
          </cell>
          <cell r="J1606" t="str">
            <v>NUTRI</v>
          </cell>
          <cell r="K1606" t="str">
            <v>LACTALIS</v>
          </cell>
          <cell r="L1606" t="str">
            <v>PEDRO</v>
          </cell>
          <cell r="M1606" t="str">
            <v>VAGO QSR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  <cell r="H1607" t="str">
            <v>DISTRIBUIÇÃO</v>
          </cell>
          <cell r="I1607" t="str">
            <v>FOOD SERVICE</v>
          </cell>
          <cell r="J1607" t="str">
            <v>FLAC 3</v>
          </cell>
          <cell r="K1607" t="str">
            <v>LACTALIS</v>
          </cell>
          <cell r="L1607" t="str">
            <v>RODRIGO</v>
          </cell>
          <cell r="M1607" t="str">
            <v>RAQUEL BARBOSA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  <cell r="H1608" t="str">
            <v>DISTRIBUIÇÃO</v>
          </cell>
          <cell r="I1608" t="str">
            <v>FOOD SERVICE</v>
          </cell>
          <cell r="J1608" t="str">
            <v>FLAC 2</v>
          </cell>
          <cell r="K1608" t="str">
            <v>LACTALIS</v>
          </cell>
          <cell r="L1608" t="str">
            <v>RODRIGO</v>
          </cell>
          <cell r="M1608" t="str">
            <v>RAQUEL BARBOSA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  <cell r="H1609" t="str">
            <v>DISTRIBUIÇÃO</v>
          </cell>
          <cell r="I1609" t="str">
            <v>FOOD SERVICE</v>
          </cell>
          <cell r="J1609" t="str">
            <v>FLAC 3</v>
          </cell>
          <cell r="K1609" t="str">
            <v>LACTALIS</v>
          </cell>
          <cell r="L1609" t="str">
            <v>RODRIGO</v>
          </cell>
          <cell r="M1609" t="str">
            <v>RAQUEL BARBOSA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  <cell r="H1610" t="str">
            <v>QSR</v>
          </cell>
          <cell r="I1610" t="str">
            <v>FOOD SERVICE</v>
          </cell>
          <cell r="J1610" t="str">
            <v>NUTRI</v>
          </cell>
          <cell r="K1610" t="str">
            <v>LACTALIS</v>
          </cell>
          <cell r="L1610" t="str">
            <v>PEDRO</v>
          </cell>
          <cell r="M1610" t="str">
            <v>VAGO QSR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  <cell r="H1611" t="str">
            <v>QSR</v>
          </cell>
          <cell r="I1611" t="str">
            <v>FOOD SERVICE</v>
          </cell>
          <cell r="J1611" t="str">
            <v>NUTRI</v>
          </cell>
          <cell r="K1611" t="str">
            <v>LACTALIS</v>
          </cell>
          <cell r="L1611" t="str">
            <v>PEDRO</v>
          </cell>
          <cell r="M1611" t="str">
            <v>VAGO QSR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  <cell r="H1612" t="str">
            <v>INGREDIENTS</v>
          </cell>
          <cell r="I1612" t="str">
            <v>INGREDIENTS</v>
          </cell>
          <cell r="J1612" t="str">
            <v>JOEL ELEOTÉRIO</v>
          </cell>
          <cell r="K1612" t="str">
            <v>LACTALIS</v>
          </cell>
          <cell r="L1612" t="str">
            <v>MAURICIO</v>
          </cell>
          <cell r="M1612" t="str">
            <v>JOEL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  <cell r="H1613" t="str">
            <v>MC DONALDS</v>
          </cell>
          <cell r="I1613" t="str">
            <v>MC DONALDS</v>
          </cell>
          <cell r="J1613" t="str">
            <v>MAURICIO GALLI</v>
          </cell>
          <cell r="K1613" t="str">
            <v>LACTALIS</v>
          </cell>
          <cell r="L1613" t="str">
            <v>MAURICIO</v>
          </cell>
          <cell r="M1613" t="str">
            <v>MAURICIO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  <cell r="H1614" t="str">
            <v>DISTRIBUIÇÃO</v>
          </cell>
          <cell r="I1614" t="str">
            <v>FOOD SERVICE</v>
          </cell>
          <cell r="J1614" t="str">
            <v>FLAC 6</v>
          </cell>
          <cell r="K1614" t="str">
            <v>LACTALIS</v>
          </cell>
          <cell r="L1614" t="str">
            <v>RODRIGO</v>
          </cell>
          <cell r="M1614" t="str">
            <v>RAQUEL BARBOSA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  <cell r="H1615" t="str">
            <v>QSR</v>
          </cell>
          <cell r="I1615" t="str">
            <v>FOOD SERVICE</v>
          </cell>
          <cell r="J1615" t="str">
            <v>NUTRI</v>
          </cell>
          <cell r="K1615" t="str">
            <v>LACTALIS</v>
          </cell>
          <cell r="L1615" t="str">
            <v>PEDRO</v>
          </cell>
          <cell r="M1615" t="str">
            <v>VAGO QSR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  <cell r="H1616" t="str">
            <v>QSR</v>
          </cell>
          <cell r="I1616" t="str">
            <v>FOOD SERVICE</v>
          </cell>
          <cell r="J1616" t="str">
            <v>NUTRI</v>
          </cell>
          <cell r="K1616" t="str">
            <v>LACTALIS</v>
          </cell>
          <cell r="L1616" t="str">
            <v>PEDRO</v>
          </cell>
          <cell r="M1616" t="str">
            <v>VAGO QSR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  <cell r="H1617" t="str">
            <v>QSR</v>
          </cell>
          <cell r="I1617" t="str">
            <v>FOOD SERVICE</v>
          </cell>
          <cell r="J1617" t="str">
            <v>NUTRI</v>
          </cell>
          <cell r="K1617" t="str">
            <v>LACTALIS</v>
          </cell>
          <cell r="L1617" t="str">
            <v>PEDRO</v>
          </cell>
          <cell r="M1617" t="str">
            <v>VAGO QSR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  <cell r="H1618" t="str">
            <v>DISTRIBUIÇÃO</v>
          </cell>
          <cell r="I1618" t="str">
            <v>FOOD SERVICE</v>
          </cell>
          <cell r="J1618" t="str">
            <v>JULIANA CORDEIRO</v>
          </cell>
          <cell r="K1618" t="str">
            <v>ITAMBÉ</v>
          </cell>
          <cell r="L1618" t="str">
            <v>RODRIGO</v>
          </cell>
          <cell r="M1618" t="str">
            <v>JESSICA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  <cell r="H1619" t="str">
            <v>DISTRIBUIÇÃO</v>
          </cell>
          <cell r="I1619" t="str">
            <v>FOOD SERVICE</v>
          </cell>
          <cell r="J1619" t="str">
            <v>JULIANA CORDEIRO</v>
          </cell>
          <cell r="K1619" t="str">
            <v>ITAMBÉ</v>
          </cell>
          <cell r="L1619" t="str">
            <v>RODRIGO</v>
          </cell>
          <cell r="M1619" t="str">
            <v>JESSICA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  <cell r="H1620" t="str">
            <v>DISTRIBUIÇÃO</v>
          </cell>
          <cell r="I1620" t="str">
            <v>FOOD SERVICE</v>
          </cell>
          <cell r="J1620" t="str">
            <v>FLAC 5</v>
          </cell>
          <cell r="K1620" t="str">
            <v>LACTALIS</v>
          </cell>
          <cell r="L1620" t="str">
            <v>RODRIGO</v>
          </cell>
          <cell r="M1620" t="str">
            <v>RAQUEL BARBOSA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  <cell r="H1621" t="str">
            <v>DISTRIBUIÇÃO</v>
          </cell>
          <cell r="I1621" t="str">
            <v>FOOD SERVICE</v>
          </cell>
          <cell r="J1621" t="str">
            <v>VAGO SP</v>
          </cell>
          <cell r="K1621" t="str">
            <v>ITAMBÉ</v>
          </cell>
          <cell r="L1621" t="str">
            <v>RODRIGO</v>
          </cell>
          <cell r="M1621" t="str">
            <v>RAQUEL BARBOSA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  <cell r="H1622" t="str">
            <v>DISTRIBUIÇÃO</v>
          </cell>
          <cell r="I1622" t="str">
            <v>FOOD SERVICE</v>
          </cell>
          <cell r="J1622" t="str">
            <v>ANGELICA BATISTELA</v>
          </cell>
          <cell r="K1622" t="str">
            <v>LACTALIS</v>
          </cell>
          <cell r="L1622" t="str">
            <v>RODRIGO</v>
          </cell>
          <cell r="M1622" t="str">
            <v>ANGELICA BATISTELA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  <cell r="H1623" t="str">
            <v>INGREDIENTS</v>
          </cell>
          <cell r="I1623" t="str">
            <v>INGREDIENTS</v>
          </cell>
          <cell r="J1623" t="str">
            <v>DUAS RODAS</v>
          </cell>
          <cell r="K1623" t="str">
            <v>ITAMBÉ</v>
          </cell>
          <cell r="L1623" t="str">
            <v>MAURICIO</v>
          </cell>
          <cell r="M1623" t="str">
            <v>MARCELO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  <cell r="H1624" t="str">
            <v>DISTRIBUIÇÃO</v>
          </cell>
          <cell r="I1624" t="str">
            <v>FOOD SERVICE</v>
          </cell>
          <cell r="J1624" t="str">
            <v>MARCO AURELIO</v>
          </cell>
          <cell r="K1624" t="str">
            <v>ITAMBÉ</v>
          </cell>
          <cell r="L1624" t="str">
            <v>RODRIGO</v>
          </cell>
          <cell r="M1624" t="str">
            <v>MARCO AURELIO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  <cell r="H1625" t="str">
            <v>DISTRIBUIÇÃO</v>
          </cell>
          <cell r="I1625" t="str">
            <v>FOOD SERVICE</v>
          </cell>
          <cell r="J1625" t="str">
            <v>MARCO AURELIO</v>
          </cell>
          <cell r="K1625" t="str">
            <v>ITAMBÉ</v>
          </cell>
          <cell r="L1625" t="str">
            <v>RODRIGO</v>
          </cell>
          <cell r="M1625" t="str">
            <v>MARCO AURELIO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  <cell r="H1626" t="str">
            <v>DISTRIBUIÇÃO</v>
          </cell>
          <cell r="I1626" t="str">
            <v>FOOD SERVICE</v>
          </cell>
          <cell r="J1626" t="str">
            <v>SP ITB FS FLAC REP.E COMERCIO</v>
          </cell>
          <cell r="K1626" t="str">
            <v>LACTALIS</v>
          </cell>
          <cell r="L1626" t="str">
            <v>RODRIGO</v>
          </cell>
          <cell r="M1626" t="str">
            <v>RAQUEL BARBOSA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  <cell r="H1627" t="str">
            <v>DISTRIBUIÇÃO</v>
          </cell>
          <cell r="I1627" t="str">
            <v>FOOD SERVICE</v>
          </cell>
          <cell r="J1627" t="str">
            <v>MARCO AURELIO</v>
          </cell>
          <cell r="K1627" t="str">
            <v>ITAMBÉ</v>
          </cell>
          <cell r="L1627" t="str">
            <v>RODRIGO</v>
          </cell>
          <cell r="M1627" t="str">
            <v>MARCO AURELIO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  <cell r="H1628" t="str">
            <v>DISTRIBUIÇÃO</v>
          </cell>
          <cell r="I1628" t="str">
            <v>FOOD SERVICE</v>
          </cell>
          <cell r="J1628" t="str">
            <v>MARCO AURELIO</v>
          </cell>
          <cell r="K1628" t="str">
            <v>ITAMBÉ</v>
          </cell>
          <cell r="L1628" t="str">
            <v>RODRIGO</v>
          </cell>
          <cell r="M1628" t="str">
            <v>MARCO AURELIO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  <cell r="H1629" t="str">
            <v>INGREDIENTS</v>
          </cell>
          <cell r="I1629" t="str">
            <v>INGREDIENTS</v>
          </cell>
          <cell r="J1629" t="str">
            <v>HENRIQUE FERREIRA</v>
          </cell>
          <cell r="K1629" t="str">
            <v>ITAMBÉ</v>
          </cell>
          <cell r="L1629" t="str">
            <v>MAURICIO</v>
          </cell>
          <cell r="M1629" t="str">
            <v>JOEL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  <cell r="H1630" t="str">
            <v>DISTRIBUIÇÃO</v>
          </cell>
          <cell r="I1630" t="str">
            <v>FOOD SERVICE</v>
          </cell>
          <cell r="J1630" t="str">
            <v>MARCO AURELIO</v>
          </cell>
          <cell r="K1630" t="str">
            <v>ITAMBÉ</v>
          </cell>
          <cell r="L1630" t="str">
            <v>RODRIGO</v>
          </cell>
          <cell r="M1630" t="str">
            <v>MARCO AURELIO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  <cell r="H1631" t="str">
            <v>DISTRIBUIÇÃO</v>
          </cell>
          <cell r="I1631" t="str">
            <v>FOOD SERVICE</v>
          </cell>
          <cell r="J1631" t="str">
            <v>MARCO AURELIO</v>
          </cell>
          <cell r="K1631" t="str">
            <v>ITAMBÉ</v>
          </cell>
          <cell r="L1631" t="str">
            <v>RODRIGO</v>
          </cell>
          <cell r="M1631" t="str">
            <v>MARCO AURELIO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  <cell r="H1632" t="str">
            <v>DISTRIBUIÇÃO</v>
          </cell>
          <cell r="I1632" t="str">
            <v>FOOD SERVICE</v>
          </cell>
          <cell r="J1632" t="str">
            <v>MARCO AURELIO</v>
          </cell>
          <cell r="K1632" t="str">
            <v>ITAMBÉ</v>
          </cell>
          <cell r="L1632" t="str">
            <v>RODRIGO</v>
          </cell>
          <cell r="M1632" t="str">
            <v>MARCO AURELIO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  <cell r="H1633" t="str">
            <v>QSR</v>
          </cell>
          <cell r="I1633" t="str">
            <v>FOOD SERVICE</v>
          </cell>
          <cell r="J1633" t="str">
            <v>NUTRI</v>
          </cell>
          <cell r="K1633" t="str">
            <v>ITAMBÉ</v>
          </cell>
          <cell r="L1633" t="str">
            <v>PEDRO</v>
          </cell>
          <cell r="M1633" t="str">
            <v>VAGO QSR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  <cell r="H1634" t="str">
            <v>INGREDIENTS</v>
          </cell>
          <cell r="I1634" t="str">
            <v>INGREDIENTS</v>
          </cell>
          <cell r="J1634" t="str">
            <v>JOEL ELEOTÉRIO</v>
          </cell>
          <cell r="K1634" t="str">
            <v>LACTALIS</v>
          </cell>
          <cell r="L1634" t="str">
            <v>MAURICIO</v>
          </cell>
          <cell r="M1634" t="str">
            <v>JOEL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  <cell r="H1635" t="str">
            <v>DISTRIBUIÇÃO</v>
          </cell>
          <cell r="I1635" t="str">
            <v>FOOD SERVICE</v>
          </cell>
          <cell r="J1635" t="str">
            <v>GUILHERME NASCIMENTO</v>
          </cell>
          <cell r="K1635" t="str">
            <v>ITAMBÉ</v>
          </cell>
          <cell r="L1635" t="str">
            <v>RODRIGO</v>
          </cell>
          <cell r="M1635" t="str">
            <v>ALEXANDRO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  <cell r="H1636" t="str">
            <v>DISTRIBUIÇÃO</v>
          </cell>
          <cell r="I1636" t="str">
            <v>FOOD SERVICE</v>
          </cell>
          <cell r="J1636" t="str">
            <v>FLAC 8</v>
          </cell>
          <cell r="K1636" t="str">
            <v>LACTALIS</v>
          </cell>
          <cell r="L1636" t="str">
            <v>RODRIGO</v>
          </cell>
          <cell r="M1636" t="str">
            <v>RAQUEL BARBOSA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  <cell r="H1637" t="str">
            <v>DISTRIBUIÇÃO</v>
          </cell>
          <cell r="I1637" t="str">
            <v>FOOD SERVICE</v>
          </cell>
          <cell r="J1637" t="str">
            <v>FLAC 2</v>
          </cell>
          <cell r="K1637" t="str">
            <v>LACTALIS</v>
          </cell>
          <cell r="L1637" t="str">
            <v>RODRIGO</v>
          </cell>
          <cell r="M1637" t="str">
            <v>RAQUEL BARBOSA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  <cell r="H1638" t="str">
            <v>INGREDIENTS</v>
          </cell>
          <cell r="I1638" t="str">
            <v>INGREDIENTS</v>
          </cell>
          <cell r="J1638" t="str">
            <v>TATIANA NITTA</v>
          </cell>
          <cell r="K1638" t="str">
            <v>ITAMBÉ</v>
          </cell>
          <cell r="L1638" t="str">
            <v>MAURICIO</v>
          </cell>
          <cell r="M1638" t="str">
            <v>TATIANA NITTA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  <cell r="H1639" t="str">
            <v>INGREDIENTS</v>
          </cell>
          <cell r="I1639" t="str">
            <v>INGREDIENTS</v>
          </cell>
          <cell r="J1639" t="str">
            <v>DUAS RODAS</v>
          </cell>
          <cell r="K1639" t="str">
            <v>ITAMBÉ</v>
          </cell>
          <cell r="L1639" t="str">
            <v>MAURICIO</v>
          </cell>
          <cell r="M1639" t="str">
            <v>MARCELO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  <cell r="H1640" t="str">
            <v>DISTRIBUIÇÃO</v>
          </cell>
          <cell r="I1640" t="str">
            <v>FOOD SERVICE</v>
          </cell>
          <cell r="J1640" t="str">
            <v>WH FOOD SERVICE CE</v>
          </cell>
          <cell r="K1640" t="str">
            <v>ITAMBÉ</v>
          </cell>
          <cell r="L1640" t="str">
            <v>RODRIGO</v>
          </cell>
          <cell r="M1640" t="str">
            <v>MARIA LOURDES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  <cell r="H1641" t="str">
            <v>DISTRIBUIÇÃO</v>
          </cell>
          <cell r="I1641" t="str">
            <v>FOOD SERVICE</v>
          </cell>
          <cell r="J1641" t="str">
            <v>WH FOOD SERVICE CE</v>
          </cell>
          <cell r="K1641" t="str">
            <v>ITAMBÉ</v>
          </cell>
          <cell r="L1641" t="str">
            <v>RODRIGO</v>
          </cell>
          <cell r="M1641" t="str">
            <v>MARIA LOURDES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  <cell r="H1642" t="str">
            <v>DISTRIBUIÇÃO</v>
          </cell>
          <cell r="I1642" t="str">
            <v>FOOD SERVICE</v>
          </cell>
          <cell r="J1642" t="str">
            <v>ANGELICA BATISTELA</v>
          </cell>
          <cell r="K1642" t="str">
            <v>ITAMBÉ</v>
          </cell>
          <cell r="L1642" t="str">
            <v>RODRIGO</v>
          </cell>
          <cell r="M1642" t="str">
            <v>ANGELICA BATISTELA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  <cell r="H1643" t="str">
            <v>DISTRIBUIÇÃO</v>
          </cell>
          <cell r="I1643" t="str">
            <v>FOOD SERVICE</v>
          </cell>
          <cell r="J1643" t="str">
            <v>JESSICA CARLA</v>
          </cell>
          <cell r="K1643" t="str">
            <v>LACTALIS</v>
          </cell>
          <cell r="L1643" t="str">
            <v>RODRIGO</v>
          </cell>
          <cell r="M1643" t="str">
            <v>JESSICA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  <cell r="H1644" t="str">
            <v>INGREDIENTS</v>
          </cell>
          <cell r="I1644" t="str">
            <v>INGREDIENTS</v>
          </cell>
          <cell r="J1644" t="str">
            <v>JOEL ELEOTÉRIO</v>
          </cell>
          <cell r="K1644" t="str">
            <v>ITAMBÉ</v>
          </cell>
          <cell r="L1644" t="str">
            <v>MAURICIO</v>
          </cell>
          <cell r="M1644" t="str">
            <v>JOEL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  <cell r="H1645" t="str">
            <v>DISTRIBUIÇÃO</v>
          </cell>
          <cell r="I1645" t="str">
            <v>FOOD SERVICE</v>
          </cell>
          <cell r="J1645" t="str">
            <v>FLAC 2</v>
          </cell>
          <cell r="K1645" t="str">
            <v>LACTALIS</v>
          </cell>
          <cell r="L1645" t="str">
            <v>RODRIGO</v>
          </cell>
          <cell r="M1645" t="str">
            <v>RAQUEL BARBOSA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  <cell r="H1646" t="str">
            <v>DISTRIBUIÇÃO</v>
          </cell>
          <cell r="I1646" t="str">
            <v>FOOD SERVICE</v>
          </cell>
          <cell r="J1646" t="str">
            <v>FLAC 1</v>
          </cell>
          <cell r="K1646" t="str">
            <v>LACTALIS</v>
          </cell>
          <cell r="L1646" t="str">
            <v>RODRIGO</v>
          </cell>
          <cell r="M1646" t="str">
            <v>RAQUEL BARBOSA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  <cell r="H1647" t="str">
            <v>INGREDIENTS</v>
          </cell>
          <cell r="I1647" t="str">
            <v>INGREDIENTS</v>
          </cell>
          <cell r="J1647" t="str">
            <v>DUAS RODAS</v>
          </cell>
          <cell r="K1647" t="str">
            <v>ITAMBÉ</v>
          </cell>
          <cell r="L1647" t="str">
            <v>MAURICIO</v>
          </cell>
          <cell r="M1647" t="str">
            <v>MARCELO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  <cell r="H1648" t="str">
            <v>INGREDIENTS</v>
          </cell>
          <cell r="I1648" t="str">
            <v>INGREDIENTS</v>
          </cell>
          <cell r="J1648" t="str">
            <v>JOEL ELEOTÉRIO</v>
          </cell>
          <cell r="K1648" t="str">
            <v>ITAMBÉ</v>
          </cell>
          <cell r="L1648" t="str">
            <v>MAURICIO</v>
          </cell>
          <cell r="M1648" t="str">
            <v>JOEL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  <cell r="H1649" t="str">
            <v>INGREDIENTS</v>
          </cell>
          <cell r="I1649" t="str">
            <v>INGREDIENTS</v>
          </cell>
          <cell r="J1649" t="str">
            <v>HENRIQUE FERREIRA</v>
          </cell>
          <cell r="K1649" t="str">
            <v>ITAMBÉ</v>
          </cell>
          <cell r="L1649" t="str">
            <v>MAURICIO</v>
          </cell>
          <cell r="M1649" t="str">
            <v>JOEL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  <cell r="H1650" t="str">
            <v>DISTRIBUIÇÃO</v>
          </cell>
          <cell r="I1650" t="str">
            <v>FOOD SERVICE</v>
          </cell>
          <cell r="J1650" t="str">
            <v>FLAC 5</v>
          </cell>
          <cell r="K1650" t="str">
            <v>LACTALIS</v>
          </cell>
          <cell r="L1650" t="str">
            <v>RODRIGO</v>
          </cell>
          <cell r="M1650" t="str">
            <v>RAQUEL BARBOSA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  <cell r="H1651" t="str">
            <v>DISTRIBUIÇÃO</v>
          </cell>
          <cell r="I1651" t="str">
            <v>FOOD SERVICE</v>
          </cell>
          <cell r="J1651" t="str">
            <v>FLAC 2</v>
          </cell>
          <cell r="K1651" t="str">
            <v>LACTALIS</v>
          </cell>
          <cell r="L1651" t="str">
            <v>RODRIGO</v>
          </cell>
          <cell r="M1651" t="str">
            <v>RAQUEL BARBOSA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  <cell r="H1652" t="str">
            <v>INGREDIENTS</v>
          </cell>
          <cell r="I1652" t="str">
            <v>INGREDIENTS</v>
          </cell>
          <cell r="J1652" t="str">
            <v>DUAS RODAS</v>
          </cell>
          <cell r="K1652" t="str">
            <v>ITAMBÉ</v>
          </cell>
          <cell r="L1652" t="str">
            <v>MAURICIO</v>
          </cell>
          <cell r="M1652" t="str">
            <v>MARCELO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  <cell r="H1653" t="str">
            <v>INGREDIENTS</v>
          </cell>
          <cell r="I1653" t="str">
            <v>INGREDIENTS</v>
          </cell>
          <cell r="J1653" t="str">
            <v>HENRIQUE FERREIRA</v>
          </cell>
          <cell r="K1653" t="str">
            <v>ITAMBÉ</v>
          </cell>
          <cell r="L1653" t="str">
            <v>MAURICIO</v>
          </cell>
          <cell r="M1653" t="str">
            <v>JOEL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  <cell r="H1654" t="str">
            <v>INGREDIENTS</v>
          </cell>
          <cell r="I1654" t="str">
            <v>INGREDIENTS</v>
          </cell>
          <cell r="J1654" t="str">
            <v>DUAS RODAS</v>
          </cell>
          <cell r="K1654" t="str">
            <v>ITAMBÉ</v>
          </cell>
          <cell r="L1654" t="str">
            <v>MAURICIO</v>
          </cell>
          <cell r="M1654" t="str">
            <v>MARCELO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  <cell r="H1655" t="str">
            <v>DISTRIBUIÇÃO</v>
          </cell>
          <cell r="I1655" t="str">
            <v>FOOD SERVICE</v>
          </cell>
          <cell r="J1655" t="str">
            <v>WH FOOD SERVICE CE</v>
          </cell>
          <cell r="K1655" t="str">
            <v>ITAMBÉ</v>
          </cell>
          <cell r="L1655" t="str">
            <v>RODRIGO</v>
          </cell>
          <cell r="M1655" t="str">
            <v>MARIA LOURDES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  <cell r="H1656" t="str">
            <v>INGREDIENTS</v>
          </cell>
          <cell r="I1656" t="str">
            <v>INGREDIENTS</v>
          </cell>
          <cell r="J1656" t="str">
            <v>JOEL ELEOTÉRIO</v>
          </cell>
          <cell r="K1656" t="str">
            <v>LACTALIS</v>
          </cell>
          <cell r="L1656" t="str">
            <v>MAURICIO</v>
          </cell>
          <cell r="M1656" t="str">
            <v>JOEL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  <cell r="H1657" t="str">
            <v>INGREDIENTS</v>
          </cell>
          <cell r="I1657" t="str">
            <v>INGREDIENTS</v>
          </cell>
          <cell r="J1657" t="str">
            <v>DUAS RODAS</v>
          </cell>
          <cell r="K1657" t="str">
            <v>ITAMBÉ</v>
          </cell>
          <cell r="L1657" t="str">
            <v>MAURICIO</v>
          </cell>
          <cell r="M1657" t="str">
            <v>MARCELO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  <cell r="H1658" t="str">
            <v>DISTRIBUIÇÃO</v>
          </cell>
          <cell r="I1658" t="str">
            <v>FOOD SERVICE</v>
          </cell>
          <cell r="J1658" t="str">
            <v>WH FOOD SERVICE CE</v>
          </cell>
          <cell r="K1658" t="str">
            <v>ITAMBÉ</v>
          </cell>
          <cell r="L1658" t="str">
            <v>RODRIGO</v>
          </cell>
          <cell r="M1658" t="str">
            <v>MARIA LOURDES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  <cell r="H1659" t="str">
            <v>DISTRIBUIÇÃO</v>
          </cell>
          <cell r="I1659" t="str">
            <v>FOOD SERVICE</v>
          </cell>
          <cell r="J1659" t="str">
            <v>WH FOOD SERVICE CE</v>
          </cell>
          <cell r="K1659" t="str">
            <v>ITAMBÉ</v>
          </cell>
          <cell r="L1659" t="str">
            <v>RODRIGO</v>
          </cell>
          <cell r="M1659" t="str">
            <v>MARIA LOURDES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  <cell r="H1660" t="str">
            <v>DISTRIBUIÇÃO</v>
          </cell>
          <cell r="I1660" t="str">
            <v>FOOD SERVICE</v>
          </cell>
          <cell r="J1660" t="str">
            <v>VAGO SP</v>
          </cell>
          <cell r="K1660" t="str">
            <v>ITAMBÉ</v>
          </cell>
          <cell r="L1660" t="str">
            <v>RODRIGO</v>
          </cell>
          <cell r="M1660" t="str">
            <v>RAQUEL BARBOSA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  <cell r="H1661" t="str">
            <v>DISTRIBUIÇÃO</v>
          </cell>
          <cell r="I1661" t="str">
            <v>FOOD SERVICE</v>
          </cell>
          <cell r="J1661" t="str">
            <v>WH FOOD SERVICE CE</v>
          </cell>
          <cell r="K1661" t="str">
            <v>ITAMBÉ</v>
          </cell>
          <cell r="L1661" t="str">
            <v>RODRIGO</v>
          </cell>
          <cell r="M1661" t="str">
            <v>MARIA LOURDES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  <cell r="H1662" t="str">
            <v>DISTRIBUIÇÃO</v>
          </cell>
          <cell r="I1662" t="str">
            <v>FOOD SERVICE</v>
          </cell>
          <cell r="J1662" t="str">
            <v>WH FOOD SERVICE CE</v>
          </cell>
          <cell r="K1662" t="str">
            <v>ITAMBÉ</v>
          </cell>
          <cell r="L1662" t="str">
            <v>RODRIGO</v>
          </cell>
          <cell r="M1662" t="str">
            <v>MARIA LOURDES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  <cell r="H1663" t="str">
            <v>DISTRIBUIÇÃO</v>
          </cell>
          <cell r="I1663" t="str">
            <v>FOOD SERVICE</v>
          </cell>
          <cell r="J1663" t="str">
            <v>WH FOOD SERVICE CE</v>
          </cell>
          <cell r="K1663" t="str">
            <v>ITAMBÉ</v>
          </cell>
          <cell r="L1663" t="str">
            <v>RODRIGO</v>
          </cell>
          <cell r="M1663" t="str">
            <v>MARIA LOURDES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  <cell r="H1664" t="str">
            <v>DISTRIBUIÇÃO</v>
          </cell>
          <cell r="I1664" t="str">
            <v>FOOD SERVICE</v>
          </cell>
          <cell r="J1664" t="str">
            <v>WH FOOD SERVICE CE</v>
          </cell>
          <cell r="K1664" t="str">
            <v>ITAMBÉ</v>
          </cell>
          <cell r="L1664" t="str">
            <v>RODRIGO</v>
          </cell>
          <cell r="M1664" t="str">
            <v>MARIA LOURDES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  <cell r="H1665" t="str">
            <v>INGREDIENTS</v>
          </cell>
          <cell r="I1665" t="str">
            <v>INGREDIENTS</v>
          </cell>
          <cell r="J1665" t="str">
            <v>MARCELO RODRIGUES</v>
          </cell>
          <cell r="K1665" t="str">
            <v>LACTALIS</v>
          </cell>
          <cell r="L1665" t="str">
            <v>MAURICIO</v>
          </cell>
          <cell r="M1665" t="str">
            <v>MARCELO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  <cell r="H1666" t="str">
            <v>DISTRIBUIÇÃO</v>
          </cell>
          <cell r="I1666" t="str">
            <v>FOOD SERVICE</v>
          </cell>
          <cell r="J1666" t="str">
            <v>FLAC 3</v>
          </cell>
          <cell r="K1666" t="str">
            <v>LACTALIS</v>
          </cell>
          <cell r="L1666" t="str">
            <v>RODRIGO</v>
          </cell>
          <cell r="M1666" t="str">
            <v>RAQUEL BARBOSA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  <cell r="H1667" t="str">
            <v>INGREDIENTS</v>
          </cell>
          <cell r="I1667" t="str">
            <v>INGREDIENTS</v>
          </cell>
          <cell r="J1667" t="str">
            <v>JOEL ELEOTÉRIO</v>
          </cell>
          <cell r="K1667" t="str">
            <v>LACTALIS</v>
          </cell>
          <cell r="L1667" t="str">
            <v>MAURICIO</v>
          </cell>
          <cell r="M1667" t="str">
            <v>JOEL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  <cell r="H1668" t="str">
            <v>QSR</v>
          </cell>
          <cell r="I1668" t="str">
            <v>FOOD SERVICE</v>
          </cell>
          <cell r="J1668" t="str">
            <v>NUTRI</v>
          </cell>
          <cell r="K1668" t="str">
            <v>ITAMBÉ</v>
          </cell>
          <cell r="L1668" t="str">
            <v>PEDRO</v>
          </cell>
          <cell r="M1668" t="str">
            <v>VAGO QSR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  <cell r="H1669" t="str">
            <v>DISTRIBUIÇÃO</v>
          </cell>
          <cell r="I1669" t="str">
            <v>FOOD SERVICE</v>
          </cell>
          <cell r="J1669" t="str">
            <v>WH FOOD SERVICE CE</v>
          </cell>
          <cell r="K1669" t="str">
            <v>ITAMBÉ</v>
          </cell>
          <cell r="L1669" t="str">
            <v>RODRIGO</v>
          </cell>
          <cell r="M1669" t="str">
            <v>MARIA LOURDES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  <cell r="H1670" t="str">
            <v>DISTRIBUIÇÃO</v>
          </cell>
          <cell r="I1670" t="str">
            <v>FOOD SERVICE</v>
          </cell>
          <cell r="J1670" t="str">
            <v>WH FOOD SERVICE CE</v>
          </cell>
          <cell r="K1670" t="str">
            <v>ITAMBÉ</v>
          </cell>
          <cell r="L1670" t="str">
            <v>RODRIGO</v>
          </cell>
          <cell r="M1670" t="str">
            <v>MARIA LOURDES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  <cell r="H1671" t="str">
            <v>DISTRIBUIÇÃO</v>
          </cell>
          <cell r="I1671" t="str">
            <v>FOOD SERVICE</v>
          </cell>
          <cell r="J1671" t="str">
            <v>WH FOOD SERVICE CE</v>
          </cell>
          <cell r="K1671" t="str">
            <v>ITAMBÉ</v>
          </cell>
          <cell r="L1671" t="str">
            <v>RODRIGO</v>
          </cell>
          <cell r="M1671" t="str">
            <v>MARIA LOURDES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  <cell r="H1672" t="str">
            <v>DISTRIBUIÇÃO</v>
          </cell>
          <cell r="I1672" t="str">
            <v>FOOD SERVICE</v>
          </cell>
          <cell r="J1672" t="str">
            <v>FLAC 2</v>
          </cell>
          <cell r="K1672" t="str">
            <v>LACTALIS</v>
          </cell>
          <cell r="L1672" t="str">
            <v>RODRIGO</v>
          </cell>
          <cell r="M1672" t="str">
            <v>RAQUEL BARBOSA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  <cell r="H1673" t="str">
            <v>OUTROS</v>
          </cell>
          <cell r="I1673" t="str">
            <v>OUTROS</v>
          </cell>
          <cell r="J1673" t="str">
            <v>EDUARDO LEITE LEVE LEITE</v>
          </cell>
          <cell r="K1673" t="str">
            <v>OUTROS</v>
          </cell>
          <cell r="L1673" t="str">
            <v>OUTROS</v>
          </cell>
          <cell r="M1673" t="str">
            <v>LICITAÇÃO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  <cell r="H1674" t="str">
            <v>OUTROS</v>
          </cell>
          <cell r="I1674" t="str">
            <v>OUTROS</v>
          </cell>
          <cell r="J1674" t="str">
            <v>EDUARDO LEITE LEVE LEITE</v>
          </cell>
          <cell r="K1674" t="str">
            <v>OUTROS</v>
          </cell>
          <cell r="L1674" t="str">
            <v>OUTROS</v>
          </cell>
          <cell r="M1674" t="str">
            <v>LICITAÇÃO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  <cell r="H1675" t="str">
            <v>INGREDIENTS</v>
          </cell>
          <cell r="I1675" t="str">
            <v>INGREDIENTS</v>
          </cell>
          <cell r="J1675" t="str">
            <v>DUAS RODAS</v>
          </cell>
          <cell r="K1675" t="str">
            <v>ITAMBÉ</v>
          </cell>
          <cell r="L1675" t="str">
            <v>MAURICIO</v>
          </cell>
          <cell r="M1675" t="str">
            <v>MARCELO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  <cell r="H1676" t="str">
            <v>DISTRIBUIÇÃO</v>
          </cell>
          <cell r="I1676" t="str">
            <v>FOOD SERVICE</v>
          </cell>
          <cell r="J1676" t="str">
            <v>FLAC 1</v>
          </cell>
          <cell r="K1676" t="str">
            <v>LACTALIS</v>
          </cell>
          <cell r="L1676" t="str">
            <v>RODRIGO</v>
          </cell>
          <cell r="M1676" t="str">
            <v>RAQUEL BARBOSA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  <cell r="H1677" t="str">
            <v>DISTRIBUIÇÃO</v>
          </cell>
          <cell r="I1677" t="str">
            <v>FOOD SERVICE</v>
          </cell>
          <cell r="J1677" t="str">
            <v>FLAC 1</v>
          </cell>
          <cell r="K1677" t="str">
            <v>LACTALIS</v>
          </cell>
          <cell r="L1677" t="str">
            <v>RODRIGO</v>
          </cell>
          <cell r="M1677" t="str">
            <v>RAQUEL BARBOSA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  <cell r="H1678" t="str">
            <v>QSR</v>
          </cell>
          <cell r="I1678" t="str">
            <v>FOOD SERVICE</v>
          </cell>
          <cell r="J1678" t="str">
            <v>NUTRI</v>
          </cell>
          <cell r="K1678" t="str">
            <v>ITAMBÉ</v>
          </cell>
          <cell r="L1678" t="str">
            <v>PEDRO</v>
          </cell>
          <cell r="M1678" t="str">
            <v>VAGO QSR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  <cell r="H1679" t="str">
            <v>DISTRIBUIÇÃO</v>
          </cell>
          <cell r="I1679" t="str">
            <v>FOOD SERVICE</v>
          </cell>
          <cell r="J1679" t="str">
            <v>CLAUDIO JORGE</v>
          </cell>
          <cell r="K1679" t="str">
            <v>ITAMBÉ</v>
          </cell>
          <cell r="L1679" t="str">
            <v>RODRIGO</v>
          </cell>
          <cell r="M1679" t="str">
            <v>MARIA LOURDES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  <cell r="H1680" t="str">
            <v>DISTRIBUIÇÃO</v>
          </cell>
          <cell r="I1680" t="str">
            <v>FOOD SERVICE</v>
          </cell>
          <cell r="J1680" t="str">
            <v>WH FOOD SERVICE CE</v>
          </cell>
          <cell r="K1680" t="str">
            <v>ITAMBÉ</v>
          </cell>
          <cell r="L1680" t="str">
            <v>RODRIGO</v>
          </cell>
          <cell r="M1680" t="str">
            <v>MARIA LOURDES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  <cell r="H1681" t="str">
            <v>DISTRIBUIÇÃO</v>
          </cell>
          <cell r="I1681" t="str">
            <v>FOOD SERVICE</v>
          </cell>
          <cell r="J1681" t="str">
            <v>MARCELO DUARTE</v>
          </cell>
          <cell r="K1681" t="str">
            <v>ITAMBÉ</v>
          </cell>
          <cell r="L1681" t="str">
            <v>RODRIGO</v>
          </cell>
          <cell r="M1681" t="str">
            <v>JESSICA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  <cell r="H1682" t="str">
            <v>OUTROS</v>
          </cell>
          <cell r="I1682" t="str">
            <v>OUTROS</v>
          </cell>
          <cell r="J1682" t="str">
            <v>OUTROS</v>
          </cell>
          <cell r="K1682" t="str">
            <v>OUTROS</v>
          </cell>
          <cell r="L1682" t="str">
            <v>OUTROS</v>
          </cell>
          <cell r="M1682" t="str">
            <v>OUTROS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  <cell r="H1683" t="str">
            <v>DISTRIBUIÇÃO</v>
          </cell>
          <cell r="I1683" t="str">
            <v>FOOD SERVICE</v>
          </cell>
          <cell r="J1683" t="str">
            <v>FLAC 2</v>
          </cell>
          <cell r="K1683" t="str">
            <v>LACTALIS</v>
          </cell>
          <cell r="L1683" t="str">
            <v>RODRIGO</v>
          </cell>
          <cell r="M1683" t="str">
            <v>RAQUEL BARBOSA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  <cell r="H1684" t="str">
            <v>DISTRIBUIÇÃO</v>
          </cell>
          <cell r="I1684" t="str">
            <v>FOOD SERVICE</v>
          </cell>
          <cell r="J1684" t="str">
            <v>FLAC 2</v>
          </cell>
          <cell r="K1684" t="str">
            <v>LACTALIS</v>
          </cell>
          <cell r="L1684" t="str">
            <v>RODRIGO</v>
          </cell>
          <cell r="M1684" t="str">
            <v>RAQUEL BARBOSA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  <cell r="H1685" t="str">
            <v>DISTRIBUIÇÃO</v>
          </cell>
          <cell r="I1685" t="str">
            <v>FOOD SERVICE</v>
          </cell>
          <cell r="J1685" t="str">
            <v>FLAC 2</v>
          </cell>
          <cell r="K1685" t="str">
            <v>LACTALIS</v>
          </cell>
          <cell r="L1685" t="str">
            <v>RODRIGO</v>
          </cell>
          <cell r="M1685" t="str">
            <v>RAQUEL BARBOSA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  <cell r="H1686" t="str">
            <v>DISTRIBUIÇÃO</v>
          </cell>
          <cell r="I1686" t="str">
            <v>FOOD SERVICE</v>
          </cell>
          <cell r="J1686" t="str">
            <v>LUCIANA MARTINS</v>
          </cell>
          <cell r="K1686" t="str">
            <v>LACTALIS</v>
          </cell>
          <cell r="L1686" t="str">
            <v>RODRIGO</v>
          </cell>
          <cell r="M1686" t="str">
            <v>JESSICA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  <cell r="H1687" t="str">
            <v>DISTRIBUIÇÃO</v>
          </cell>
          <cell r="I1687" t="str">
            <v>FOOD SERVICE</v>
          </cell>
          <cell r="J1687" t="str">
            <v>WH FOOD SERVICE CE</v>
          </cell>
          <cell r="K1687" t="str">
            <v>ITAMBÉ</v>
          </cell>
          <cell r="L1687" t="str">
            <v>RODRIGO</v>
          </cell>
          <cell r="M1687" t="str">
            <v>MARIA LOURDES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  <cell r="H1688" t="str">
            <v>DISTRIBUIÇÃO</v>
          </cell>
          <cell r="I1688" t="str">
            <v>FOOD SERVICE</v>
          </cell>
          <cell r="J1688" t="str">
            <v>FLAC 3</v>
          </cell>
          <cell r="K1688" t="str">
            <v>LACTALIS</v>
          </cell>
          <cell r="L1688" t="str">
            <v>RODRIGO</v>
          </cell>
          <cell r="M1688" t="str">
            <v>RAQUEL BARBOSA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  <cell r="H1689" t="str">
            <v>INGREDIENTS</v>
          </cell>
          <cell r="I1689" t="str">
            <v>INGREDIENTS</v>
          </cell>
          <cell r="J1689" t="str">
            <v>MARCELO RODRIGUES</v>
          </cell>
          <cell r="K1689" t="str">
            <v>ITAMBÉ</v>
          </cell>
          <cell r="L1689" t="str">
            <v>MAURICIO</v>
          </cell>
          <cell r="M1689" t="str">
            <v>MARCELO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  <cell r="H1690" t="str">
            <v>DISTRIBUIÇÃO</v>
          </cell>
          <cell r="I1690" t="str">
            <v>FOOD SERVICE</v>
          </cell>
          <cell r="J1690" t="str">
            <v>JESSICA CARLA</v>
          </cell>
          <cell r="K1690" t="str">
            <v>LACTALIS</v>
          </cell>
          <cell r="L1690" t="str">
            <v>RODRIGO</v>
          </cell>
          <cell r="M1690" t="str">
            <v>JESSICA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  <cell r="H1691" t="str">
            <v>DISTRIBUIÇÃO</v>
          </cell>
          <cell r="I1691" t="str">
            <v>FOOD SERVICE</v>
          </cell>
          <cell r="J1691" t="str">
            <v>CLAUDIO JORGE/LUIZ</v>
          </cell>
          <cell r="K1691" t="str">
            <v>ITAMBÉ</v>
          </cell>
          <cell r="L1691" t="str">
            <v>RODRIGO</v>
          </cell>
          <cell r="M1691" t="str">
            <v>MARIA LOURDES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  <cell r="H1692" t="str">
            <v>INGREDIENTS</v>
          </cell>
          <cell r="I1692" t="str">
            <v>INGREDIENTS</v>
          </cell>
          <cell r="J1692" t="str">
            <v>MARCELO RODRIGUES</v>
          </cell>
          <cell r="K1692" t="str">
            <v>ITAMBÉ</v>
          </cell>
          <cell r="L1692" t="str">
            <v>MAURICIO</v>
          </cell>
          <cell r="M1692" t="str">
            <v>MARCELO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  <cell r="H1693" t="str">
            <v>DISTRIBUIÇÃO</v>
          </cell>
          <cell r="I1693" t="str">
            <v>FOOD SERVICE</v>
          </cell>
          <cell r="J1693" t="str">
            <v>WH FOOD SERVICE CE</v>
          </cell>
          <cell r="K1693" t="str">
            <v>ITAMBÉ</v>
          </cell>
          <cell r="L1693" t="str">
            <v>RODRIGO</v>
          </cell>
          <cell r="M1693" t="str">
            <v>MARIA LOURDES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  <cell r="H1694" t="str">
            <v>INGREDIENTS</v>
          </cell>
          <cell r="I1694" t="str">
            <v>INGREDIENTS</v>
          </cell>
          <cell r="J1694" t="str">
            <v>JOEL ELEOTÉRIO</v>
          </cell>
          <cell r="K1694" t="str">
            <v>ITAMBÉ</v>
          </cell>
          <cell r="L1694" t="str">
            <v>MAURICIO</v>
          </cell>
          <cell r="M1694" t="str">
            <v>JOEL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  <cell r="H1695" t="str">
            <v>DISTRIBUIÇÃO</v>
          </cell>
          <cell r="I1695" t="str">
            <v>FOOD SERVICE</v>
          </cell>
          <cell r="J1695" t="str">
            <v>JULIANA CORDEIRO</v>
          </cell>
          <cell r="K1695" t="str">
            <v>ITAMBÉ</v>
          </cell>
          <cell r="L1695" t="str">
            <v>RODRIGO</v>
          </cell>
          <cell r="M1695" t="str">
            <v>JESSICA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  <cell r="H1696" t="str">
            <v>INGREDIENTS</v>
          </cell>
          <cell r="I1696" t="str">
            <v>INGREDIENTS</v>
          </cell>
          <cell r="J1696" t="str">
            <v>HENRIQUE FERREIRA</v>
          </cell>
          <cell r="K1696" t="str">
            <v>ITAMBÉ</v>
          </cell>
          <cell r="L1696" t="str">
            <v>MAURICIO</v>
          </cell>
          <cell r="M1696" t="str">
            <v>JOEL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  <cell r="H1697" t="str">
            <v>INGREDIENTS</v>
          </cell>
          <cell r="I1697" t="str">
            <v>INGREDIENTS</v>
          </cell>
          <cell r="J1697" t="str">
            <v>JOEL ELEOTÉRIO</v>
          </cell>
          <cell r="K1697" t="str">
            <v>LACTALIS</v>
          </cell>
          <cell r="L1697" t="str">
            <v>MAURICIO</v>
          </cell>
          <cell r="M1697" t="str">
            <v>JOEL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  <cell r="H1698" t="str">
            <v>INGREDIENTS</v>
          </cell>
          <cell r="I1698" t="str">
            <v>INGREDIENTS</v>
          </cell>
          <cell r="J1698" t="str">
            <v>HENRIQUE FERREIRA</v>
          </cell>
          <cell r="K1698" t="str">
            <v>ITAMBÉ</v>
          </cell>
          <cell r="L1698" t="str">
            <v>MAURICIO</v>
          </cell>
          <cell r="M1698" t="str">
            <v>JOEL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  <cell r="H1699" t="str">
            <v>INGREDIENTS</v>
          </cell>
          <cell r="I1699" t="str">
            <v>INGREDIENTS</v>
          </cell>
          <cell r="J1699" t="str">
            <v>TATIANA NITTA</v>
          </cell>
          <cell r="K1699" t="str">
            <v>ITAMBÉ</v>
          </cell>
          <cell r="L1699" t="str">
            <v>MAURICIO</v>
          </cell>
          <cell r="M1699" t="str">
            <v>TATIANA NITTA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  <cell r="H1700" t="str">
            <v>DISTRIBUIÇÃO</v>
          </cell>
          <cell r="I1700" t="str">
            <v>FOOD SERVICE</v>
          </cell>
          <cell r="J1700" t="str">
            <v>FLAC 2</v>
          </cell>
          <cell r="K1700" t="str">
            <v>LACTALIS</v>
          </cell>
          <cell r="L1700" t="str">
            <v>RODRIGO</v>
          </cell>
          <cell r="M1700" t="str">
            <v>RAQUEL BARBOSA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  <cell r="H1701" t="str">
            <v>INGREDIENTS</v>
          </cell>
          <cell r="I1701" t="str">
            <v>INGREDIENTS</v>
          </cell>
          <cell r="J1701" t="str">
            <v>MARCELO RODRIGUES</v>
          </cell>
          <cell r="K1701" t="str">
            <v>ITAMBÉ</v>
          </cell>
          <cell r="L1701" t="str">
            <v>MAURICIO</v>
          </cell>
          <cell r="M1701" t="str">
            <v>MARCELO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  <cell r="H1702" t="str">
            <v>INGREDIENTS</v>
          </cell>
          <cell r="I1702" t="str">
            <v>INGREDIENTS</v>
          </cell>
          <cell r="J1702" t="str">
            <v>MARCELO RODRIGUES</v>
          </cell>
          <cell r="K1702" t="str">
            <v>ITAMBÉ</v>
          </cell>
          <cell r="L1702" t="str">
            <v>MAURICIO</v>
          </cell>
          <cell r="M1702" t="str">
            <v>MARCELO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  <cell r="H1703" t="str">
            <v>DISTRIBUIÇÃO</v>
          </cell>
          <cell r="I1703" t="str">
            <v>FOOD SERVICE</v>
          </cell>
          <cell r="J1703" t="str">
            <v>CLAUDIO JORGE/LUIZ</v>
          </cell>
          <cell r="K1703" t="str">
            <v>ITAMBÉ</v>
          </cell>
          <cell r="L1703" t="str">
            <v>RODRIGO</v>
          </cell>
          <cell r="M1703" t="str">
            <v>MARIA LOURDES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  <cell r="H1704" t="str">
            <v>INGREDIENTS</v>
          </cell>
          <cell r="I1704" t="str">
            <v>INGREDIENTS</v>
          </cell>
          <cell r="J1704" t="str">
            <v>MARCELO RODRIGUES</v>
          </cell>
          <cell r="K1704" t="str">
            <v>ITAMBÉ</v>
          </cell>
          <cell r="L1704" t="str">
            <v>MAURICIO</v>
          </cell>
          <cell r="M1704" t="str">
            <v>MARCELO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  <cell r="H1705" t="str">
            <v>DISTRIBUIÇÃO</v>
          </cell>
          <cell r="I1705" t="str">
            <v>FOOD SERVICE</v>
          </cell>
          <cell r="J1705" t="str">
            <v>CLAUDIO JORGE/LUIZ</v>
          </cell>
          <cell r="K1705" t="str">
            <v>ITAMBÉ</v>
          </cell>
          <cell r="L1705" t="str">
            <v>RODRIGO</v>
          </cell>
          <cell r="M1705" t="str">
            <v>MARIA LOURDES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  <cell r="H1706" t="str">
            <v>DISTRIBUIÇÃO</v>
          </cell>
          <cell r="I1706" t="str">
            <v>FOOD SERVICE</v>
          </cell>
          <cell r="J1706" t="str">
            <v>LUCIANA MARTINS</v>
          </cell>
          <cell r="K1706" t="str">
            <v>LACTALIS</v>
          </cell>
          <cell r="L1706" t="str">
            <v>RODRIGO</v>
          </cell>
          <cell r="M1706" t="str">
            <v>JESSICA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  <cell r="H1707" t="str">
            <v>DISTRIBUIÇÃO</v>
          </cell>
          <cell r="I1707" t="str">
            <v>FOOD SERVICE</v>
          </cell>
          <cell r="J1707" t="str">
            <v>FLAC 2</v>
          </cell>
          <cell r="K1707" t="str">
            <v>LACTALIS</v>
          </cell>
          <cell r="L1707" t="str">
            <v>RODRIGO</v>
          </cell>
          <cell r="M1707" t="str">
            <v>RAQUEL BARBOSA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  <cell r="H1708" t="str">
            <v>DISTRIBUIÇÃO</v>
          </cell>
          <cell r="I1708" t="str">
            <v>FOOD SERVICE</v>
          </cell>
          <cell r="J1708" t="str">
            <v>FLAC 6</v>
          </cell>
          <cell r="K1708" t="str">
            <v>LACTALIS</v>
          </cell>
          <cell r="L1708" t="str">
            <v>RODRIGO</v>
          </cell>
          <cell r="M1708" t="str">
            <v>RAQUEL BARBOSA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  <cell r="H1709" t="str">
            <v>INGREDIENTS</v>
          </cell>
          <cell r="I1709" t="str">
            <v>INGREDIENTS</v>
          </cell>
          <cell r="J1709" t="str">
            <v>DUAS RODAS</v>
          </cell>
          <cell r="K1709" t="str">
            <v>ITAMBÉ</v>
          </cell>
          <cell r="L1709" t="str">
            <v>MAURICIO</v>
          </cell>
          <cell r="M1709" t="str">
            <v>MARCELO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  <cell r="H1710" t="str">
            <v>DISTRIBUIÇÃO</v>
          </cell>
          <cell r="I1710" t="str">
            <v>FOOD SERVICE</v>
          </cell>
          <cell r="J1710" t="str">
            <v>FLAC 2</v>
          </cell>
          <cell r="K1710" t="str">
            <v>LACTALIS</v>
          </cell>
          <cell r="L1710" t="str">
            <v>RODRIGO</v>
          </cell>
          <cell r="M1710" t="str">
            <v>RAQUEL BARBOSA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  <cell r="H1711" t="str">
            <v>DISTRIBUIÇÃO</v>
          </cell>
          <cell r="I1711" t="str">
            <v>FOOD SERVICE</v>
          </cell>
          <cell r="J1711" t="str">
            <v>FLAC 6</v>
          </cell>
          <cell r="K1711" t="str">
            <v>LACTALIS</v>
          </cell>
          <cell r="L1711" t="str">
            <v>RODRIGO</v>
          </cell>
          <cell r="M1711" t="str">
            <v>RAQUEL BARBOSA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  <cell r="H1712" t="str">
            <v>QSR</v>
          </cell>
          <cell r="I1712" t="str">
            <v>FOOD SERVICE</v>
          </cell>
          <cell r="J1712" t="str">
            <v>NUTRI</v>
          </cell>
          <cell r="K1712" t="str">
            <v>LACTALIS</v>
          </cell>
          <cell r="L1712" t="str">
            <v>PEDRO</v>
          </cell>
          <cell r="M1712" t="str">
            <v>VAGO QSR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  <cell r="H1713" t="str">
            <v>QSR</v>
          </cell>
          <cell r="I1713" t="str">
            <v>FOOD SERVICE</v>
          </cell>
          <cell r="J1713" t="str">
            <v>ANA MENIQUETE</v>
          </cell>
          <cell r="K1713" t="str">
            <v>LACTALIS</v>
          </cell>
          <cell r="L1713" t="str">
            <v>PEDRO</v>
          </cell>
          <cell r="M1713" t="str">
            <v>ANA MENIQUETE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  <cell r="H1714" t="str">
            <v>QSR</v>
          </cell>
          <cell r="I1714" t="str">
            <v>FOOD SERVICE</v>
          </cell>
          <cell r="J1714" t="str">
            <v>NUTRI</v>
          </cell>
          <cell r="K1714" t="str">
            <v>LACTALIS</v>
          </cell>
          <cell r="L1714" t="str">
            <v>PEDRO</v>
          </cell>
          <cell r="M1714" t="str">
            <v>VAGO QSR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  <cell r="H1715" t="str">
            <v>DISTRIBUIÇÃO</v>
          </cell>
          <cell r="I1715" t="str">
            <v>FOOD SERVICE</v>
          </cell>
          <cell r="J1715" t="str">
            <v>MARCELO DUARTE</v>
          </cell>
          <cell r="K1715" t="str">
            <v>LACTALIS</v>
          </cell>
          <cell r="L1715" t="str">
            <v>RODRIGO</v>
          </cell>
          <cell r="M1715" t="str">
            <v>JESSICA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  <cell r="H1716" t="str">
            <v>DISTRIBUIÇÃO</v>
          </cell>
          <cell r="I1716" t="str">
            <v>FOOD SERVICE</v>
          </cell>
          <cell r="J1716" t="str">
            <v>LUCIANA MARTINS</v>
          </cell>
          <cell r="K1716" t="str">
            <v>LACTALIS</v>
          </cell>
          <cell r="L1716" t="str">
            <v>RODRIGO</v>
          </cell>
          <cell r="M1716" t="str">
            <v>JESSICA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  <cell r="H1717" t="str">
            <v>INGREDIENTS</v>
          </cell>
          <cell r="I1717" t="str">
            <v>INGREDIENTS</v>
          </cell>
          <cell r="J1717" t="str">
            <v>HENRIQUE FERREIRA</v>
          </cell>
          <cell r="K1717" t="str">
            <v>ITAMBÉ</v>
          </cell>
          <cell r="L1717" t="str">
            <v>MAURICIO</v>
          </cell>
          <cell r="M1717" t="str">
            <v>JOEL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  <cell r="H1718" t="str">
            <v>QSR</v>
          </cell>
          <cell r="I1718" t="str">
            <v>FOOD SERVICE</v>
          </cell>
          <cell r="J1718" t="str">
            <v>NUTRI</v>
          </cell>
          <cell r="K1718" t="str">
            <v>LACTALIS</v>
          </cell>
          <cell r="L1718" t="str">
            <v>PEDRO</v>
          </cell>
          <cell r="M1718" t="str">
            <v>VAGO QSR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  <cell r="H1719" t="str">
            <v>DISTRIBUIÇÃO</v>
          </cell>
          <cell r="I1719" t="str">
            <v>FOOD SERVICE</v>
          </cell>
          <cell r="J1719" t="str">
            <v>CLAUDIO JORGE/LUIZ</v>
          </cell>
          <cell r="K1719" t="str">
            <v>ITAMBÉ</v>
          </cell>
          <cell r="L1719" t="str">
            <v>RODRIGO</v>
          </cell>
          <cell r="M1719" t="str">
            <v>MARIA LOURDES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  <cell r="H1720" t="str">
            <v>QSR</v>
          </cell>
          <cell r="I1720" t="str">
            <v>FOOD SERVICE</v>
          </cell>
          <cell r="J1720" t="str">
            <v>NUTRI</v>
          </cell>
          <cell r="K1720" t="str">
            <v>LACTALIS</v>
          </cell>
          <cell r="L1720" t="str">
            <v>PEDRO</v>
          </cell>
          <cell r="M1720" t="str">
            <v>VAGO QSR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  <cell r="H1721" t="str">
            <v>QSR</v>
          </cell>
          <cell r="I1721" t="str">
            <v>FOOD SERVICE</v>
          </cell>
          <cell r="J1721" t="str">
            <v>ANA MENIQUETE</v>
          </cell>
          <cell r="K1721" t="str">
            <v>LACTALIS</v>
          </cell>
          <cell r="L1721" t="str">
            <v>PEDRO</v>
          </cell>
          <cell r="M1721" t="str">
            <v>ANA MENIQUETE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  <cell r="H1722" t="str">
            <v>DISTRIBUIÇÃO</v>
          </cell>
          <cell r="I1722" t="str">
            <v>FOOD SERVICE</v>
          </cell>
          <cell r="J1722" t="str">
            <v>MARCELO DUARTE</v>
          </cell>
          <cell r="K1722" t="str">
            <v>ITAMBÉ</v>
          </cell>
          <cell r="L1722" t="str">
            <v>RODRIGO</v>
          </cell>
          <cell r="M1722" t="str">
            <v>JESSICA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  <cell r="H1723" t="str">
            <v>DISTRIBUIÇÃO</v>
          </cell>
          <cell r="I1723" t="str">
            <v>FOOD SERVICE</v>
          </cell>
          <cell r="J1723" t="str">
            <v>CLAUDIO JORGE/LUIZ</v>
          </cell>
          <cell r="K1723" t="str">
            <v>ITAMBÉ</v>
          </cell>
          <cell r="L1723" t="str">
            <v>RODRIGO</v>
          </cell>
          <cell r="M1723" t="str">
            <v>MARIA LOURDES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  <cell r="H1724" t="str">
            <v>QSR</v>
          </cell>
          <cell r="I1724" t="str">
            <v>FOOD SERVICE</v>
          </cell>
          <cell r="J1724" t="str">
            <v>NUTRI</v>
          </cell>
          <cell r="K1724" t="str">
            <v>LACTALIS</v>
          </cell>
          <cell r="L1724" t="str">
            <v>PEDRO</v>
          </cell>
          <cell r="M1724" t="str">
            <v>VAGO QSR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  <cell r="H1725" t="str">
            <v>DISTRIBUIÇÃO</v>
          </cell>
          <cell r="I1725" t="str">
            <v>FOOD SERVICE</v>
          </cell>
          <cell r="J1725" t="str">
            <v>LUCIANA MARTINS</v>
          </cell>
          <cell r="K1725" t="str">
            <v>LACTALIS</v>
          </cell>
          <cell r="L1725" t="str">
            <v>RODRIGO</v>
          </cell>
          <cell r="M1725" t="str">
            <v>JESSICA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  <cell r="H1726" t="str">
            <v>INGREDIENTS</v>
          </cell>
          <cell r="I1726" t="str">
            <v>INGREDIENTS</v>
          </cell>
          <cell r="J1726" t="str">
            <v>MARCELO RODRIGUES</v>
          </cell>
          <cell r="K1726" t="str">
            <v>LACTALIS</v>
          </cell>
          <cell r="L1726" t="str">
            <v>MAURICIO</v>
          </cell>
          <cell r="M1726" t="str">
            <v>MARCELO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  <cell r="H1727" t="str">
            <v>DISTRIBUIÇÃO</v>
          </cell>
          <cell r="I1727" t="str">
            <v>FOOD SERVICE</v>
          </cell>
          <cell r="J1727" t="str">
            <v>FLAC 3</v>
          </cell>
          <cell r="K1727" t="str">
            <v>LACTALIS</v>
          </cell>
          <cell r="L1727" t="str">
            <v>RODRIGO</v>
          </cell>
          <cell r="M1727" t="str">
            <v>RAQUEL BARBOSA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  <cell r="H1728" t="str">
            <v>INGREDIENTS</v>
          </cell>
          <cell r="I1728" t="str">
            <v>INGREDIENTS</v>
          </cell>
          <cell r="J1728" t="str">
            <v>TATIANA NITTA</v>
          </cell>
          <cell r="K1728" t="str">
            <v>ITAMBÉ</v>
          </cell>
          <cell r="L1728" t="str">
            <v>MAURICIO</v>
          </cell>
          <cell r="M1728" t="str">
            <v>TATIANA NITTA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  <cell r="H1729" t="str">
            <v>DISTRIBUIÇÃO</v>
          </cell>
          <cell r="I1729" t="str">
            <v>FOOD SERVICE</v>
          </cell>
          <cell r="J1729" t="str">
            <v>ALEXANDRE BONANI</v>
          </cell>
          <cell r="K1729" t="str">
            <v>ITAMBÉ</v>
          </cell>
          <cell r="L1729" t="str">
            <v>RODRIGO</v>
          </cell>
          <cell r="M1729" t="str">
            <v>ALEXANDRE BONANI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  <cell r="H1730" t="str">
            <v>INGREDIENTS</v>
          </cell>
          <cell r="I1730" t="str">
            <v>INGREDIENTS</v>
          </cell>
          <cell r="J1730" t="str">
            <v>MARCELO RODRIGUES</v>
          </cell>
          <cell r="K1730" t="str">
            <v>LACTALIS</v>
          </cell>
          <cell r="L1730" t="str">
            <v>MAURICIO</v>
          </cell>
          <cell r="M1730" t="str">
            <v>MARCELO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  <cell r="H1731" t="str">
            <v>DISTRIBUIÇÃO</v>
          </cell>
          <cell r="I1731" t="str">
            <v>FOOD SERVICE</v>
          </cell>
          <cell r="J1731" t="str">
            <v>CLAUDIO JORGE/LUIZ</v>
          </cell>
          <cell r="K1731" t="str">
            <v>ITAMBÉ</v>
          </cell>
          <cell r="L1731" t="str">
            <v>RODRIGO</v>
          </cell>
          <cell r="M1731" t="str">
            <v>MARIA LOURDES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  <cell r="H1732" t="str">
            <v>DISTRIBUIÇÃO</v>
          </cell>
          <cell r="I1732" t="str">
            <v>FOOD SERVICE</v>
          </cell>
          <cell r="J1732" t="str">
            <v>FLAC 2</v>
          </cell>
          <cell r="K1732" t="str">
            <v>LACTALIS</v>
          </cell>
          <cell r="L1732" t="str">
            <v>RODRIGO</v>
          </cell>
          <cell r="M1732" t="str">
            <v>RAQUEL BARBOSA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  <cell r="H1733" t="str">
            <v>DISTRIBUIÇÃO</v>
          </cell>
          <cell r="I1733" t="str">
            <v>FOOD SERVICE</v>
          </cell>
          <cell r="J1733" t="str">
            <v>FLAC 4</v>
          </cell>
          <cell r="K1733" t="str">
            <v>LACTALIS</v>
          </cell>
          <cell r="L1733" t="str">
            <v>RODRIGO</v>
          </cell>
          <cell r="M1733" t="str">
            <v>RAQUEL BARBOSA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  <cell r="H1734" t="str">
            <v>QSR</v>
          </cell>
          <cell r="I1734" t="str">
            <v>FOOD SERVICE</v>
          </cell>
          <cell r="J1734" t="str">
            <v>NUTRI</v>
          </cell>
          <cell r="K1734" t="str">
            <v>ITAMBÉ</v>
          </cell>
          <cell r="L1734" t="str">
            <v>PEDRO</v>
          </cell>
          <cell r="M1734" t="str">
            <v>VAGO QSR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  <cell r="H1735" t="str">
            <v>DISTRIBUIÇÃO</v>
          </cell>
          <cell r="I1735" t="str">
            <v>FOOD SERVICE</v>
          </cell>
          <cell r="J1735" t="str">
            <v>CLAUDIO JORGE/LUIZ</v>
          </cell>
          <cell r="K1735" t="str">
            <v>ITAMBÉ</v>
          </cell>
          <cell r="L1735" t="str">
            <v>RODRIGO</v>
          </cell>
          <cell r="M1735" t="str">
            <v>MARIA LOURDES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  <cell r="H1736" t="str">
            <v>DISTRIBUIÇÃO</v>
          </cell>
          <cell r="I1736" t="str">
            <v>FOOD SERVICE</v>
          </cell>
          <cell r="J1736" t="str">
            <v>WH FOOD SERVICE CE</v>
          </cell>
          <cell r="K1736" t="str">
            <v>ITAMBÉ</v>
          </cell>
          <cell r="L1736" t="str">
            <v>RODRIGO</v>
          </cell>
          <cell r="M1736" t="str">
            <v>MARIA LOURDES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  <cell r="H1737" t="str">
            <v>QSR</v>
          </cell>
          <cell r="I1737" t="str">
            <v>FOOD SERVICE</v>
          </cell>
          <cell r="J1737" t="str">
            <v>NUTRI</v>
          </cell>
          <cell r="K1737" t="str">
            <v>ITAMBÉ</v>
          </cell>
          <cell r="L1737" t="str">
            <v>PEDRO</v>
          </cell>
          <cell r="M1737" t="str">
            <v>VAGO QSR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  <cell r="H1738" t="str">
            <v>DISTRIBUIÇÃO</v>
          </cell>
          <cell r="I1738" t="str">
            <v>FOOD SERVICE</v>
          </cell>
          <cell r="J1738" t="str">
            <v>CLAUDIO JORGE/LUIZ</v>
          </cell>
          <cell r="K1738" t="str">
            <v>ITAMBÉ</v>
          </cell>
          <cell r="L1738" t="str">
            <v>RODRIGO</v>
          </cell>
          <cell r="M1738" t="str">
            <v>MARIA LOURDES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  <cell r="H1739" t="str">
            <v>DISTRIBUIÇÃO</v>
          </cell>
          <cell r="I1739" t="str">
            <v>FOOD SERVICE</v>
          </cell>
          <cell r="J1739" t="str">
            <v>CLAUDIO JORGE/LUIZ</v>
          </cell>
          <cell r="K1739" t="str">
            <v>ITAMBÉ</v>
          </cell>
          <cell r="L1739" t="str">
            <v>RODRIGO</v>
          </cell>
          <cell r="M1739" t="str">
            <v>MARIA LOURDES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  <cell r="H1740" t="str">
            <v>DISTRIBUIÇÃO</v>
          </cell>
          <cell r="I1740" t="str">
            <v>FOOD SERVICE</v>
          </cell>
          <cell r="J1740" t="str">
            <v>CLAUDIO JORGE/LUIZ</v>
          </cell>
          <cell r="K1740" t="str">
            <v>ITAMBÉ</v>
          </cell>
          <cell r="L1740" t="str">
            <v>RODRIGO</v>
          </cell>
          <cell r="M1740" t="str">
            <v>MARIA LOURDES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  <cell r="H1741" t="str">
            <v>DISTRIBUIÇÃO</v>
          </cell>
          <cell r="I1741" t="str">
            <v>FOOD SERVICE</v>
          </cell>
          <cell r="J1741" t="str">
            <v>WH FOOD SERVICE CE</v>
          </cell>
          <cell r="K1741" t="str">
            <v>ITAMBÉ</v>
          </cell>
          <cell r="L1741" t="str">
            <v>RODRIGO</v>
          </cell>
          <cell r="M1741" t="str">
            <v>MARIA LOURDES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  <cell r="H1742" t="str">
            <v>QSR</v>
          </cell>
          <cell r="I1742" t="str">
            <v>FOOD SERVICE</v>
          </cell>
          <cell r="J1742" t="str">
            <v>NUTRI</v>
          </cell>
          <cell r="K1742" t="str">
            <v>ITAMBÉ</v>
          </cell>
          <cell r="L1742" t="str">
            <v>PEDRO</v>
          </cell>
          <cell r="M1742" t="str">
            <v>VAGO QSR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  <cell r="H1743" t="str">
            <v>INGREDIENTS</v>
          </cell>
          <cell r="I1743" t="str">
            <v>INGREDIENTS</v>
          </cell>
          <cell r="J1743" t="str">
            <v>DUAS RODAS</v>
          </cell>
          <cell r="K1743" t="str">
            <v>ITAMBÉ</v>
          </cell>
          <cell r="L1743" t="str">
            <v>MAURICIO</v>
          </cell>
          <cell r="M1743" t="str">
            <v>TATIANA NITTA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  <cell r="H1744" t="str">
            <v>DISTRIBUIÇÃO</v>
          </cell>
          <cell r="I1744" t="str">
            <v>FOOD SERVICE</v>
          </cell>
          <cell r="J1744" t="str">
            <v>WH FOOD SERVICE CE</v>
          </cell>
          <cell r="K1744" t="str">
            <v>ITAMBÉ</v>
          </cell>
          <cell r="L1744" t="str">
            <v>RODRIGO</v>
          </cell>
          <cell r="M1744" t="str">
            <v>MARIA LOURDES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  <cell r="H1745" t="str">
            <v>INGREDIENTS</v>
          </cell>
          <cell r="I1745" t="str">
            <v>INGREDIENTS</v>
          </cell>
          <cell r="J1745" t="str">
            <v>BA ITB FS ML FLAVORS</v>
          </cell>
          <cell r="K1745" t="str">
            <v>ITAMBÉ</v>
          </cell>
          <cell r="L1745" t="str">
            <v>MAURICIO</v>
          </cell>
          <cell r="M1745" t="str">
            <v>JOEL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  <cell r="H1746" t="str">
            <v>DISTRIBUIÇÃO</v>
          </cell>
          <cell r="I1746" t="str">
            <v>FOOD SERVICE</v>
          </cell>
          <cell r="J1746" t="str">
            <v>CLAUDIO JORGE/LUIZ</v>
          </cell>
          <cell r="K1746" t="str">
            <v>ITAMBÉ</v>
          </cell>
          <cell r="L1746" t="str">
            <v>RODRIGO</v>
          </cell>
          <cell r="M1746" t="str">
            <v>MARIA LOURDES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  <cell r="H1747" t="str">
            <v>DISTRIBUIÇÃO</v>
          </cell>
          <cell r="I1747" t="str">
            <v>FOOD SERVICE</v>
          </cell>
          <cell r="J1747" t="str">
            <v>WH FOOD SERVICE CE</v>
          </cell>
          <cell r="K1747" t="str">
            <v>ITAMBÉ</v>
          </cell>
          <cell r="L1747" t="str">
            <v>RODRIGO</v>
          </cell>
          <cell r="M1747" t="str">
            <v>MARIA LOURDES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  <cell r="H1748" t="str">
            <v>DISTRIBUIÇÃO</v>
          </cell>
          <cell r="I1748" t="str">
            <v>FOOD SERVICE</v>
          </cell>
          <cell r="J1748" t="str">
            <v>MARCO AURELIO</v>
          </cell>
          <cell r="K1748" t="str">
            <v>ITAMBÉ</v>
          </cell>
          <cell r="L1748" t="str">
            <v>RODRIGO</v>
          </cell>
          <cell r="M1748" t="str">
            <v>MARCO AURELIO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  <cell r="H1749" t="str">
            <v>DISTRIBUIÇÃO</v>
          </cell>
          <cell r="I1749" t="str">
            <v>FOOD SERVICE</v>
          </cell>
          <cell r="J1749" t="str">
            <v>WH FOOD SERVICE CE</v>
          </cell>
          <cell r="K1749" t="str">
            <v>ITAMBÉ</v>
          </cell>
          <cell r="L1749" t="str">
            <v>RODRIGO</v>
          </cell>
          <cell r="M1749" t="str">
            <v>MARIA LOURDES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  <cell r="H1750" t="str">
            <v>DISTRIBUIÇÃO</v>
          </cell>
          <cell r="I1750" t="str">
            <v>FOOD SERVICE</v>
          </cell>
          <cell r="J1750" t="str">
            <v>WH FOOD SERVICE CE</v>
          </cell>
          <cell r="K1750" t="str">
            <v>ITAMBÉ</v>
          </cell>
          <cell r="L1750" t="str">
            <v>RODRIGO</v>
          </cell>
          <cell r="M1750" t="str">
            <v>MARIA LOURDES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  <cell r="H1751" t="str">
            <v>DISTRIBUIÇÃO</v>
          </cell>
          <cell r="I1751" t="str">
            <v>FOOD SERVICE</v>
          </cell>
          <cell r="J1751" t="str">
            <v>WH FOOD SERVICE CE</v>
          </cell>
          <cell r="K1751" t="str">
            <v>ITAMBÉ</v>
          </cell>
          <cell r="L1751" t="str">
            <v>RODRIGO</v>
          </cell>
          <cell r="M1751" t="str">
            <v>MARIA LOURDES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  <cell r="H1752" t="str">
            <v>DISTRIBUIÇÃO</v>
          </cell>
          <cell r="I1752" t="str">
            <v>FOOD SERVICE</v>
          </cell>
          <cell r="J1752" t="str">
            <v>CLAUDIO JORGE/LUIZ</v>
          </cell>
          <cell r="K1752" t="str">
            <v>ITAMBÉ</v>
          </cell>
          <cell r="L1752" t="str">
            <v>RODRIGO</v>
          </cell>
          <cell r="M1752" t="str">
            <v>MARIA LOURDES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  <cell r="H1753" t="str">
            <v>DISTRIBUIÇÃO</v>
          </cell>
          <cell r="I1753" t="str">
            <v>FOOD SERVICE</v>
          </cell>
          <cell r="J1753" t="str">
            <v>WH FOOD SERVICE CE</v>
          </cell>
          <cell r="K1753" t="str">
            <v>ITAMBÉ</v>
          </cell>
          <cell r="L1753" t="str">
            <v>RODRIGO</v>
          </cell>
          <cell r="M1753" t="str">
            <v>MARIA LOURDES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  <cell r="H1754" t="str">
            <v>DISTRIBUIÇÃO</v>
          </cell>
          <cell r="I1754" t="str">
            <v>FOOD SERVICE</v>
          </cell>
          <cell r="J1754" t="str">
            <v>WH FOOD SERVICE CE</v>
          </cell>
          <cell r="K1754" t="str">
            <v>ITAMBÉ</v>
          </cell>
          <cell r="L1754" t="str">
            <v>RODRIGO</v>
          </cell>
          <cell r="M1754" t="str">
            <v>MARIA LOURDES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  <cell r="H1755" t="str">
            <v>DISTRIBUIÇÃO</v>
          </cell>
          <cell r="I1755" t="str">
            <v>FOOD SERVICE</v>
          </cell>
          <cell r="J1755" t="str">
            <v>CLAUDIO JORGE/LUIZ</v>
          </cell>
          <cell r="K1755" t="str">
            <v>ITAMBÉ</v>
          </cell>
          <cell r="L1755" t="str">
            <v>RODRIGO</v>
          </cell>
          <cell r="M1755" t="str">
            <v>MARIA LOURDES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  <cell r="H1756" t="str">
            <v>DISTRIBUIÇÃO</v>
          </cell>
          <cell r="I1756" t="str">
            <v>FOOD SERVICE</v>
          </cell>
          <cell r="J1756" t="str">
            <v>CLAUDIO JORGE/LUIZ</v>
          </cell>
          <cell r="K1756" t="str">
            <v>ITAMBÉ</v>
          </cell>
          <cell r="L1756" t="str">
            <v>RODRIGO</v>
          </cell>
          <cell r="M1756" t="str">
            <v>MARIA LOURDES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  <cell r="H1757" t="str">
            <v>INGREDIENTS</v>
          </cell>
          <cell r="I1757" t="str">
            <v>INGREDIENTS</v>
          </cell>
          <cell r="J1757" t="str">
            <v>HENRIQUE FERREIRA</v>
          </cell>
          <cell r="K1757" t="str">
            <v>ITAMBÉ</v>
          </cell>
          <cell r="L1757" t="str">
            <v>MAURICIO</v>
          </cell>
          <cell r="M1757" t="str">
            <v>JOEL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  <cell r="H1758" t="str">
            <v>DISTRIBUIÇÃO</v>
          </cell>
          <cell r="I1758" t="str">
            <v>FOOD SERVICE</v>
          </cell>
          <cell r="J1758" t="str">
            <v>CLAUDIO JORGE/LUIZ</v>
          </cell>
          <cell r="K1758" t="str">
            <v>ITAMBÉ</v>
          </cell>
          <cell r="L1758" t="str">
            <v>RODRIGO</v>
          </cell>
          <cell r="M1758" t="str">
            <v>MARIA LOURDES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  <cell r="H1759" t="str">
            <v>DISTRIBUIÇÃO</v>
          </cell>
          <cell r="I1759" t="str">
            <v>FOOD SERVICE</v>
          </cell>
          <cell r="J1759" t="str">
            <v>FLAC 2</v>
          </cell>
          <cell r="K1759" t="str">
            <v>LACTALIS</v>
          </cell>
          <cell r="L1759" t="str">
            <v>RODRIGO</v>
          </cell>
          <cell r="M1759" t="str">
            <v>RAQUEL BARBOSA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  <cell r="H1760" t="str">
            <v>QSR</v>
          </cell>
          <cell r="I1760" t="str">
            <v>FOOD SERVICE</v>
          </cell>
          <cell r="J1760" t="str">
            <v>VAGO QSR</v>
          </cell>
          <cell r="K1760" t="str">
            <v>ITAMBÉ</v>
          </cell>
          <cell r="L1760" t="str">
            <v>PEDRO</v>
          </cell>
          <cell r="M1760" t="str">
            <v>VAGO QSR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  <cell r="H1761" t="str">
            <v>DISTRIBUIÇÃO</v>
          </cell>
          <cell r="I1761" t="str">
            <v>FOOD SERVICE</v>
          </cell>
          <cell r="J1761" t="str">
            <v>FLAC 2</v>
          </cell>
          <cell r="K1761" t="str">
            <v>LACTALIS</v>
          </cell>
          <cell r="L1761" t="str">
            <v>RODRIGO</v>
          </cell>
          <cell r="M1761" t="str">
            <v>RAQUEL BARBOSA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  <cell r="H1762" t="str">
            <v>DISTRIBUIÇÃO</v>
          </cell>
          <cell r="I1762" t="str">
            <v>FOOD SERVICE</v>
          </cell>
          <cell r="J1762" t="str">
            <v>CLAUDIO JORGE/LUIZ</v>
          </cell>
          <cell r="K1762" t="str">
            <v>ITAMBÉ</v>
          </cell>
          <cell r="L1762" t="str">
            <v>RODRIGO</v>
          </cell>
          <cell r="M1762" t="str">
            <v>MARIA LOURDES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  <cell r="H1763" t="str">
            <v>QSR</v>
          </cell>
          <cell r="I1763" t="str">
            <v>FOOD SERVICE</v>
          </cell>
          <cell r="J1763" t="str">
            <v>NUTRI</v>
          </cell>
          <cell r="K1763" t="str">
            <v>ITAMBÉ</v>
          </cell>
          <cell r="L1763" t="str">
            <v>PEDRO</v>
          </cell>
          <cell r="M1763" t="str">
            <v>VAGO QSR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  <cell r="H1764" t="str">
            <v>DISTRIBUIÇÃO</v>
          </cell>
          <cell r="I1764" t="str">
            <v>FOOD SERVICE</v>
          </cell>
          <cell r="J1764" t="str">
            <v>WH FOOD SERVICE CE</v>
          </cell>
          <cell r="K1764" t="str">
            <v>ITAMBÉ</v>
          </cell>
          <cell r="L1764" t="str">
            <v>RODRIGO</v>
          </cell>
          <cell r="M1764" t="str">
            <v>MARIA LOURDES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  <cell r="H1765" t="str">
            <v>DISTRIBUIÇÃO</v>
          </cell>
          <cell r="I1765" t="str">
            <v>FOOD SERVICE</v>
          </cell>
          <cell r="J1765" t="str">
            <v>CLAUDIO JORGE/LUIZ</v>
          </cell>
          <cell r="K1765" t="str">
            <v>ITAMBÉ</v>
          </cell>
          <cell r="L1765" t="str">
            <v>RODRIGO</v>
          </cell>
          <cell r="M1765" t="str">
            <v>MARIA LOURDES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  <cell r="H1766" t="str">
            <v>INGREDIENTS</v>
          </cell>
          <cell r="I1766" t="str">
            <v>INGREDIENTS</v>
          </cell>
          <cell r="J1766" t="str">
            <v>BA ITB FS ML FLAVORS</v>
          </cell>
          <cell r="K1766" t="str">
            <v>ITAMBÉ</v>
          </cell>
          <cell r="L1766" t="str">
            <v>MAURICIO</v>
          </cell>
          <cell r="M1766" t="str">
            <v>JOEL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  <cell r="H1767" t="str">
            <v>DISTRIBUIÇÃO</v>
          </cell>
          <cell r="I1767" t="str">
            <v>FOOD SERVICE</v>
          </cell>
          <cell r="J1767" t="str">
            <v>FLAC 5</v>
          </cell>
          <cell r="K1767" t="str">
            <v>LACTALIS</v>
          </cell>
          <cell r="L1767" t="str">
            <v>RODRIGO</v>
          </cell>
          <cell r="M1767" t="str">
            <v>RAQUEL BARBOSA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  <cell r="H1768" t="str">
            <v>DISTRIBUIÇÃO</v>
          </cell>
          <cell r="I1768" t="str">
            <v>FOOD SERVICE</v>
          </cell>
          <cell r="J1768" t="str">
            <v>FLAC 2</v>
          </cell>
          <cell r="K1768" t="str">
            <v>LACTALIS</v>
          </cell>
          <cell r="L1768" t="str">
            <v>RODRIGO</v>
          </cell>
          <cell r="M1768" t="str">
            <v>RAQUEL BARBOSA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  <cell r="H1769" t="str">
            <v>DISTRIBUIÇÃO</v>
          </cell>
          <cell r="I1769" t="str">
            <v>FOOD SERVICE</v>
          </cell>
          <cell r="J1769" t="str">
            <v>CLAUDIO JORGE/LUIZ</v>
          </cell>
          <cell r="K1769" t="str">
            <v>ITAMBÉ</v>
          </cell>
          <cell r="L1769" t="str">
            <v>RODRIGO</v>
          </cell>
          <cell r="M1769" t="str">
            <v>MARIA LOURDES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  <cell r="H1770" t="str">
            <v>DISTRIBUIÇÃO</v>
          </cell>
          <cell r="I1770" t="str">
            <v>FOOD SERVICE</v>
          </cell>
          <cell r="J1770" t="str">
            <v>FLAC 6</v>
          </cell>
          <cell r="K1770" t="str">
            <v>LACTALIS</v>
          </cell>
          <cell r="L1770" t="str">
            <v>RODRIGO</v>
          </cell>
          <cell r="M1770" t="str">
            <v>RAQUEL BARBOSA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  <cell r="H1771" t="str">
            <v>INGREDIENTS</v>
          </cell>
          <cell r="I1771" t="str">
            <v>INGREDIENTS</v>
          </cell>
          <cell r="J1771" t="str">
            <v>TATIANA NITTA</v>
          </cell>
          <cell r="K1771" t="str">
            <v>LACTALIS</v>
          </cell>
          <cell r="L1771" t="str">
            <v>MAURICIO</v>
          </cell>
          <cell r="M1771" t="str">
            <v>TATIANA NITTA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  <cell r="H1772" t="str">
            <v>INGREDIENTS</v>
          </cell>
          <cell r="I1772" t="str">
            <v>INGREDIENTS</v>
          </cell>
          <cell r="J1772" t="str">
            <v>DUAS RODAS</v>
          </cell>
          <cell r="K1772" t="str">
            <v>ITAMBÉ</v>
          </cell>
          <cell r="L1772" t="str">
            <v>MAURICIO</v>
          </cell>
          <cell r="M1772" t="str">
            <v>MARCELO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  <cell r="H1773" t="str">
            <v>INGREDIENTS</v>
          </cell>
          <cell r="I1773" t="str">
            <v>INGREDIENTS</v>
          </cell>
          <cell r="J1773" t="str">
            <v>HENRIQUE FERREIRA</v>
          </cell>
          <cell r="K1773" t="str">
            <v>ITAMBÉ</v>
          </cell>
          <cell r="L1773" t="str">
            <v>MAURICIO</v>
          </cell>
          <cell r="M1773" t="str">
            <v>JOEL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  <cell r="H1774" t="str">
            <v>QSR</v>
          </cell>
          <cell r="I1774" t="str">
            <v>FOOD SERVICE</v>
          </cell>
          <cell r="J1774" t="str">
            <v>NUTRI</v>
          </cell>
          <cell r="K1774" t="str">
            <v>ITAMBÉ</v>
          </cell>
          <cell r="L1774" t="str">
            <v>PEDRO</v>
          </cell>
          <cell r="M1774" t="str">
            <v>VAGO QSR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  <cell r="H1775" t="str">
            <v>INGREDIENTS</v>
          </cell>
          <cell r="I1775" t="str">
            <v>INGREDIENTS</v>
          </cell>
          <cell r="J1775" t="str">
            <v>ES ITB FS RADTKE REPRES</v>
          </cell>
          <cell r="K1775" t="str">
            <v>ITAMBÉ</v>
          </cell>
          <cell r="L1775" t="str">
            <v>MAURICIO</v>
          </cell>
          <cell r="M1775" t="str">
            <v>JOEL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  <cell r="H1776" t="str">
            <v>INGREDIENTS</v>
          </cell>
          <cell r="I1776" t="str">
            <v>INGREDIENTS</v>
          </cell>
          <cell r="J1776" t="str">
            <v>ES ITB FS RADTKE REPRES</v>
          </cell>
          <cell r="K1776" t="str">
            <v>ITAMBÉ</v>
          </cell>
          <cell r="L1776" t="str">
            <v>MAURICIO</v>
          </cell>
          <cell r="M1776" t="str">
            <v>JOEL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  <cell r="H1777" t="str">
            <v>INGREDIENTS</v>
          </cell>
          <cell r="I1777" t="str">
            <v>INGREDIENTS</v>
          </cell>
          <cell r="J1777" t="str">
            <v>TATIANA NITTA</v>
          </cell>
          <cell r="K1777" t="str">
            <v>ITAMBÉ</v>
          </cell>
          <cell r="L1777" t="str">
            <v>MAURICIO</v>
          </cell>
          <cell r="M1777" t="str">
            <v>TATIANA NITTA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  <cell r="H1778" t="str">
            <v>INGREDIENTS</v>
          </cell>
          <cell r="I1778" t="str">
            <v>INGREDIENTS</v>
          </cell>
          <cell r="J1778" t="str">
            <v>JOEL ELEOTÉRIO</v>
          </cell>
          <cell r="K1778" t="str">
            <v>LACTALIS</v>
          </cell>
          <cell r="L1778" t="str">
            <v>MAURICIO</v>
          </cell>
          <cell r="M1778" t="str">
            <v>JOEL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  <cell r="H1779" t="str">
            <v>DISTRIBUIÇÃO</v>
          </cell>
          <cell r="I1779" t="str">
            <v>FOOD SERVICE</v>
          </cell>
          <cell r="J1779" t="str">
            <v>FLAC 2</v>
          </cell>
          <cell r="K1779" t="str">
            <v>LACTALIS</v>
          </cell>
          <cell r="L1779" t="str">
            <v>RODRIGO</v>
          </cell>
          <cell r="M1779" t="str">
            <v>RAQUEL BARBOSA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  <cell r="H1780" t="str">
            <v>DISTRIBUIÇÃO</v>
          </cell>
          <cell r="I1780" t="str">
            <v>FOOD SERVICE</v>
          </cell>
          <cell r="J1780" t="str">
            <v>CLAUDIO JORGE/AMANDA SANDS</v>
          </cell>
          <cell r="K1780" t="str">
            <v>LACTALIS</v>
          </cell>
          <cell r="L1780" t="str">
            <v>RODRIGO</v>
          </cell>
          <cell r="M1780" t="str">
            <v>MARIA LOURDES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  <cell r="H1781" t="str">
            <v>DISTRIBUIÇÃO</v>
          </cell>
          <cell r="I1781" t="str">
            <v>FOOD SERVICE</v>
          </cell>
          <cell r="J1781" t="str">
            <v>MARCO AURELIO</v>
          </cell>
          <cell r="K1781" t="str">
            <v>ITAMBÉ</v>
          </cell>
          <cell r="L1781" t="str">
            <v>RODRIGO</v>
          </cell>
          <cell r="M1781" t="str">
            <v>MARCO AURELIO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  <cell r="H1782" t="str">
            <v>INGREDIENTS</v>
          </cell>
          <cell r="I1782" t="str">
            <v>INGREDIENTS</v>
          </cell>
          <cell r="J1782" t="str">
            <v>DUAS RODAS</v>
          </cell>
          <cell r="K1782" t="str">
            <v>ITAMBÉ</v>
          </cell>
          <cell r="L1782" t="str">
            <v>MAURICIO</v>
          </cell>
          <cell r="M1782" t="str">
            <v>MARCELO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  <cell r="H1783" t="str">
            <v>DISTRIBUIÇÃO</v>
          </cell>
          <cell r="I1783" t="str">
            <v>FOOD SERVICE</v>
          </cell>
          <cell r="J1783" t="str">
            <v>WH FOOD SERVICE CE</v>
          </cell>
          <cell r="K1783" t="str">
            <v>ITAMBÉ</v>
          </cell>
          <cell r="L1783" t="str">
            <v>RODRIGO</v>
          </cell>
          <cell r="M1783" t="str">
            <v>MARIA LOURDES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  <cell r="H1784" t="str">
            <v>DISTRIBUIÇÃO</v>
          </cell>
          <cell r="I1784" t="str">
            <v>FOOD SERVICE</v>
          </cell>
          <cell r="J1784" t="str">
            <v>ALEXANDRE BONANI</v>
          </cell>
          <cell r="K1784" t="str">
            <v>ITAMBÉ</v>
          </cell>
          <cell r="L1784" t="str">
            <v>RODRIGO</v>
          </cell>
          <cell r="M1784" t="str">
            <v>ALEXANDRE BONANI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  <cell r="H1785" t="str">
            <v>INGREDIENTS</v>
          </cell>
          <cell r="I1785" t="str">
            <v>INGREDIENTS</v>
          </cell>
          <cell r="J1785" t="str">
            <v>DUAS RODAS</v>
          </cell>
          <cell r="K1785" t="str">
            <v>ITAMBÉ</v>
          </cell>
          <cell r="L1785" t="str">
            <v>MAURICIO</v>
          </cell>
          <cell r="M1785" t="str">
            <v>TATIANA NITTA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  <cell r="H1786" t="str">
            <v>INGREDIENTS</v>
          </cell>
          <cell r="I1786" t="str">
            <v>INGREDIENTS</v>
          </cell>
          <cell r="J1786" t="str">
            <v>HENRIQUE FERREIRA</v>
          </cell>
          <cell r="K1786" t="str">
            <v>ITAMBÉ</v>
          </cell>
          <cell r="L1786" t="str">
            <v>MAURICIO</v>
          </cell>
          <cell r="M1786" t="str">
            <v>JOEL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  <cell r="H1787" t="str">
            <v>DISTRIBUIÇÃO</v>
          </cell>
          <cell r="I1787" t="str">
            <v>FOOD SERVICE</v>
          </cell>
          <cell r="J1787" t="str">
            <v>VAGO SP</v>
          </cell>
          <cell r="K1787" t="str">
            <v>ITAMBÉ</v>
          </cell>
          <cell r="L1787" t="str">
            <v>RODRIGO</v>
          </cell>
          <cell r="M1787" t="str">
            <v>RAQUEL BARBOSA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  <cell r="H1788" t="str">
            <v>DISTRIBUIÇÃO</v>
          </cell>
          <cell r="I1788" t="str">
            <v>FOOD SERVICE</v>
          </cell>
          <cell r="J1788" t="str">
            <v>FLAC 3</v>
          </cell>
          <cell r="K1788" t="str">
            <v>LACTALIS</v>
          </cell>
          <cell r="L1788" t="str">
            <v>RODRIGO</v>
          </cell>
          <cell r="M1788" t="str">
            <v>RAQUEL BARBOSA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  <cell r="H1789" t="str">
            <v>DISTRIBUIÇÃO</v>
          </cell>
          <cell r="I1789" t="str">
            <v>FOOD SERVICE</v>
          </cell>
          <cell r="J1789" t="str">
            <v>CLAUDIO JORGE/LUIZ</v>
          </cell>
          <cell r="K1789" t="str">
            <v>ITAMBÉ</v>
          </cell>
          <cell r="L1789" t="str">
            <v>RODRIGO</v>
          </cell>
          <cell r="M1789" t="str">
            <v>MARIA LOURDES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  <cell r="H1790" t="str">
            <v>DISTRIBUIÇÃO</v>
          </cell>
          <cell r="I1790" t="str">
            <v>FOOD SERVICE</v>
          </cell>
          <cell r="J1790" t="str">
            <v>MARCO AURELIO</v>
          </cell>
          <cell r="K1790" t="str">
            <v>ITAMBÉ</v>
          </cell>
          <cell r="L1790" t="str">
            <v>RODRIGO</v>
          </cell>
          <cell r="M1790" t="str">
            <v>MARCO AURELIO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  <cell r="H1791" t="str">
            <v>INGREDIENTS</v>
          </cell>
          <cell r="I1791" t="str">
            <v>INGREDIENTS</v>
          </cell>
          <cell r="J1791" t="str">
            <v>SP ITB FS IKM REPRESENTACOES</v>
          </cell>
          <cell r="K1791" t="str">
            <v>ITAMBÉ</v>
          </cell>
          <cell r="L1791" t="str">
            <v>MAURICIO</v>
          </cell>
          <cell r="M1791" t="str">
            <v>TATIANA NITTA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  <cell r="H1792" t="str">
            <v>INGREDIENTS</v>
          </cell>
          <cell r="I1792" t="str">
            <v>INGREDIENTS</v>
          </cell>
          <cell r="J1792" t="str">
            <v>SP ITB FS LUIZ PEREIRA</v>
          </cell>
          <cell r="K1792" t="str">
            <v>ITAMBÉ</v>
          </cell>
          <cell r="L1792" t="str">
            <v>MAURICIO</v>
          </cell>
          <cell r="M1792" t="str">
            <v>TATIANA NITTA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  <cell r="H1793" t="str">
            <v>DISTRIBUIÇÃO</v>
          </cell>
          <cell r="I1793" t="str">
            <v>FOOD SERVICE</v>
          </cell>
          <cell r="J1793" t="str">
            <v>MARCELO DUARTE</v>
          </cell>
          <cell r="K1793" t="str">
            <v>ITAMBÉ</v>
          </cell>
          <cell r="L1793" t="str">
            <v>RODRIGO</v>
          </cell>
          <cell r="M1793" t="str">
            <v>JESSICA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  <cell r="H1794" t="str">
            <v>QSR</v>
          </cell>
          <cell r="I1794" t="str">
            <v>FOOD SERVICE</v>
          </cell>
          <cell r="J1794" t="str">
            <v>NUTRI</v>
          </cell>
          <cell r="K1794" t="str">
            <v>ITAMBÉ</v>
          </cell>
          <cell r="L1794" t="str">
            <v>PEDRO</v>
          </cell>
          <cell r="M1794" t="str">
            <v>VAGO QSR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  <cell r="H1795" t="str">
            <v>DISTRIBUIÇÃO</v>
          </cell>
          <cell r="I1795" t="str">
            <v>FOOD SERVICE</v>
          </cell>
          <cell r="J1795" t="str">
            <v>CLAUDIO JORGE/LUIZ</v>
          </cell>
          <cell r="K1795" t="str">
            <v>ITAMBÉ</v>
          </cell>
          <cell r="L1795" t="str">
            <v>RODRIGO</v>
          </cell>
          <cell r="M1795" t="str">
            <v>MARIA LOURDES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  <cell r="H1796" t="str">
            <v>INGREDIENTS</v>
          </cell>
          <cell r="I1796" t="str">
            <v>INGREDIENTS</v>
          </cell>
          <cell r="J1796" t="str">
            <v>JOEL ELEOTÉRIO</v>
          </cell>
          <cell r="K1796" t="str">
            <v>LACTALIS</v>
          </cell>
          <cell r="L1796" t="str">
            <v>MAURICIO</v>
          </cell>
          <cell r="M1796" t="str">
            <v>JOEL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  <cell r="H1797" t="str">
            <v>DISTRIBUIÇÃO</v>
          </cell>
          <cell r="I1797" t="str">
            <v>FOOD SERVICE</v>
          </cell>
          <cell r="J1797" t="str">
            <v>VAGO SP</v>
          </cell>
          <cell r="K1797" t="str">
            <v>LACTALIS</v>
          </cell>
          <cell r="L1797" t="str">
            <v>RODRIGO</v>
          </cell>
          <cell r="M1797" t="str">
            <v>RAQUEL BARBOSA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  <cell r="H1798" t="str">
            <v>INGREDIENTS</v>
          </cell>
          <cell r="I1798" t="str">
            <v>INGREDIENTS</v>
          </cell>
          <cell r="J1798" t="str">
            <v>HENRIQUE FERREIRA</v>
          </cell>
          <cell r="K1798" t="str">
            <v>ITAMBÉ</v>
          </cell>
          <cell r="L1798" t="str">
            <v>MAURICIO</v>
          </cell>
          <cell r="M1798" t="str">
            <v>JOEL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  <cell r="H1799" t="str">
            <v>DISTRIBUIÇÃO</v>
          </cell>
          <cell r="I1799" t="str">
            <v>FOOD SERVICE</v>
          </cell>
          <cell r="J1799" t="str">
            <v>CLAUDIO JORGE/LUIZ</v>
          </cell>
          <cell r="K1799" t="str">
            <v>ITAMBÉ</v>
          </cell>
          <cell r="L1799" t="str">
            <v>RODRIGO</v>
          </cell>
          <cell r="M1799" t="str">
            <v>MARIA LOURDES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  <cell r="H1800" t="str">
            <v>DISTRIBUIÇÃO</v>
          </cell>
          <cell r="I1800" t="str">
            <v>FOOD SERVICE</v>
          </cell>
          <cell r="J1800" t="str">
            <v>VAGO SP</v>
          </cell>
          <cell r="K1800" t="str">
            <v>LACTALIS</v>
          </cell>
          <cell r="L1800" t="str">
            <v>RODRIGO</v>
          </cell>
          <cell r="M1800" t="str">
            <v>RAQUEL BARBOSA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  <cell r="H1801" t="str">
            <v>INGREDIENTS</v>
          </cell>
          <cell r="I1801" t="str">
            <v>INGREDIENTS</v>
          </cell>
          <cell r="J1801" t="str">
            <v>DUAS RODAS</v>
          </cell>
          <cell r="K1801" t="str">
            <v>ITAMBÉ</v>
          </cell>
          <cell r="L1801" t="str">
            <v>MAURICIO</v>
          </cell>
          <cell r="M1801" t="str">
            <v>MARCELO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  <cell r="H1802" t="str">
            <v>DISTRIBUIÇÃO</v>
          </cell>
          <cell r="I1802" t="str">
            <v>FOOD SERVICE</v>
          </cell>
          <cell r="J1802" t="str">
            <v>CLAUDIO JORGE/LUIZ</v>
          </cell>
          <cell r="K1802" t="str">
            <v>ITAMBÉ</v>
          </cell>
          <cell r="L1802" t="str">
            <v>RODRIGO</v>
          </cell>
          <cell r="M1802" t="str">
            <v>MARIA LOURDES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  <cell r="H1803" t="str">
            <v>DISTRIBUIÇÃO</v>
          </cell>
          <cell r="I1803" t="str">
            <v>FOOD SERVICE</v>
          </cell>
          <cell r="J1803" t="str">
            <v>ANGELICA BATISTELA</v>
          </cell>
          <cell r="K1803" t="str">
            <v>ITAMBÉ</v>
          </cell>
          <cell r="L1803" t="str">
            <v>RODRIGO</v>
          </cell>
          <cell r="M1803" t="str">
            <v>ANGELICA BATISTELA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  <cell r="H1804" t="str">
            <v>INGREDIENTS</v>
          </cell>
          <cell r="I1804" t="str">
            <v>INGREDIENTS</v>
          </cell>
          <cell r="J1804" t="str">
            <v>DUAS RODAS</v>
          </cell>
          <cell r="K1804" t="str">
            <v>ITAMBÉ</v>
          </cell>
          <cell r="L1804" t="str">
            <v>MAURICIO</v>
          </cell>
          <cell r="M1804" t="str">
            <v>TATIANA NITTA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  <cell r="H1805" t="str">
            <v>INGREDIENTS</v>
          </cell>
          <cell r="I1805" t="str">
            <v>INGREDIENTS</v>
          </cell>
          <cell r="J1805" t="str">
            <v>TATIANA NITTA</v>
          </cell>
          <cell r="K1805" t="str">
            <v>ITAMBÉ</v>
          </cell>
          <cell r="L1805" t="str">
            <v>MAURICIO</v>
          </cell>
          <cell r="M1805" t="str">
            <v>TATIANA NITTA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  <cell r="H1806" t="str">
            <v>INGREDIENTS</v>
          </cell>
          <cell r="I1806" t="str">
            <v>INGREDIENTS</v>
          </cell>
          <cell r="J1806" t="str">
            <v>MARCELO RODRIGUES</v>
          </cell>
          <cell r="K1806" t="str">
            <v>ITAMBÉ</v>
          </cell>
          <cell r="L1806" t="str">
            <v>MAURICIO</v>
          </cell>
          <cell r="M1806" t="str">
            <v>MARCELO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  <cell r="H1807" t="str">
            <v>DISTRIBUIÇÃO</v>
          </cell>
          <cell r="I1807" t="str">
            <v>FOOD SERVICE</v>
          </cell>
          <cell r="J1807" t="str">
            <v>CELIO MARTINS</v>
          </cell>
          <cell r="K1807" t="str">
            <v>ITAMBÉ</v>
          </cell>
          <cell r="L1807" t="str">
            <v>RODRIGO</v>
          </cell>
          <cell r="M1807" t="str">
            <v>CELIO MARTINS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  <cell r="H1808" t="str">
            <v>INGREDIENTS</v>
          </cell>
          <cell r="I1808" t="str">
            <v>INGREDIENTS</v>
          </cell>
          <cell r="J1808" t="str">
            <v>MARCELO RODRIGUES</v>
          </cell>
          <cell r="K1808" t="str">
            <v>ITAMBÉ</v>
          </cell>
          <cell r="L1808" t="str">
            <v>MAURICIO</v>
          </cell>
          <cell r="M1808" t="str">
            <v>MARCELO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  <cell r="H1809" t="str">
            <v>DISTRIBUIÇÃO</v>
          </cell>
          <cell r="I1809" t="str">
            <v>FOOD SERVICE</v>
          </cell>
          <cell r="J1809" t="str">
            <v>LUCIANA MARTINS</v>
          </cell>
          <cell r="K1809" t="str">
            <v>ITAMBÉ</v>
          </cell>
          <cell r="L1809" t="str">
            <v>RODRIGO</v>
          </cell>
          <cell r="M1809" t="str">
            <v>JESSICA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  <cell r="H1810" t="str">
            <v>INGREDIENTS</v>
          </cell>
          <cell r="I1810" t="str">
            <v>INGREDIENTS</v>
          </cell>
          <cell r="J1810" t="str">
            <v>FERREIRA MELO</v>
          </cell>
          <cell r="K1810" t="str">
            <v>LACTALIS</v>
          </cell>
          <cell r="L1810" t="str">
            <v>MAURICIO</v>
          </cell>
          <cell r="M1810" t="str">
            <v>JOEL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  <cell r="H1811" t="str">
            <v>DISTRIBUIÇÃO</v>
          </cell>
          <cell r="I1811" t="str">
            <v>FOOD SERVICE</v>
          </cell>
          <cell r="J1811" t="str">
            <v>CLAUDIO JORGE/LUIZ</v>
          </cell>
          <cell r="K1811" t="str">
            <v>ITAMBÉ</v>
          </cell>
          <cell r="L1811" t="str">
            <v>RODRIGO</v>
          </cell>
          <cell r="M1811" t="str">
            <v>MARIA LOURDES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  <cell r="H1812" t="str">
            <v>DISTRIBUIÇÃO</v>
          </cell>
          <cell r="I1812" t="str">
            <v>FOOD SERVICE</v>
          </cell>
          <cell r="J1812" t="str">
            <v>WH FOOD SERVICE CE</v>
          </cell>
          <cell r="K1812" t="str">
            <v>ITAMBÉ</v>
          </cell>
          <cell r="L1812" t="str">
            <v>RODRIGO</v>
          </cell>
          <cell r="M1812" t="str">
            <v>MARIA LOURDES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  <cell r="H1813" t="str">
            <v>DISTRIBUIÇÃO</v>
          </cell>
          <cell r="I1813" t="str">
            <v>FOOD SERVICE</v>
          </cell>
          <cell r="J1813" t="str">
            <v>CLAUDIO JORGE/LUIZ</v>
          </cell>
          <cell r="K1813" t="str">
            <v>ITAMBÉ</v>
          </cell>
          <cell r="L1813" t="str">
            <v>RODRIGO</v>
          </cell>
          <cell r="M1813" t="str">
            <v>MARIA LOURDES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  <cell r="H1814" t="str">
            <v>DISTRIBUIÇÃO</v>
          </cell>
          <cell r="I1814" t="str">
            <v>FOOD SERVICE</v>
          </cell>
          <cell r="J1814" t="str">
            <v>CLAUDIO JORGE</v>
          </cell>
          <cell r="K1814" t="str">
            <v>ITAMBÉ</v>
          </cell>
          <cell r="L1814" t="str">
            <v>RODRIGO</v>
          </cell>
          <cell r="M1814" t="str">
            <v>MARIA LOURDES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  <cell r="H1815" t="str">
            <v>DISTRIBUIÇÃO</v>
          </cell>
          <cell r="I1815" t="str">
            <v>FOOD SERVICE</v>
          </cell>
          <cell r="J1815" t="str">
            <v>SP ITB FS FLAC REP.E COMERCIO</v>
          </cell>
          <cell r="K1815" t="str">
            <v>ITAMBÉ</v>
          </cell>
          <cell r="L1815" t="str">
            <v>RODRIGO</v>
          </cell>
          <cell r="M1815" t="str">
            <v>RAQUEL BARBOSA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  <cell r="H1816" t="str">
            <v>DISTRIBUIÇÃO</v>
          </cell>
          <cell r="I1816" t="str">
            <v>FOOD SERVICE</v>
          </cell>
          <cell r="J1816" t="str">
            <v>ALEXANDRE BONANI</v>
          </cell>
          <cell r="K1816" t="str">
            <v>LACTALIS</v>
          </cell>
          <cell r="L1816" t="str">
            <v>RODRIGO</v>
          </cell>
          <cell r="M1816" t="str">
            <v>ALEXANDRE BONANI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  <cell r="H1817" t="str">
            <v>INGREDIENTS</v>
          </cell>
          <cell r="I1817" t="str">
            <v>INGREDIENTS</v>
          </cell>
          <cell r="J1817" t="str">
            <v>MARCELO RODRIGUES</v>
          </cell>
          <cell r="K1817" t="str">
            <v>LACTALIS</v>
          </cell>
          <cell r="L1817" t="str">
            <v>MAURICIO</v>
          </cell>
          <cell r="M1817" t="str">
            <v>MARCELO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  <cell r="H1818" t="str">
            <v>DISTRIBUIÇÃO</v>
          </cell>
          <cell r="I1818" t="str">
            <v>FOOD SERVICE</v>
          </cell>
          <cell r="J1818" t="str">
            <v>VAGO SP</v>
          </cell>
          <cell r="K1818" t="str">
            <v>ITAMBÉ</v>
          </cell>
          <cell r="L1818" t="str">
            <v>RODRIGO</v>
          </cell>
          <cell r="M1818" t="str">
            <v>RAQUEL BARBOSA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  <cell r="H1819" t="str">
            <v>INGREDIENTS</v>
          </cell>
          <cell r="I1819" t="str">
            <v>INGREDIENTS</v>
          </cell>
          <cell r="J1819" t="str">
            <v>TATIANA NITTA</v>
          </cell>
          <cell r="K1819" t="str">
            <v>ITAMBÉ</v>
          </cell>
          <cell r="L1819" t="str">
            <v>MAURICIO</v>
          </cell>
          <cell r="M1819" t="str">
            <v>TATIANA NITTA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  <cell r="H1820" t="str">
            <v>DISTRIBUIÇÃO</v>
          </cell>
          <cell r="I1820" t="str">
            <v>FOOD SERVICE</v>
          </cell>
          <cell r="J1820" t="str">
            <v>SP ITB FS FLAC REP.E COMERCIO</v>
          </cell>
          <cell r="K1820" t="str">
            <v>ITAMBÉ</v>
          </cell>
          <cell r="L1820" t="str">
            <v>RODRIGO</v>
          </cell>
          <cell r="M1820" t="str">
            <v>RAQUEL BARBOSA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  <cell r="H1821" t="str">
            <v>QSR</v>
          </cell>
          <cell r="I1821" t="str">
            <v>FOOD SERVICE</v>
          </cell>
          <cell r="J1821" t="str">
            <v>NUTRI</v>
          </cell>
          <cell r="K1821" t="str">
            <v>ITAMBÉ</v>
          </cell>
          <cell r="L1821" t="str">
            <v>PEDRO</v>
          </cell>
          <cell r="M1821" t="str">
            <v>VAGO QSR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  <cell r="H1822" t="str">
            <v>INGREDIENTS</v>
          </cell>
          <cell r="I1822" t="str">
            <v>INGREDIENTS</v>
          </cell>
          <cell r="J1822" t="str">
            <v>MARCELO RODRIGUES</v>
          </cell>
          <cell r="K1822" t="str">
            <v>ITAMBÉ</v>
          </cell>
          <cell r="L1822" t="str">
            <v>MAURICIO</v>
          </cell>
          <cell r="M1822" t="str">
            <v>MARCELO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  <cell r="H1823" t="str">
            <v>DISTRIBUIÇÃO</v>
          </cell>
          <cell r="I1823" t="str">
            <v>FOOD SERVICE</v>
          </cell>
          <cell r="J1823" t="str">
            <v>CLAUDIO JORGE/LUIZ</v>
          </cell>
          <cell r="K1823" t="str">
            <v>ITAMBÉ</v>
          </cell>
          <cell r="L1823" t="str">
            <v>RODRIGO</v>
          </cell>
          <cell r="M1823" t="str">
            <v>MARIA LOURDES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  <cell r="H1824" t="str">
            <v>INGREDIENTS</v>
          </cell>
          <cell r="I1824" t="str">
            <v>INGREDIENTS</v>
          </cell>
          <cell r="J1824" t="str">
            <v>DUAS RODAS</v>
          </cell>
          <cell r="K1824" t="str">
            <v>ITAMBÉ</v>
          </cell>
          <cell r="L1824" t="str">
            <v>MAURICIO</v>
          </cell>
          <cell r="M1824" t="str">
            <v>MARCELO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  <cell r="H1825" t="str">
            <v>INGREDIENTS</v>
          </cell>
          <cell r="I1825" t="str">
            <v>INGREDIENTS</v>
          </cell>
          <cell r="J1825" t="str">
            <v>MARCELO RODRIGUES</v>
          </cell>
          <cell r="K1825" t="str">
            <v>ITAMBÉ</v>
          </cell>
          <cell r="L1825" t="str">
            <v>MAURICIO</v>
          </cell>
          <cell r="M1825" t="str">
            <v>MARCELO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  <cell r="H1826" t="str">
            <v>INGREDIENTS</v>
          </cell>
          <cell r="I1826" t="str">
            <v>INGREDIENTS</v>
          </cell>
          <cell r="J1826" t="str">
            <v>SP ITB FS LUIZ PEREIRA</v>
          </cell>
          <cell r="K1826" t="str">
            <v>ITAMBÉ</v>
          </cell>
          <cell r="L1826" t="str">
            <v>MAURICIO</v>
          </cell>
          <cell r="M1826" t="str">
            <v>TATIANA NITTA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  <cell r="H1827" t="str">
            <v>INGREDIENTS</v>
          </cell>
          <cell r="I1827" t="str">
            <v>INGREDIENTS</v>
          </cell>
          <cell r="J1827" t="str">
            <v>SP ITB FS LUIZ PEREIRA</v>
          </cell>
          <cell r="K1827" t="str">
            <v>ITAMBÉ</v>
          </cell>
          <cell r="L1827" t="str">
            <v>MAURICIO</v>
          </cell>
          <cell r="M1827" t="str">
            <v>TATIANA NITTA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  <cell r="H1828" t="str">
            <v>INGREDIENTS</v>
          </cell>
          <cell r="I1828" t="str">
            <v>INGREDIENTS</v>
          </cell>
          <cell r="J1828" t="str">
            <v>MARCELO RODRIGUES</v>
          </cell>
          <cell r="K1828" t="str">
            <v>ITAMBÉ</v>
          </cell>
          <cell r="L1828" t="str">
            <v>MAURICIO</v>
          </cell>
          <cell r="M1828" t="str">
            <v>MARCELO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  <cell r="H1829" t="str">
            <v>INGREDIENTS</v>
          </cell>
          <cell r="I1829" t="str">
            <v>INGREDIENTS</v>
          </cell>
          <cell r="J1829" t="str">
            <v>DUAS RODAS</v>
          </cell>
          <cell r="K1829" t="str">
            <v>ITAMBÉ</v>
          </cell>
          <cell r="L1829" t="str">
            <v>MAURICIO</v>
          </cell>
          <cell r="M1829" t="str">
            <v>MARCELO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  <cell r="H1830" t="str">
            <v>DISTRIBUIÇÃO</v>
          </cell>
          <cell r="I1830" t="str">
            <v>FOOD SERVICE</v>
          </cell>
          <cell r="J1830" t="str">
            <v>VAGO SP</v>
          </cell>
          <cell r="K1830" t="str">
            <v>ITAMBÉ</v>
          </cell>
          <cell r="L1830" t="str">
            <v>RODRIGO</v>
          </cell>
          <cell r="M1830" t="str">
            <v>RAQUEL BARBOSA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  <cell r="H1831" t="str">
            <v>INGREDIENTS</v>
          </cell>
          <cell r="I1831" t="str">
            <v>INGREDIENTS</v>
          </cell>
          <cell r="J1831" t="str">
            <v>MARCELO RODRIGUES</v>
          </cell>
          <cell r="K1831" t="str">
            <v>ITAMBÉ</v>
          </cell>
          <cell r="L1831" t="str">
            <v>MAURICIO</v>
          </cell>
          <cell r="M1831" t="str">
            <v>MARCELO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  <cell r="H1832" t="str">
            <v>INGREDIENTS</v>
          </cell>
          <cell r="I1832" t="str">
            <v>INGREDIENTS</v>
          </cell>
          <cell r="J1832" t="str">
            <v>MARCELO RODRIGUES</v>
          </cell>
          <cell r="K1832" t="str">
            <v>ITAMBÉ</v>
          </cell>
          <cell r="L1832" t="str">
            <v>MAURICIO</v>
          </cell>
          <cell r="M1832" t="str">
            <v>MARCELO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  <cell r="H1833" t="str">
            <v>DISTRIBUIÇÃO</v>
          </cell>
          <cell r="I1833" t="str">
            <v>FOOD SERVICE</v>
          </cell>
          <cell r="J1833" t="str">
            <v>MARCO AURELIO</v>
          </cell>
          <cell r="K1833" t="str">
            <v>ITAMBÉ</v>
          </cell>
          <cell r="L1833" t="str">
            <v>RODRIGO</v>
          </cell>
          <cell r="M1833" t="str">
            <v>MARCO AURELIO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  <cell r="H1834" t="str">
            <v>INGREDIENTS</v>
          </cell>
          <cell r="I1834" t="str">
            <v>INGREDIENTS</v>
          </cell>
          <cell r="J1834" t="str">
            <v>SP ITB FS IKM REPRESENTACOES</v>
          </cell>
          <cell r="K1834" t="str">
            <v>ITAMBÉ</v>
          </cell>
          <cell r="L1834" t="str">
            <v>MAURICIO</v>
          </cell>
          <cell r="M1834" t="str">
            <v>TATIANA NITTA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  <cell r="H1835" t="str">
            <v>INGREDIENTS</v>
          </cell>
          <cell r="I1835" t="str">
            <v>INGREDIENTS</v>
          </cell>
          <cell r="J1835" t="str">
            <v>HENRIQUE FERREIRA</v>
          </cell>
          <cell r="K1835" t="str">
            <v>ITAMBÉ</v>
          </cell>
          <cell r="L1835" t="str">
            <v>MAURICIO</v>
          </cell>
          <cell r="M1835" t="str">
            <v>JOEL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  <cell r="H1836" t="str">
            <v>INGREDIENTS</v>
          </cell>
          <cell r="I1836" t="str">
            <v>INGREDIENTS</v>
          </cell>
          <cell r="J1836" t="str">
            <v>DUAS RODAS</v>
          </cell>
          <cell r="K1836" t="str">
            <v>ITAMBÉ</v>
          </cell>
          <cell r="L1836" t="str">
            <v>MAURICIO</v>
          </cell>
          <cell r="M1836" t="str">
            <v>MARCELO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  <cell r="H1837" t="str">
            <v>DISTRIBUIÇÃO</v>
          </cell>
          <cell r="I1837" t="str">
            <v>FOOD SERVICE</v>
          </cell>
          <cell r="J1837" t="str">
            <v>MARCO AURELIO</v>
          </cell>
          <cell r="K1837" t="str">
            <v>ITAMBÉ</v>
          </cell>
          <cell r="L1837" t="str">
            <v>RODRIGO</v>
          </cell>
          <cell r="M1837" t="str">
            <v>MARCO AURELIO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  <cell r="H1838" t="str">
            <v>DISTRIBUIÇÃO</v>
          </cell>
          <cell r="I1838" t="str">
            <v>FOOD SERVICE</v>
          </cell>
          <cell r="J1838" t="str">
            <v>ALEXANDRO RODRIGUES</v>
          </cell>
          <cell r="K1838" t="str">
            <v>ITAMBÉ</v>
          </cell>
          <cell r="L1838" t="str">
            <v>RODRIGO</v>
          </cell>
          <cell r="M1838" t="str">
            <v>ALEXANDRO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  <cell r="H1839" t="str">
            <v>INGREDIENTS</v>
          </cell>
          <cell r="I1839" t="str">
            <v>INGREDIENTS</v>
          </cell>
          <cell r="J1839" t="str">
            <v>DUAS RODAS</v>
          </cell>
          <cell r="K1839" t="str">
            <v>ITAMBÉ</v>
          </cell>
          <cell r="L1839" t="str">
            <v>MAURICIO</v>
          </cell>
          <cell r="M1839" t="str">
            <v>MARCELO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  <cell r="H1840" t="str">
            <v>DISTRIBUIÇÃO</v>
          </cell>
          <cell r="I1840" t="str">
            <v>FOOD SERVICE</v>
          </cell>
          <cell r="J1840" t="str">
            <v>GUILHERME NASCIMENTO</v>
          </cell>
          <cell r="K1840" t="str">
            <v>ITAMBÉ</v>
          </cell>
          <cell r="L1840" t="str">
            <v>RODRIGO</v>
          </cell>
          <cell r="M1840" t="str">
            <v>ALEXANDRO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  <cell r="H1841" t="str">
            <v>DISTRIBUIÇÃO</v>
          </cell>
          <cell r="I1841" t="str">
            <v>FOOD SERVICE</v>
          </cell>
          <cell r="J1841" t="str">
            <v>FLAC 7</v>
          </cell>
          <cell r="K1841" t="str">
            <v>LACTALIS</v>
          </cell>
          <cell r="L1841" t="str">
            <v>RODRIGO</v>
          </cell>
          <cell r="M1841" t="str">
            <v>RAQUEL BARBOSA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  <cell r="H1842" t="str">
            <v>INGREDIENTS</v>
          </cell>
          <cell r="I1842" t="str">
            <v>INGREDIENTS</v>
          </cell>
          <cell r="J1842" t="str">
            <v>JOEL ELEOTÉRIO</v>
          </cell>
          <cell r="K1842" t="str">
            <v>LACTALIS</v>
          </cell>
          <cell r="L1842" t="str">
            <v>MAURICIO</v>
          </cell>
          <cell r="M1842" t="str">
            <v>JOEL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  <cell r="H1843" t="str">
            <v>QSR</v>
          </cell>
          <cell r="I1843" t="str">
            <v>FOOD SERVICE</v>
          </cell>
          <cell r="J1843" t="str">
            <v>NUTRI</v>
          </cell>
          <cell r="K1843" t="str">
            <v>ITAMBÉ</v>
          </cell>
          <cell r="L1843" t="str">
            <v>PEDRO</v>
          </cell>
          <cell r="M1843" t="str">
            <v>VAGO QSR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  <cell r="H1844" t="str">
            <v>OUTROS</v>
          </cell>
          <cell r="I1844" t="str">
            <v>OUTROS</v>
          </cell>
          <cell r="J1844" t="str">
            <v>SERVIÇO TIROL</v>
          </cell>
          <cell r="K1844" t="str">
            <v>OUTROS</v>
          </cell>
          <cell r="L1844" t="str">
            <v>OUTROS</v>
          </cell>
          <cell r="M1844" t="str">
            <v>SERVIÇO TIROL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  <cell r="H1845" t="str">
            <v>DISTRIBUIÇÃO</v>
          </cell>
          <cell r="I1845" t="str">
            <v>FOOD SERVICE</v>
          </cell>
          <cell r="J1845" t="str">
            <v>GUILHERME NASCIMENTO</v>
          </cell>
          <cell r="K1845" t="str">
            <v>LACTALIS</v>
          </cell>
          <cell r="L1845" t="str">
            <v>RODRIGO</v>
          </cell>
          <cell r="M1845" t="str">
            <v>ALEXANDRO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  <cell r="H1846" t="str">
            <v>QSR</v>
          </cell>
          <cell r="I1846" t="str">
            <v>FOOD SERVICE</v>
          </cell>
          <cell r="J1846" t="str">
            <v>NUTRI</v>
          </cell>
          <cell r="K1846" t="str">
            <v>ITAMBÉ</v>
          </cell>
          <cell r="L1846" t="str">
            <v>PEDRO</v>
          </cell>
          <cell r="M1846" t="str">
            <v>VAGO QSR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  <cell r="H1847" t="str">
            <v>INGREDIENTS</v>
          </cell>
          <cell r="I1847" t="str">
            <v>INGREDIENTS</v>
          </cell>
          <cell r="J1847" t="str">
            <v>SP ITB FS LUIZ PEREIRA</v>
          </cell>
          <cell r="K1847" t="str">
            <v>ITAMBÉ</v>
          </cell>
          <cell r="L1847" t="str">
            <v>MAURICIO</v>
          </cell>
          <cell r="M1847" t="str">
            <v>TATIANA NITTA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  <cell r="H1848" t="str">
            <v>DISTRIBUIÇÃO</v>
          </cell>
          <cell r="I1848" t="str">
            <v>FOOD SERVICE</v>
          </cell>
          <cell r="J1848" t="str">
            <v>FLAC 6</v>
          </cell>
          <cell r="K1848" t="str">
            <v>LACTALIS</v>
          </cell>
          <cell r="L1848" t="str">
            <v>RODRIGO</v>
          </cell>
          <cell r="M1848" t="str">
            <v>RAQUEL BARBOSA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  <cell r="H1849" t="str">
            <v>DISTRIBUIÇÃO</v>
          </cell>
          <cell r="I1849" t="str">
            <v>FOOD SERVICE</v>
          </cell>
          <cell r="J1849" t="str">
            <v>FLAC 6</v>
          </cell>
          <cell r="K1849" t="str">
            <v>LACTALIS</v>
          </cell>
          <cell r="L1849" t="str">
            <v>RODRIGO</v>
          </cell>
          <cell r="M1849" t="str">
            <v>RAQUEL BARBOSA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  <cell r="H1850" t="str">
            <v>DISTRIBUIÇÃO</v>
          </cell>
          <cell r="I1850" t="str">
            <v>FOOD SERVICE</v>
          </cell>
          <cell r="J1850" t="str">
            <v>FLAC 3</v>
          </cell>
          <cell r="K1850" t="str">
            <v>LACTALIS</v>
          </cell>
          <cell r="L1850" t="str">
            <v>RODRIGO</v>
          </cell>
          <cell r="M1850" t="str">
            <v>RAQUEL BARBOSA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  <cell r="H1851" t="str">
            <v>INGREDIENTS</v>
          </cell>
          <cell r="I1851" t="str">
            <v>INGREDIENTS</v>
          </cell>
          <cell r="J1851" t="str">
            <v>DUAS RODAS</v>
          </cell>
          <cell r="K1851" t="str">
            <v>LACTALIS</v>
          </cell>
          <cell r="L1851" t="str">
            <v>MAURICIO</v>
          </cell>
          <cell r="M1851" t="str">
            <v>TATIANA NITTA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  <cell r="H1852" t="str">
            <v>INGREDIENTS</v>
          </cell>
          <cell r="I1852" t="str">
            <v>INGREDIENTS</v>
          </cell>
          <cell r="J1852" t="str">
            <v>HENRIQUE FERREIRA</v>
          </cell>
          <cell r="K1852" t="str">
            <v>ITAMBÉ</v>
          </cell>
          <cell r="L1852" t="str">
            <v>MAURICIO</v>
          </cell>
          <cell r="M1852" t="str">
            <v>JOEL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  <cell r="H1853" t="str">
            <v>DISTRIBUIÇÃO</v>
          </cell>
          <cell r="I1853" t="str">
            <v>FOOD SERVICE</v>
          </cell>
          <cell r="J1853" t="str">
            <v>CLAUDIO JORGE/LUIZ</v>
          </cell>
          <cell r="K1853" t="str">
            <v>ITAMBÉ</v>
          </cell>
          <cell r="L1853" t="str">
            <v>RODRIGO</v>
          </cell>
          <cell r="M1853" t="str">
            <v>MARIA LOURDES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  <cell r="H1854" t="str">
            <v>INGREDIENTS</v>
          </cell>
          <cell r="I1854" t="str">
            <v>INGREDIENTS</v>
          </cell>
          <cell r="J1854" t="str">
            <v>HENRIQUE FERREIRA</v>
          </cell>
          <cell r="K1854" t="str">
            <v>ITAMBÉ</v>
          </cell>
          <cell r="L1854" t="str">
            <v>MAURICIO</v>
          </cell>
          <cell r="M1854" t="str">
            <v>JOEL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  <cell r="H1855" t="str">
            <v>DISTRIBUIÇÃO</v>
          </cell>
          <cell r="I1855" t="str">
            <v>FOOD SERVICE</v>
          </cell>
          <cell r="J1855" t="str">
            <v>MARCO AURELIO</v>
          </cell>
          <cell r="K1855" t="str">
            <v>ITAMBÉ</v>
          </cell>
          <cell r="L1855" t="str">
            <v>RODRIGO</v>
          </cell>
          <cell r="M1855" t="str">
            <v>MARCO AURELIO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  <cell r="H1856" t="str">
            <v>INGREDIENTS</v>
          </cell>
          <cell r="I1856" t="str">
            <v>INGREDIENTS</v>
          </cell>
          <cell r="J1856" t="str">
            <v>TATIANA NITTA</v>
          </cell>
          <cell r="K1856" t="str">
            <v>ITAMBÉ</v>
          </cell>
          <cell r="L1856" t="str">
            <v>MAURICIO</v>
          </cell>
          <cell r="M1856" t="str">
            <v>TATIANA NITTA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  <cell r="H1857" t="str">
            <v>INGREDIENTS</v>
          </cell>
          <cell r="I1857" t="str">
            <v>INGREDIENTS</v>
          </cell>
          <cell r="J1857" t="str">
            <v>MARCELO RODRIGUES</v>
          </cell>
          <cell r="K1857" t="str">
            <v>LACTALIS</v>
          </cell>
          <cell r="L1857" t="str">
            <v>MAURICIO</v>
          </cell>
          <cell r="M1857" t="str">
            <v>MARCELO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  <cell r="H1858" t="str">
            <v>INGREDIENTS</v>
          </cell>
          <cell r="I1858" t="str">
            <v>INGREDIENTS</v>
          </cell>
          <cell r="J1858" t="str">
            <v>HENRIQUE FERREIRA</v>
          </cell>
          <cell r="K1858" t="str">
            <v>ITAMBÉ</v>
          </cell>
          <cell r="L1858" t="str">
            <v>MAURICIO</v>
          </cell>
          <cell r="M1858" t="str">
            <v>JOEL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  <cell r="H1859" t="str">
            <v>INGREDIENTS</v>
          </cell>
          <cell r="I1859" t="str">
            <v>INGREDIENTS</v>
          </cell>
          <cell r="J1859" t="str">
            <v>JOEL ELEOTÉRIO</v>
          </cell>
          <cell r="K1859" t="str">
            <v>ITAMBÉ</v>
          </cell>
          <cell r="L1859" t="str">
            <v>MAURICIO</v>
          </cell>
          <cell r="M1859" t="str">
            <v>JOEL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  <cell r="H1860" t="str">
            <v>DISTRIBUIÇÃO</v>
          </cell>
          <cell r="I1860" t="str">
            <v>FOOD SERVICE</v>
          </cell>
          <cell r="J1860" t="str">
            <v>WH FOOD SERVICE CE</v>
          </cell>
          <cell r="K1860" t="str">
            <v>ITAMBÉ</v>
          </cell>
          <cell r="L1860" t="str">
            <v>RODRIGO</v>
          </cell>
          <cell r="M1860" t="str">
            <v>MARIA LOURDES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  <cell r="H1861" t="str">
            <v>DISTRIBUIÇÃO</v>
          </cell>
          <cell r="I1861" t="str">
            <v>FOOD SERVICE</v>
          </cell>
          <cell r="J1861" t="str">
            <v>VAGO SP</v>
          </cell>
          <cell r="K1861" t="str">
            <v>LACTALIS</v>
          </cell>
          <cell r="L1861" t="str">
            <v>RODRIGO</v>
          </cell>
          <cell r="M1861" t="str">
            <v>RAQUEL BARBOSA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  <cell r="H1862" t="str">
            <v>DISTRIBUIÇÃO</v>
          </cell>
          <cell r="I1862" t="str">
            <v>FOOD SERVICE</v>
          </cell>
          <cell r="J1862" t="str">
            <v>GUILHERME NASCIMENTO</v>
          </cell>
          <cell r="K1862" t="str">
            <v>LACTALIS</v>
          </cell>
          <cell r="L1862" t="str">
            <v>RODRIGO</v>
          </cell>
          <cell r="M1862" t="str">
            <v>ALEXANDRO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  <cell r="H1863" t="str">
            <v>DISTRIBUIÇÃO</v>
          </cell>
          <cell r="I1863" t="str">
            <v>FOOD SERVICE</v>
          </cell>
          <cell r="J1863" t="str">
            <v>ANGELICA BATISTELA</v>
          </cell>
          <cell r="K1863" t="str">
            <v>ITAMBÉ</v>
          </cell>
          <cell r="L1863" t="str">
            <v>RODRIGO</v>
          </cell>
          <cell r="M1863" t="str">
            <v>ANGELICA BATISTELA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  <cell r="H1864" t="str">
            <v>DISTRIBUIÇÃO</v>
          </cell>
          <cell r="I1864" t="str">
            <v>FOOD SERVICE</v>
          </cell>
          <cell r="J1864" t="str">
            <v>ALEXANDRO RODRIGUES</v>
          </cell>
          <cell r="K1864" t="str">
            <v>ITAMBÉ</v>
          </cell>
          <cell r="L1864" t="str">
            <v>RODRIGO</v>
          </cell>
          <cell r="M1864" t="str">
            <v>ALEXANDRO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  <cell r="H1865" t="str">
            <v>INGREDIENTS</v>
          </cell>
          <cell r="I1865" t="str">
            <v>INGREDIENTS</v>
          </cell>
          <cell r="J1865" t="str">
            <v>TATIANA NITTA</v>
          </cell>
          <cell r="K1865" t="str">
            <v>LACTALIS</v>
          </cell>
          <cell r="L1865" t="str">
            <v>MAURICIO</v>
          </cell>
          <cell r="M1865" t="str">
            <v>TATIANA NITTA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  <cell r="H1866" t="str">
            <v>INGREDIENTS</v>
          </cell>
          <cell r="I1866" t="str">
            <v>INGREDIENTS</v>
          </cell>
          <cell r="J1866" t="str">
            <v>TATIANA NITTA</v>
          </cell>
          <cell r="K1866" t="str">
            <v>LACTALIS</v>
          </cell>
          <cell r="L1866" t="str">
            <v>MAURICIO</v>
          </cell>
          <cell r="M1866" t="str">
            <v>TATIANA NITTA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  <cell r="H1867" t="str">
            <v>INGREDIENTS</v>
          </cell>
          <cell r="I1867" t="str">
            <v>INGREDIENTS</v>
          </cell>
          <cell r="J1867" t="str">
            <v>TATIANA NITTA</v>
          </cell>
          <cell r="K1867" t="str">
            <v>ITAMBÉ</v>
          </cell>
          <cell r="L1867" t="str">
            <v>MAURICIO</v>
          </cell>
          <cell r="M1867" t="str">
            <v>TATIANA NITTA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  <cell r="H1868" t="str">
            <v>INGREDIENTS</v>
          </cell>
          <cell r="I1868" t="str">
            <v>INGREDIENTS</v>
          </cell>
          <cell r="J1868" t="str">
            <v>MARCELO RODRIGUES</v>
          </cell>
          <cell r="K1868" t="str">
            <v>ITAMBÉ</v>
          </cell>
          <cell r="L1868" t="str">
            <v>MAURICIO</v>
          </cell>
          <cell r="M1868" t="str">
            <v>MARCELO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  <cell r="H1869" t="str">
            <v>DISTRIBUIÇÃO</v>
          </cell>
          <cell r="I1869" t="str">
            <v>FOOD SERVICE</v>
          </cell>
          <cell r="J1869" t="str">
            <v>FLAC 3</v>
          </cell>
          <cell r="K1869" t="str">
            <v>LACTALIS</v>
          </cell>
          <cell r="L1869" t="str">
            <v>RODRIGO</v>
          </cell>
          <cell r="M1869" t="str">
            <v>RAQUEL BARBOSA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  <cell r="H1870" t="str">
            <v>DISTRIBUIÇÃO</v>
          </cell>
          <cell r="I1870" t="str">
            <v>FOOD SERVICE</v>
          </cell>
          <cell r="J1870" t="str">
            <v>GUILHERME NASCIMENTO</v>
          </cell>
          <cell r="K1870" t="str">
            <v>ITAMBÉ</v>
          </cell>
          <cell r="L1870" t="str">
            <v>RODRIGO</v>
          </cell>
          <cell r="M1870" t="str">
            <v>ALEXANDRO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  <cell r="H1871" t="str">
            <v>INGREDIENTS</v>
          </cell>
          <cell r="I1871" t="str">
            <v>INGREDIENTS</v>
          </cell>
          <cell r="J1871" t="str">
            <v>TATIANA NITTA</v>
          </cell>
          <cell r="K1871" t="str">
            <v>ITAMBÉ</v>
          </cell>
          <cell r="L1871" t="str">
            <v>MAURICIO</v>
          </cell>
          <cell r="M1871" t="str">
            <v>TATIANA NITTA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  <cell r="H1872" t="str">
            <v>INGREDIENTS</v>
          </cell>
          <cell r="I1872" t="str">
            <v>INGREDIENTS</v>
          </cell>
          <cell r="J1872" t="str">
            <v>HENRIQUE FERREIRA</v>
          </cell>
          <cell r="K1872" t="str">
            <v>ITAMBÉ</v>
          </cell>
          <cell r="L1872" t="str">
            <v>MAURICIO</v>
          </cell>
          <cell r="M1872" t="str">
            <v>JOEL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  <cell r="H1873" t="str">
            <v>QSR</v>
          </cell>
          <cell r="I1873" t="str">
            <v>FOOD SERVICE</v>
          </cell>
          <cell r="J1873" t="str">
            <v>NUTRI</v>
          </cell>
          <cell r="K1873" t="str">
            <v>ITAMBÉ</v>
          </cell>
          <cell r="L1873" t="str">
            <v>PEDRO</v>
          </cell>
          <cell r="M1873" t="str">
            <v>VAGO QSR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  <cell r="H1874" t="str">
            <v>DISTRIBUIÇÃO</v>
          </cell>
          <cell r="I1874" t="str">
            <v>FOOD SERVICE</v>
          </cell>
          <cell r="J1874" t="str">
            <v>FLAC 2</v>
          </cell>
          <cell r="K1874" t="str">
            <v>LACTALIS</v>
          </cell>
          <cell r="L1874" t="str">
            <v>RODRIGO</v>
          </cell>
          <cell r="M1874" t="str">
            <v>RAQUEL BARBOSA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  <cell r="H1875" t="str">
            <v>DISTRIBUIÇÃO</v>
          </cell>
          <cell r="I1875" t="str">
            <v>FOOD SERVICE</v>
          </cell>
          <cell r="J1875" t="str">
            <v>FLAC 2</v>
          </cell>
          <cell r="K1875" t="str">
            <v>LACTALIS</v>
          </cell>
          <cell r="L1875" t="str">
            <v>RODRIGO</v>
          </cell>
          <cell r="M1875" t="str">
            <v>RAQUEL BARBOSA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  <cell r="H1876" t="str">
            <v>INGREDIENTS</v>
          </cell>
          <cell r="I1876" t="str">
            <v>INGREDIENTS</v>
          </cell>
          <cell r="J1876" t="str">
            <v>DLUM</v>
          </cell>
          <cell r="K1876" t="str">
            <v>LACTALIS</v>
          </cell>
          <cell r="L1876" t="str">
            <v>MAURICIO</v>
          </cell>
          <cell r="M1876" t="str">
            <v>JOEL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  <cell r="H1877" t="str">
            <v>INGREDIENTS</v>
          </cell>
          <cell r="I1877" t="str">
            <v>INGREDIENTS</v>
          </cell>
          <cell r="J1877" t="str">
            <v>TATIANA NITTA</v>
          </cell>
          <cell r="K1877" t="str">
            <v>ITAMBÉ</v>
          </cell>
          <cell r="L1877" t="str">
            <v>MAURICIO</v>
          </cell>
          <cell r="M1877" t="str">
            <v>TATIANA NITTA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  <cell r="H1878" t="str">
            <v>DISTRIBUIÇÃO</v>
          </cell>
          <cell r="I1878" t="str">
            <v>FOOD SERVICE</v>
          </cell>
          <cell r="J1878" t="str">
            <v>FLAC 4</v>
          </cell>
          <cell r="K1878" t="str">
            <v>LACTALIS</v>
          </cell>
          <cell r="L1878" t="str">
            <v>RODRIGO</v>
          </cell>
          <cell r="M1878" t="str">
            <v>RAQUEL BARBOSA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  <cell r="H1879" t="str">
            <v>DISTRIBUIÇÃO</v>
          </cell>
          <cell r="I1879" t="str">
            <v>FOOD SERVICE</v>
          </cell>
          <cell r="J1879" t="str">
            <v>FLAC 6</v>
          </cell>
          <cell r="K1879" t="str">
            <v>LACTALIS</v>
          </cell>
          <cell r="L1879" t="str">
            <v>RODRIGO</v>
          </cell>
          <cell r="M1879" t="str">
            <v>RAQUEL BARBOSA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  <cell r="H1880" t="str">
            <v>INGREDIENTS</v>
          </cell>
          <cell r="I1880" t="str">
            <v>INGREDIENTS</v>
          </cell>
          <cell r="J1880" t="str">
            <v>MARCELO RODRIGUES</v>
          </cell>
          <cell r="K1880" t="str">
            <v>LACTALIS</v>
          </cell>
          <cell r="L1880" t="str">
            <v>MAURICIO</v>
          </cell>
          <cell r="M1880" t="str">
            <v>MARCELO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  <cell r="H1881" t="str">
            <v>DISTRIBUIÇÃO</v>
          </cell>
          <cell r="I1881" t="str">
            <v>FOOD SERVICE</v>
          </cell>
          <cell r="J1881" t="str">
            <v>ANGELICA BATISTELA</v>
          </cell>
          <cell r="K1881" t="str">
            <v>ITAMBÉ</v>
          </cell>
          <cell r="L1881" t="str">
            <v>RODRIGO</v>
          </cell>
          <cell r="M1881" t="str">
            <v>ANGELICA BATISTELA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  <cell r="H1882" t="str">
            <v>INGREDIENTS</v>
          </cell>
          <cell r="I1882" t="str">
            <v>INGREDIENTS</v>
          </cell>
          <cell r="J1882" t="str">
            <v>TATIANA NITTA</v>
          </cell>
          <cell r="K1882" t="str">
            <v>ITAMBÉ</v>
          </cell>
          <cell r="L1882" t="str">
            <v>MAURICIO</v>
          </cell>
          <cell r="M1882" t="str">
            <v>TATIANA NITTA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  <cell r="H1883" t="str">
            <v>DISTRIBUIÇÃO</v>
          </cell>
          <cell r="I1883" t="str">
            <v>FOOD SERVICE</v>
          </cell>
          <cell r="J1883" t="str">
            <v>WH FOOD SERVICE CE</v>
          </cell>
          <cell r="K1883" t="str">
            <v>ITAMBÉ</v>
          </cell>
          <cell r="L1883" t="str">
            <v>RODRIGO</v>
          </cell>
          <cell r="M1883" t="str">
            <v>MARIA LOURDES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  <cell r="H1884" t="str">
            <v>INGREDIENTS</v>
          </cell>
          <cell r="I1884" t="str">
            <v>INGREDIENTS</v>
          </cell>
          <cell r="J1884" t="str">
            <v>JOEL ELEOTÉRIO</v>
          </cell>
          <cell r="K1884" t="str">
            <v>ITAMBÉ</v>
          </cell>
          <cell r="L1884" t="str">
            <v>MAURICIO</v>
          </cell>
          <cell r="M1884" t="str">
            <v>JOEL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  <cell r="H1885" t="str">
            <v>DISTRIBUIÇÃO</v>
          </cell>
          <cell r="I1885" t="str">
            <v>FOOD SERVICE</v>
          </cell>
          <cell r="J1885" t="str">
            <v>FLAC 2</v>
          </cell>
          <cell r="K1885" t="str">
            <v>LACTALIS</v>
          </cell>
          <cell r="L1885" t="str">
            <v>RODRIGO</v>
          </cell>
          <cell r="M1885" t="str">
            <v>RAQUEL BARBOSA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  <cell r="H1886" t="str">
            <v>INGREDIENTS</v>
          </cell>
          <cell r="I1886" t="str">
            <v>INGREDIENTS</v>
          </cell>
          <cell r="J1886" t="str">
            <v>JOEL ELEOTÉRIO</v>
          </cell>
          <cell r="K1886" t="str">
            <v>ITAMBÉ</v>
          </cell>
          <cell r="L1886" t="str">
            <v>MAURICIO</v>
          </cell>
          <cell r="M1886" t="str">
            <v>JOEL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  <cell r="H1887" t="str">
            <v>DISTRIBUIÇÃO</v>
          </cell>
          <cell r="I1887" t="str">
            <v>FOOD SERVICE</v>
          </cell>
          <cell r="J1887" t="str">
            <v>MARCELO DUARTE</v>
          </cell>
          <cell r="K1887" t="str">
            <v>ITAMBÉ</v>
          </cell>
          <cell r="L1887" t="str">
            <v>RODRIGO</v>
          </cell>
          <cell r="M1887" t="str">
            <v>JESSICA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  <cell r="H1888" t="str">
            <v>DISTRIBUIÇÃO</v>
          </cell>
          <cell r="I1888" t="str">
            <v>FOOD SERVICE</v>
          </cell>
          <cell r="J1888" t="str">
            <v>ANGELICA BATISTELA</v>
          </cell>
          <cell r="K1888" t="str">
            <v>ITAMBÉ</v>
          </cell>
          <cell r="L1888" t="str">
            <v>RODRIGO</v>
          </cell>
          <cell r="M1888" t="str">
            <v>ANGELICA BATISTELA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  <cell r="H1889" t="str">
            <v>DISTRIBUIÇÃO</v>
          </cell>
          <cell r="I1889" t="str">
            <v>FOOD SERVICE</v>
          </cell>
          <cell r="J1889" t="str">
            <v>CELIO MARTINS</v>
          </cell>
          <cell r="K1889" t="str">
            <v>ITAMBÉ</v>
          </cell>
          <cell r="L1889" t="str">
            <v>RODRIGO</v>
          </cell>
          <cell r="M1889" t="str">
            <v>CELIO MARTINS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  <cell r="H1890" t="str">
            <v>INGREDIENTS</v>
          </cell>
          <cell r="I1890" t="str">
            <v>INGREDIENTS</v>
          </cell>
          <cell r="J1890" t="str">
            <v>MARCELO RODRIGUES</v>
          </cell>
          <cell r="K1890" t="str">
            <v>LACTALIS</v>
          </cell>
          <cell r="L1890" t="str">
            <v>MAURICIO</v>
          </cell>
          <cell r="M1890" t="str">
            <v>MARCELO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  <cell r="H1891" t="str">
            <v>DISTRIBUIÇÃO</v>
          </cell>
          <cell r="I1891" t="str">
            <v>FOOD SERVICE</v>
          </cell>
          <cell r="J1891" t="str">
            <v>MARCELO SILVA</v>
          </cell>
          <cell r="K1891" t="str">
            <v>ITAMBÉ</v>
          </cell>
          <cell r="L1891" t="str">
            <v>RODRIGO</v>
          </cell>
          <cell r="M1891" t="str">
            <v>CELIO MARTINS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  <cell r="H1892" t="str">
            <v>INGREDIENTS</v>
          </cell>
          <cell r="I1892" t="str">
            <v>INGREDIENTS</v>
          </cell>
          <cell r="J1892" t="str">
            <v>TATIANA NITTA</v>
          </cell>
          <cell r="K1892" t="str">
            <v>LACTALIS</v>
          </cell>
          <cell r="L1892" t="str">
            <v>MAURICIO</v>
          </cell>
          <cell r="M1892" t="str">
            <v>TATIANA NITTA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  <cell r="H1893" t="str">
            <v>DISTRIBUIÇÃO</v>
          </cell>
          <cell r="I1893" t="str">
            <v>FOOD SERVICE</v>
          </cell>
          <cell r="J1893" t="str">
            <v>ANGELICA BATISTELA</v>
          </cell>
          <cell r="K1893" t="str">
            <v>ITAMBÉ</v>
          </cell>
          <cell r="L1893" t="str">
            <v>RODRIGO</v>
          </cell>
          <cell r="M1893" t="str">
            <v>ANGELICA BATISTELA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  <cell r="H1894" t="str">
            <v>DISTRIBUIÇÃO</v>
          </cell>
          <cell r="I1894" t="str">
            <v>FOOD SERVICE</v>
          </cell>
          <cell r="J1894" t="str">
            <v>CLAUDIO JORGE/LUIZ</v>
          </cell>
          <cell r="K1894" t="str">
            <v>ITAMBÉ</v>
          </cell>
          <cell r="L1894" t="str">
            <v>RODRIGO</v>
          </cell>
          <cell r="M1894" t="str">
            <v>MARIA LOURDES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  <cell r="H1895" t="str">
            <v>DISTRIBUIÇÃO</v>
          </cell>
          <cell r="I1895" t="str">
            <v>FOOD SERVICE</v>
          </cell>
          <cell r="J1895" t="str">
            <v>FLAC 2</v>
          </cell>
          <cell r="K1895" t="str">
            <v>LACTALIS</v>
          </cell>
          <cell r="L1895" t="str">
            <v>RODRIGO</v>
          </cell>
          <cell r="M1895" t="str">
            <v>RAQUEL BARBOSA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  <cell r="H1896" t="str">
            <v>DISTRIBUIÇÃO</v>
          </cell>
          <cell r="I1896" t="str">
            <v>FOOD SERVICE</v>
          </cell>
          <cell r="J1896" t="str">
            <v>FLAC 3</v>
          </cell>
          <cell r="K1896" t="str">
            <v>LACTALIS</v>
          </cell>
          <cell r="L1896" t="str">
            <v>RODRIGO</v>
          </cell>
          <cell r="M1896" t="str">
            <v>RAQUEL BARBOSA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  <cell r="H1897" t="str">
            <v>DISTRIBUIÇÃO</v>
          </cell>
          <cell r="I1897" t="str">
            <v>FOOD SERVICE</v>
          </cell>
          <cell r="J1897" t="str">
            <v>JULIANA CORDEIRO</v>
          </cell>
          <cell r="K1897" t="str">
            <v>ITAMBÉ</v>
          </cell>
          <cell r="L1897" t="str">
            <v>RODRIGO</v>
          </cell>
          <cell r="M1897" t="str">
            <v>JESSICA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  <cell r="H1898" t="str">
            <v>DISTRIBUIÇÃO</v>
          </cell>
          <cell r="I1898" t="str">
            <v>FOOD SERVICE</v>
          </cell>
          <cell r="J1898" t="str">
            <v>MARCO AURELIO</v>
          </cell>
          <cell r="K1898" t="str">
            <v>ITAMBÉ</v>
          </cell>
          <cell r="L1898" t="str">
            <v>RODRIGO</v>
          </cell>
          <cell r="M1898" t="str">
            <v>MARCO AURELIO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  <cell r="H1899" t="str">
            <v>INGREDIENTS</v>
          </cell>
          <cell r="I1899" t="str">
            <v>INGREDIENTS</v>
          </cell>
          <cell r="J1899" t="str">
            <v>MARCELO RODRIGUES</v>
          </cell>
          <cell r="K1899" t="str">
            <v>LACTALIS</v>
          </cell>
          <cell r="L1899" t="str">
            <v>MAURICIO</v>
          </cell>
          <cell r="M1899" t="str">
            <v>MARCELO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  <cell r="H1900" t="str">
            <v>INGREDIENTS</v>
          </cell>
          <cell r="I1900" t="str">
            <v>INGREDIENTS</v>
          </cell>
          <cell r="J1900" t="str">
            <v>MARCELO RODRIGUES</v>
          </cell>
          <cell r="K1900" t="str">
            <v>LACTALIS</v>
          </cell>
          <cell r="L1900" t="str">
            <v>MAURICIO</v>
          </cell>
          <cell r="M1900" t="str">
            <v>MARCELO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  <cell r="H1901" t="str">
            <v>DISTRIBUIÇÃO</v>
          </cell>
          <cell r="I1901" t="str">
            <v>FOOD SERVICE</v>
          </cell>
          <cell r="J1901" t="str">
            <v>MARCELO SILVA</v>
          </cell>
          <cell r="K1901" t="str">
            <v>ITAMBÉ</v>
          </cell>
          <cell r="L1901" t="str">
            <v>RODRIGO</v>
          </cell>
          <cell r="M1901" t="str">
            <v>CELIO MARTINS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  <cell r="H1902" t="str">
            <v>INGREDIENTS</v>
          </cell>
          <cell r="I1902" t="str">
            <v>INGREDIENTS</v>
          </cell>
          <cell r="J1902" t="str">
            <v>ITB FS SPLENDI REPRESENTAÇÕES</v>
          </cell>
          <cell r="K1902" t="str">
            <v>ITAMBÉ</v>
          </cell>
          <cell r="L1902" t="str">
            <v>MAURICIO</v>
          </cell>
          <cell r="M1902" t="str">
            <v>TATIANA NITTA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  <cell r="H1903" t="str">
            <v>INGREDIENTS</v>
          </cell>
          <cell r="I1903" t="str">
            <v>INGREDIENTS</v>
          </cell>
          <cell r="J1903" t="str">
            <v>SP ITB FS LUIZ PEREIRA</v>
          </cell>
          <cell r="K1903" t="str">
            <v>ITAMBÉ</v>
          </cell>
          <cell r="L1903" t="str">
            <v>MAURICIO</v>
          </cell>
          <cell r="M1903" t="str">
            <v>TATIANA NITTA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  <cell r="H1904" t="str">
            <v>INGREDIENTS</v>
          </cell>
          <cell r="I1904" t="str">
            <v>INGREDIENTS</v>
          </cell>
          <cell r="J1904" t="str">
            <v>MARCELO RODRIGUES</v>
          </cell>
          <cell r="K1904" t="str">
            <v>LACTALIS</v>
          </cell>
          <cell r="L1904" t="str">
            <v>MAURICIO</v>
          </cell>
          <cell r="M1904" t="str">
            <v>MARCELO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  <cell r="H1905" t="str">
            <v>DISTRIBUIÇÃO</v>
          </cell>
          <cell r="I1905" t="str">
            <v>FOOD SERVICE</v>
          </cell>
          <cell r="J1905" t="str">
            <v>FLAC 6</v>
          </cell>
          <cell r="K1905" t="str">
            <v>LACTALIS</v>
          </cell>
          <cell r="L1905" t="str">
            <v>RODRIGO</v>
          </cell>
          <cell r="M1905" t="str">
            <v>RAQUEL BARBOSA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  <cell r="H1906" t="str">
            <v>INGREDIENTS</v>
          </cell>
          <cell r="I1906" t="str">
            <v>INGREDIENTS</v>
          </cell>
          <cell r="J1906" t="str">
            <v>MARCELO RODRIGUES</v>
          </cell>
          <cell r="K1906" t="str">
            <v>LACTALIS</v>
          </cell>
          <cell r="L1906" t="str">
            <v>MAURICIO</v>
          </cell>
          <cell r="M1906" t="str">
            <v>MARCELO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  <cell r="H1907" t="str">
            <v>DISTRIBUIÇÃO</v>
          </cell>
          <cell r="I1907" t="str">
            <v>FOOD SERVICE</v>
          </cell>
          <cell r="J1907" t="str">
            <v>MARCO AURELIO/MARIA LAURA</v>
          </cell>
          <cell r="K1907" t="str">
            <v>ITAMBÉ</v>
          </cell>
          <cell r="L1907" t="str">
            <v>RODRIGO</v>
          </cell>
          <cell r="M1907" t="str">
            <v>MARCO AURELIO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  <cell r="H1908" t="str">
            <v>DISTRIBUIÇÃO</v>
          </cell>
          <cell r="I1908" t="str">
            <v>FOOD SERVICE</v>
          </cell>
          <cell r="J1908" t="str">
            <v>MARCO AURELIO</v>
          </cell>
          <cell r="K1908" t="str">
            <v>ITAMBÉ</v>
          </cell>
          <cell r="L1908" t="str">
            <v>RODRIGO</v>
          </cell>
          <cell r="M1908" t="str">
            <v>MARCO AURELIO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  <cell r="H1909" t="str">
            <v>INGREDIENTS</v>
          </cell>
          <cell r="I1909" t="str">
            <v>INGREDIENTS</v>
          </cell>
          <cell r="J1909" t="str">
            <v>HENRIQUE FERREIRA</v>
          </cell>
          <cell r="K1909" t="str">
            <v>ITAMBÉ</v>
          </cell>
          <cell r="L1909" t="str">
            <v>MAURICIO</v>
          </cell>
          <cell r="M1909" t="str">
            <v>JOEL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  <cell r="H1910" t="str">
            <v>DISTRIBUIÇÃO</v>
          </cell>
          <cell r="I1910" t="str">
            <v>FOOD SERVICE</v>
          </cell>
          <cell r="J1910" t="str">
            <v>ALEXANDRO RODRIGUES</v>
          </cell>
          <cell r="K1910" t="str">
            <v>LACTALIS</v>
          </cell>
          <cell r="L1910" t="str">
            <v>RODRIGO</v>
          </cell>
          <cell r="M1910" t="str">
            <v>ALEXANDRO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  <cell r="H1911" t="str">
            <v>INGREDIENTS</v>
          </cell>
          <cell r="I1911" t="str">
            <v>INGREDIENTS</v>
          </cell>
          <cell r="J1911" t="str">
            <v>DUAS RODAS</v>
          </cell>
          <cell r="K1911" t="str">
            <v>ITAMBÉ</v>
          </cell>
          <cell r="L1911" t="str">
            <v>MAURICIO</v>
          </cell>
          <cell r="M1911" t="str">
            <v>MARCELO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  <cell r="H1912" t="str">
            <v>INGREDIENTS</v>
          </cell>
          <cell r="I1912" t="str">
            <v>INGREDIENTS</v>
          </cell>
          <cell r="J1912" t="str">
            <v>DUAS RODAS</v>
          </cell>
          <cell r="K1912" t="str">
            <v>ITAMBÉ</v>
          </cell>
          <cell r="L1912" t="str">
            <v>MAURICIO</v>
          </cell>
          <cell r="M1912" t="str">
            <v>MARCELO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  <cell r="H1913" t="str">
            <v>INGREDIENTS</v>
          </cell>
          <cell r="I1913" t="str">
            <v>INGREDIENTS</v>
          </cell>
          <cell r="J1913" t="str">
            <v>MARCELO RODRIGUES</v>
          </cell>
          <cell r="K1913" t="str">
            <v>LACTALIS</v>
          </cell>
          <cell r="L1913" t="str">
            <v>MAURICIO</v>
          </cell>
          <cell r="M1913" t="str">
            <v>MARCELO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  <cell r="H1914" t="str">
            <v>DISTRIBUIÇÃO</v>
          </cell>
          <cell r="I1914" t="str">
            <v>FOOD SERVICE</v>
          </cell>
          <cell r="J1914" t="str">
            <v>FLAC 6</v>
          </cell>
          <cell r="K1914" t="str">
            <v>LACTALIS</v>
          </cell>
          <cell r="L1914" t="str">
            <v>RODRIGO</v>
          </cell>
          <cell r="M1914" t="str">
            <v>RAQUEL BARBOSA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  <cell r="H1915" t="str">
            <v>DISTRIBUIÇÃO</v>
          </cell>
          <cell r="I1915" t="str">
            <v>FOOD SERVICE</v>
          </cell>
          <cell r="J1915" t="str">
            <v>FLAC 6</v>
          </cell>
          <cell r="K1915" t="str">
            <v>LACTALIS</v>
          </cell>
          <cell r="L1915" t="str">
            <v>RODRIGO</v>
          </cell>
          <cell r="M1915" t="str">
            <v>RAQUEL BARBOSA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  <cell r="H1916" t="str">
            <v>DISTRIBUIÇÃO</v>
          </cell>
          <cell r="I1916" t="str">
            <v>FOOD SERVICE</v>
          </cell>
          <cell r="J1916" t="str">
            <v>MARCO AURELIO</v>
          </cell>
          <cell r="K1916" t="str">
            <v>ITAMBÉ</v>
          </cell>
          <cell r="L1916" t="str">
            <v>RODRIGO</v>
          </cell>
          <cell r="M1916" t="str">
            <v>MARCO AURELIO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  <cell r="H1917" t="str">
            <v>INGREDIENTS</v>
          </cell>
          <cell r="I1917" t="str">
            <v>INGREDIENTS</v>
          </cell>
          <cell r="J1917" t="str">
            <v>TATIANA NITTA</v>
          </cell>
          <cell r="K1917" t="str">
            <v>ITAMBÉ</v>
          </cell>
          <cell r="L1917" t="str">
            <v>MAURICIO</v>
          </cell>
          <cell r="M1917" t="str">
            <v>TATIANA NITTA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  <cell r="H1918" t="str">
            <v>DISTRIBUIÇÃO</v>
          </cell>
          <cell r="I1918" t="str">
            <v>FOOD SERVICE</v>
          </cell>
          <cell r="J1918" t="str">
            <v>MARCO AURELIO/MARIA LAURA</v>
          </cell>
          <cell r="K1918" t="str">
            <v>ITAMBÉ</v>
          </cell>
          <cell r="L1918" t="str">
            <v>RODRIGO</v>
          </cell>
          <cell r="M1918" t="str">
            <v>MARCO AURELIO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  <cell r="H1919" t="str">
            <v>INGREDIENTS</v>
          </cell>
          <cell r="I1919" t="str">
            <v>INGREDIENTS</v>
          </cell>
          <cell r="J1919" t="str">
            <v>TATIANA NITTA</v>
          </cell>
          <cell r="K1919" t="str">
            <v>ITAMBÉ</v>
          </cell>
          <cell r="L1919" t="str">
            <v>MAURICIO</v>
          </cell>
          <cell r="M1919" t="str">
            <v>TATIANA NITTA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  <cell r="H1920" t="str">
            <v>INGREDIENTS</v>
          </cell>
          <cell r="I1920" t="str">
            <v>INGREDIENTS</v>
          </cell>
          <cell r="J1920" t="str">
            <v>MARCELO RODRIGUES</v>
          </cell>
          <cell r="K1920" t="str">
            <v>ITAMBÉ</v>
          </cell>
          <cell r="L1920" t="str">
            <v>MAURICIO</v>
          </cell>
          <cell r="M1920" t="str">
            <v>MARCELO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  <cell r="H1921" t="str">
            <v>INGREDIENTS</v>
          </cell>
          <cell r="I1921" t="str">
            <v>INGREDIENTS</v>
          </cell>
          <cell r="J1921" t="str">
            <v>HENRIQUE FERREIRA</v>
          </cell>
          <cell r="K1921" t="str">
            <v>ITAMBÉ</v>
          </cell>
          <cell r="L1921" t="str">
            <v>MAURICIO</v>
          </cell>
          <cell r="M1921" t="str">
            <v>JOEL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  <cell r="H1922" t="str">
            <v>QSR</v>
          </cell>
          <cell r="I1922" t="str">
            <v>FOOD SERVICE</v>
          </cell>
          <cell r="J1922" t="str">
            <v>ANA MENIQUETE</v>
          </cell>
          <cell r="K1922" t="str">
            <v>ITAMBÉ</v>
          </cell>
          <cell r="L1922" t="str">
            <v>PEDRO</v>
          </cell>
          <cell r="M1922" t="str">
            <v>ANA MENIQUETE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  <cell r="H1923" t="str">
            <v>DISTRIBUIÇÃO</v>
          </cell>
          <cell r="I1923" t="str">
            <v>FOOD SERVICE</v>
          </cell>
          <cell r="J1923" t="str">
            <v>MARCO AURELIO</v>
          </cell>
          <cell r="K1923" t="str">
            <v>ITAMBÉ</v>
          </cell>
          <cell r="L1923" t="str">
            <v>RODRIGO</v>
          </cell>
          <cell r="M1923" t="str">
            <v>MARCO AURELIO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  <cell r="H1924" t="str">
            <v>DISTRIBUIÇÃO</v>
          </cell>
          <cell r="I1924" t="str">
            <v>FOOD SERVICE</v>
          </cell>
          <cell r="J1924" t="str">
            <v>CLAUDIO JORGE/LUIZ</v>
          </cell>
          <cell r="K1924" t="str">
            <v>ITAMBÉ</v>
          </cell>
          <cell r="L1924" t="str">
            <v>RODRIGO</v>
          </cell>
          <cell r="M1924" t="str">
            <v>MARIA LOURDES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  <cell r="H1925" t="str">
            <v>INGREDIENTS</v>
          </cell>
          <cell r="I1925" t="str">
            <v>INGREDIENTS</v>
          </cell>
          <cell r="J1925" t="str">
            <v>MARCELO RODRIGUES</v>
          </cell>
          <cell r="K1925" t="str">
            <v>ITAMBÉ</v>
          </cell>
          <cell r="L1925" t="str">
            <v>MAURICIO</v>
          </cell>
          <cell r="M1925" t="str">
            <v>MARCELO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  <cell r="H1926" t="str">
            <v>DISTRIBUIÇÃO</v>
          </cell>
          <cell r="I1926" t="str">
            <v>FOOD SERVICE</v>
          </cell>
          <cell r="J1926" t="str">
            <v>FLAC 7</v>
          </cell>
          <cell r="K1926" t="str">
            <v>LACTALIS</v>
          </cell>
          <cell r="L1926" t="str">
            <v>RODRIGO</v>
          </cell>
          <cell r="M1926" t="str">
            <v>RAQUEL BARBOSA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  <cell r="H1927" t="str">
            <v>DISTRIBUIÇÃO</v>
          </cell>
          <cell r="I1927" t="str">
            <v>FOOD SERVICE</v>
          </cell>
          <cell r="J1927" t="str">
            <v>FLAC 4</v>
          </cell>
          <cell r="K1927" t="str">
            <v>LACTALIS</v>
          </cell>
          <cell r="L1927" t="str">
            <v>RODRIGO</v>
          </cell>
          <cell r="M1927" t="str">
            <v>RAQUEL BARBOSA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  <cell r="H1928" t="str">
            <v>DISTRIBUIÇÃO</v>
          </cell>
          <cell r="I1928" t="str">
            <v>FOOD SERVICE</v>
          </cell>
          <cell r="J1928" t="str">
            <v>FLAC 7</v>
          </cell>
          <cell r="K1928" t="str">
            <v>LACTALIS</v>
          </cell>
          <cell r="L1928" t="str">
            <v>RODRIGO</v>
          </cell>
          <cell r="M1928" t="str">
            <v>RAQUEL BARBOSA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  <cell r="H1929" t="str">
            <v>INGREDIENTS</v>
          </cell>
          <cell r="I1929" t="str">
            <v>INGREDIENTS</v>
          </cell>
          <cell r="J1929" t="str">
            <v>SP ITB FS LUIZ PEREIRA</v>
          </cell>
          <cell r="K1929" t="str">
            <v>ITAMBÉ</v>
          </cell>
          <cell r="L1929" t="str">
            <v>MAURICIO</v>
          </cell>
          <cell r="M1929" t="str">
            <v>TATIANA NITTA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  <cell r="H1930" t="str">
            <v>DISTRIBUIÇÃO</v>
          </cell>
          <cell r="I1930" t="str">
            <v>FOOD SERVICE</v>
          </cell>
          <cell r="J1930" t="str">
            <v>CLAUDIO JORGE/LUIZ</v>
          </cell>
          <cell r="K1930" t="str">
            <v>ITAMBÉ</v>
          </cell>
          <cell r="L1930" t="str">
            <v>RODRIGO</v>
          </cell>
          <cell r="M1930" t="str">
            <v>MARIA LOURDES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  <cell r="H1931" t="str">
            <v>DISTRIBUIÇÃO</v>
          </cell>
          <cell r="I1931" t="str">
            <v>FOOD SERVICE</v>
          </cell>
          <cell r="J1931" t="str">
            <v>CLAUDIO JORGE/LUIZ</v>
          </cell>
          <cell r="K1931" t="str">
            <v>ITAMBÉ</v>
          </cell>
          <cell r="L1931" t="str">
            <v>RODRIGO</v>
          </cell>
          <cell r="M1931" t="str">
            <v>MARIA LOURDES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  <cell r="H1932" t="str">
            <v>DISTRIBUIÇÃO</v>
          </cell>
          <cell r="I1932" t="str">
            <v>FOOD SERVICE</v>
          </cell>
          <cell r="J1932" t="str">
            <v>FLAC 6</v>
          </cell>
          <cell r="K1932" t="str">
            <v>LACTALIS</v>
          </cell>
          <cell r="L1932" t="str">
            <v>RODRIGO</v>
          </cell>
          <cell r="M1932" t="str">
            <v>RAQUEL BARBOSA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  <cell r="H1933" t="str">
            <v>DISTRIBUIÇÃO</v>
          </cell>
          <cell r="I1933" t="str">
            <v>FOOD SERVICE</v>
          </cell>
          <cell r="J1933" t="str">
            <v>ANGELICA BATISTELA</v>
          </cell>
          <cell r="K1933" t="str">
            <v>ITAMBÉ</v>
          </cell>
          <cell r="L1933" t="str">
            <v>RODRIGO</v>
          </cell>
          <cell r="M1933" t="str">
            <v>ANGELICA BATISTELA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  <cell r="H1934" t="str">
            <v>DISTRIBUIÇÃO</v>
          </cell>
          <cell r="I1934" t="str">
            <v>FOOD SERVICE</v>
          </cell>
          <cell r="J1934" t="str">
            <v>FLAC 3</v>
          </cell>
          <cell r="K1934" t="str">
            <v>LACTALIS</v>
          </cell>
          <cell r="L1934" t="str">
            <v>RODRIGO</v>
          </cell>
          <cell r="M1934" t="str">
            <v>RAQUEL BARBOSA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  <cell r="H1935" t="str">
            <v>DISTRIBUIÇÃO</v>
          </cell>
          <cell r="I1935" t="str">
            <v>FOOD SERVICE</v>
          </cell>
          <cell r="J1935" t="str">
            <v>CLAUDIO JORGE/LUIZ</v>
          </cell>
          <cell r="K1935" t="str">
            <v>ITAMBÉ</v>
          </cell>
          <cell r="L1935" t="str">
            <v>RODRIGO</v>
          </cell>
          <cell r="M1935" t="str">
            <v>MARIA LOURDES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  <cell r="H1936" t="str">
            <v>DISTRIBUIÇÃO</v>
          </cell>
          <cell r="I1936" t="str">
            <v>FOOD SERVICE</v>
          </cell>
          <cell r="J1936" t="str">
            <v>ANGELICA BATISTELA</v>
          </cell>
          <cell r="K1936" t="str">
            <v>ITAMBÉ</v>
          </cell>
          <cell r="L1936" t="str">
            <v>RODRIGO</v>
          </cell>
          <cell r="M1936" t="str">
            <v>ANGELICA BATISTELA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  <cell r="H1937" t="str">
            <v>DISTRIBUIÇÃO</v>
          </cell>
          <cell r="I1937" t="str">
            <v>FOOD SERVICE</v>
          </cell>
          <cell r="J1937" t="str">
            <v>ANGELICA BATISTELA</v>
          </cell>
          <cell r="K1937" t="str">
            <v>LACTALIS</v>
          </cell>
          <cell r="L1937" t="str">
            <v>RODRIGO</v>
          </cell>
          <cell r="M1937" t="str">
            <v>ANGELICA BATISTELA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  <cell r="H1938" t="str">
            <v>DISTRIBUIÇÃO</v>
          </cell>
          <cell r="I1938" t="str">
            <v>FOOD SERVICE</v>
          </cell>
          <cell r="J1938" t="str">
            <v>WH FOOD SERVICE CE</v>
          </cell>
          <cell r="K1938" t="str">
            <v>ITAMBÉ</v>
          </cell>
          <cell r="L1938" t="str">
            <v>RODRIGO</v>
          </cell>
          <cell r="M1938" t="str">
            <v>MARIA LOURDES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  <cell r="H1939" t="str">
            <v>DISTRIBUIÇÃO</v>
          </cell>
          <cell r="I1939" t="str">
            <v>FOOD SERVICE</v>
          </cell>
          <cell r="J1939" t="str">
            <v>SP ITB FS FLAC REP.E COMERCIO</v>
          </cell>
          <cell r="K1939" t="str">
            <v>ITAMBÉ</v>
          </cell>
          <cell r="L1939" t="str">
            <v>RODRIGO</v>
          </cell>
          <cell r="M1939" t="str">
            <v>RAQUEL BARBOSA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  <cell r="H1940" t="str">
            <v>DISTRIBUIÇÃO</v>
          </cell>
          <cell r="I1940" t="str">
            <v>FOOD SERVICE</v>
          </cell>
          <cell r="J1940" t="str">
            <v>CLAUDIO JORGE/LUIZ</v>
          </cell>
          <cell r="K1940" t="str">
            <v>ITAMBÉ</v>
          </cell>
          <cell r="L1940" t="str">
            <v>RODRIGO</v>
          </cell>
          <cell r="M1940" t="str">
            <v>MARIA LOURDES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  <cell r="H1941" t="str">
            <v>DISTRIBUIÇÃO</v>
          </cell>
          <cell r="I1941" t="str">
            <v>FOOD SERVICE</v>
          </cell>
          <cell r="J1941" t="str">
            <v>CLAUDIO JORGE/LUIZ</v>
          </cell>
          <cell r="K1941" t="str">
            <v>ITAMBÉ</v>
          </cell>
          <cell r="L1941" t="str">
            <v>RODRIGO</v>
          </cell>
          <cell r="M1941" t="str">
            <v>MARIA LOURDES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  <cell r="H1942" t="str">
            <v>DISTRIBUIÇÃO</v>
          </cell>
          <cell r="I1942" t="str">
            <v>FOOD SERVICE</v>
          </cell>
          <cell r="J1942" t="str">
            <v>WH FOOD SERVICE CE</v>
          </cell>
          <cell r="K1942" t="str">
            <v>ITAMBÉ</v>
          </cell>
          <cell r="L1942" t="str">
            <v>RODRIGO</v>
          </cell>
          <cell r="M1942" t="str">
            <v>MARIA LOURDES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  <cell r="H1943" t="str">
            <v>INGREDIENTS</v>
          </cell>
          <cell r="I1943" t="str">
            <v>INGREDIENTS</v>
          </cell>
          <cell r="J1943" t="str">
            <v>DUAS RODAS</v>
          </cell>
          <cell r="K1943" t="str">
            <v>ITAMBÉ</v>
          </cell>
          <cell r="L1943" t="str">
            <v>MAURICIO</v>
          </cell>
          <cell r="M1943" t="str">
            <v>MARCELO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  <cell r="H1944" t="str">
            <v>DISTRIBUIÇÃO</v>
          </cell>
          <cell r="I1944" t="str">
            <v>FOOD SERVICE</v>
          </cell>
          <cell r="J1944" t="str">
            <v>ANGELICA BATISTELA</v>
          </cell>
          <cell r="K1944" t="str">
            <v>LACTALIS</v>
          </cell>
          <cell r="L1944" t="str">
            <v>RODRIGO</v>
          </cell>
          <cell r="M1944" t="str">
            <v>ANGELICA BATISTELA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  <cell r="H1945" t="str">
            <v>DISTRIBUIÇÃO</v>
          </cell>
          <cell r="I1945" t="str">
            <v>FOOD SERVICE</v>
          </cell>
          <cell r="J1945" t="str">
            <v>WH FOOD SERVICE CE</v>
          </cell>
          <cell r="K1945" t="str">
            <v>ITAMBÉ</v>
          </cell>
          <cell r="L1945" t="str">
            <v>RODRIGO</v>
          </cell>
          <cell r="M1945" t="str">
            <v>MARIA LOURDES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  <cell r="H1946" t="str">
            <v>DISTRIBUIÇÃO</v>
          </cell>
          <cell r="I1946" t="str">
            <v>FOOD SERVICE</v>
          </cell>
          <cell r="J1946" t="str">
            <v>GUILHERME NASCIMENTO</v>
          </cell>
          <cell r="K1946" t="str">
            <v>LACTALIS</v>
          </cell>
          <cell r="L1946" t="str">
            <v>RODRIGO</v>
          </cell>
          <cell r="M1946" t="str">
            <v>ALEXANDRO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  <cell r="H1947" t="str">
            <v>DISTRIBUIÇÃO</v>
          </cell>
          <cell r="I1947" t="str">
            <v>FOOD SERVICE</v>
          </cell>
          <cell r="J1947" t="str">
            <v>FLAC 6</v>
          </cell>
          <cell r="K1947" t="str">
            <v>LACTALIS</v>
          </cell>
          <cell r="L1947" t="str">
            <v>RODRIGO</v>
          </cell>
          <cell r="M1947" t="str">
            <v>RAQUEL BARBOSA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  <cell r="H1948" t="str">
            <v>DISTRIBUIÇÃO</v>
          </cell>
          <cell r="I1948" t="str">
            <v>FOOD SERVICE</v>
          </cell>
          <cell r="J1948" t="str">
            <v>FLAC 2</v>
          </cell>
          <cell r="K1948" t="str">
            <v>LACTALIS</v>
          </cell>
          <cell r="L1948" t="str">
            <v>RODRIGO</v>
          </cell>
          <cell r="M1948" t="str">
            <v>RAQUEL BARBOSA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  <cell r="H1949" t="str">
            <v>INGREDIENTS</v>
          </cell>
          <cell r="I1949" t="str">
            <v>INGREDIENTS</v>
          </cell>
          <cell r="J1949" t="str">
            <v>DUAS RODAS</v>
          </cell>
          <cell r="K1949" t="str">
            <v>ITAMBÉ</v>
          </cell>
          <cell r="L1949" t="str">
            <v>MAURICIO</v>
          </cell>
          <cell r="M1949" t="str">
            <v>MARCELO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  <cell r="H1950" t="str">
            <v>DISTRIBUIÇÃO</v>
          </cell>
          <cell r="I1950" t="str">
            <v>FOOD SERVICE</v>
          </cell>
          <cell r="J1950" t="str">
            <v>VAGO SP</v>
          </cell>
          <cell r="K1950" t="str">
            <v>LACTALIS</v>
          </cell>
          <cell r="L1950" t="str">
            <v>RODRIGO</v>
          </cell>
          <cell r="M1950" t="str">
            <v>RAQUEL BARBOSA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  <cell r="H1951" t="str">
            <v>DISTRIBUIÇÃO</v>
          </cell>
          <cell r="I1951" t="str">
            <v>FOOD SERVICE</v>
          </cell>
          <cell r="J1951" t="str">
            <v>ANGELICA BATISTELA</v>
          </cell>
          <cell r="K1951" t="str">
            <v>LACTALIS</v>
          </cell>
          <cell r="L1951" t="str">
            <v>RODRIGO</v>
          </cell>
          <cell r="M1951" t="str">
            <v>ANGELICA BATISTELA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  <cell r="H1952" t="str">
            <v>INGREDIENTS</v>
          </cell>
          <cell r="I1952" t="str">
            <v>INGREDIENTS</v>
          </cell>
          <cell r="J1952" t="str">
            <v>JOEL ELEOTÉRIO</v>
          </cell>
          <cell r="K1952" t="str">
            <v>LACTALIS</v>
          </cell>
          <cell r="L1952" t="str">
            <v>MAURICIO</v>
          </cell>
          <cell r="M1952" t="str">
            <v>JOEL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  <cell r="H1953" t="str">
            <v>DISTRIBUIÇÃO</v>
          </cell>
          <cell r="I1953" t="str">
            <v>FOOD SERVICE</v>
          </cell>
          <cell r="J1953" t="str">
            <v>FLAC 3</v>
          </cell>
          <cell r="K1953" t="str">
            <v>LACTALIS</v>
          </cell>
          <cell r="L1953" t="str">
            <v>RODRIGO</v>
          </cell>
          <cell r="M1953" t="str">
            <v>RAQUEL BARBOSA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  <cell r="H1954" t="str">
            <v>DISTRIBUIÇÃO</v>
          </cell>
          <cell r="I1954" t="str">
            <v>FOOD SERVICE</v>
          </cell>
          <cell r="J1954" t="str">
            <v>WH FOOD SERVICE CE</v>
          </cell>
          <cell r="K1954" t="str">
            <v>ITAMBÉ</v>
          </cell>
          <cell r="L1954" t="str">
            <v>RODRIGO</v>
          </cell>
          <cell r="M1954" t="str">
            <v>MARIA LOURDES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  <cell r="H1955" t="str">
            <v>DISTRIBUIÇÃO</v>
          </cell>
          <cell r="I1955" t="str">
            <v>FOOD SERVICE</v>
          </cell>
          <cell r="J1955" t="str">
            <v>FLAC 2</v>
          </cell>
          <cell r="K1955" t="str">
            <v>LACTALIS</v>
          </cell>
          <cell r="L1955" t="str">
            <v>RODRIGO</v>
          </cell>
          <cell r="M1955" t="str">
            <v>RAQUEL BARBOSA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  <cell r="H1956" t="str">
            <v>DISTRIBUIÇÃO</v>
          </cell>
          <cell r="I1956" t="str">
            <v>FOOD SERVICE</v>
          </cell>
          <cell r="J1956" t="str">
            <v>FLAC 2</v>
          </cell>
          <cell r="K1956" t="str">
            <v>LACTALIS</v>
          </cell>
          <cell r="L1956" t="str">
            <v>RODRIGO</v>
          </cell>
          <cell r="M1956" t="str">
            <v>RAQUEL BARBOSA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  <cell r="H1957" t="str">
            <v>INGREDIENTS</v>
          </cell>
          <cell r="I1957" t="str">
            <v>INGREDIENTS</v>
          </cell>
          <cell r="J1957" t="str">
            <v>TATIANA NITTA</v>
          </cell>
          <cell r="K1957" t="str">
            <v>ITAMBÉ</v>
          </cell>
          <cell r="L1957" t="str">
            <v>MAURICIO</v>
          </cell>
          <cell r="M1957" t="str">
            <v>TATIANA NITTA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  <cell r="H1958" t="str">
            <v>INGREDIENTS</v>
          </cell>
          <cell r="I1958" t="str">
            <v>INGREDIENTS</v>
          </cell>
          <cell r="J1958" t="str">
            <v>JOEL ELEOTÉRIO</v>
          </cell>
          <cell r="K1958" t="str">
            <v>LACTALIS</v>
          </cell>
          <cell r="L1958" t="str">
            <v>MAURICIO</v>
          </cell>
          <cell r="M1958" t="str">
            <v>JOEL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  <cell r="H1959" t="str">
            <v>DISTRIBUIÇÃO</v>
          </cell>
          <cell r="I1959" t="str">
            <v>FOOD SERVICE</v>
          </cell>
          <cell r="J1959" t="str">
            <v>ANGELICA BATISTELA</v>
          </cell>
          <cell r="K1959" t="str">
            <v>LACTALIS</v>
          </cell>
          <cell r="L1959" t="str">
            <v>RODRIGO</v>
          </cell>
          <cell r="M1959" t="str">
            <v>ANGELICA BATISTELA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  <cell r="H1960" t="str">
            <v>INGREDIENTS</v>
          </cell>
          <cell r="I1960" t="str">
            <v>INGREDIENTS</v>
          </cell>
          <cell r="J1960" t="str">
            <v>AM - DUAS RODAS</v>
          </cell>
          <cell r="K1960" t="str">
            <v>ITAMBÉ</v>
          </cell>
          <cell r="L1960" t="str">
            <v>MAURICIO</v>
          </cell>
          <cell r="M1960" t="str">
            <v>JOEL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  <cell r="H1961" t="str">
            <v>DISTRIBUIÇÃO</v>
          </cell>
          <cell r="I1961" t="str">
            <v>FOOD SERVICE</v>
          </cell>
          <cell r="J1961" t="str">
            <v>GUILHERME NASCIMENTO</v>
          </cell>
          <cell r="K1961" t="str">
            <v>LACTALIS</v>
          </cell>
          <cell r="L1961" t="str">
            <v>RODRIGO</v>
          </cell>
          <cell r="M1961" t="str">
            <v>ALEXANDRO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  <cell r="H1962" t="str">
            <v>DISTRIBUIÇÃO</v>
          </cell>
          <cell r="I1962" t="str">
            <v>FOOD SERVICE</v>
          </cell>
          <cell r="J1962" t="str">
            <v>FLAC 3</v>
          </cell>
          <cell r="K1962" t="str">
            <v>LACTALIS</v>
          </cell>
          <cell r="L1962" t="str">
            <v>RODRIGO</v>
          </cell>
          <cell r="M1962" t="str">
            <v>RAQUEL BARBOSA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  <cell r="H1963" t="str">
            <v>DISTRIBUIÇÃO</v>
          </cell>
          <cell r="I1963" t="str">
            <v>FOOD SERVICE</v>
          </cell>
          <cell r="J1963" t="str">
            <v>FLAC 5</v>
          </cell>
          <cell r="K1963" t="str">
            <v>LACTALIS</v>
          </cell>
          <cell r="L1963" t="str">
            <v>RODRIGO</v>
          </cell>
          <cell r="M1963" t="str">
            <v>RAQUEL BARBOSA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  <cell r="H1964" t="str">
            <v>DISTRIBUIÇÃO</v>
          </cell>
          <cell r="I1964" t="str">
            <v>FOOD SERVICE</v>
          </cell>
          <cell r="J1964" t="str">
            <v xml:space="preserve">FLAC 10 </v>
          </cell>
          <cell r="K1964" t="str">
            <v>LACTALIS</v>
          </cell>
          <cell r="L1964" t="str">
            <v>RODRIGO</v>
          </cell>
          <cell r="M1964" t="str">
            <v>RAQUEL BARBOSA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  <cell r="H1965" t="str">
            <v>INGREDIENTS</v>
          </cell>
          <cell r="I1965" t="str">
            <v>INGREDIENTS</v>
          </cell>
          <cell r="J1965" t="str">
            <v>TATIANA NITTA</v>
          </cell>
          <cell r="K1965" t="str">
            <v>ITAMBÉ</v>
          </cell>
          <cell r="L1965" t="str">
            <v>MAURICIO</v>
          </cell>
          <cell r="M1965" t="str">
            <v>TATIANA NITTA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  <cell r="H1966" t="str">
            <v>DISTRIBUIÇÃO</v>
          </cell>
          <cell r="I1966" t="str">
            <v>FOOD SERVICE</v>
          </cell>
          <cell r="J1966" t="str">
            <v>CLAUDIO JORGE/LUIZ</v>
          </cell>
          <cell r="K1966" t="str">
            <v>ITAMBÉ</v>
          </cell>
          <cell r="L1966" t="str">
            <v>RODRIGO</v>
          </cell>
          <cell r="M1966" t="str">
            <v>MARIA LOURDES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  <cell r="H1967" t="str">
            <v>INGREDIENTS</v>
          </cell>
          <cell r="I1967" t="str">
            <v>INGREDIENTS</v>
          </cell>
          <cell r="J1967" t="str">
            <v>RJ ITB FS L T MARTINS</v>
          </cell>
          <cell r="K1967" t="str">
            <v>ITAMBÉ</v>
          </cell>
          <cell r="L1967" t="str">
            <v>MAURICIO</v>
          </cell>
          <cell r="M1967" t="str">
            <v>TATIANA NITTA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  <cell r="H1968" t="str">
            <v>INGREDIENTS</v>
          </cell>
          <cell r="I1968" t="str">
            <v>INGREDIENTS</v>
          </cell>
          <cell r="J1968" t="str">
            <v>JOEL ELEOTÉRIO</v>
          </cell>
          <cell r="K1968" t="str">
            <v>LACTALIS</v>
          </cell>
          <cell r="L1968" t="str">
            <v>MAURICIO</v>
          </cell>
          <cell r="M1968" t="str">
            <v>JOEL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  <cell r="H1969" t="str">
            <v>INGREDIENTS</v>
          </cell>
          <cell r="I1969" t="str">
            <v>INGREDIENTS</v>
          </cell>
          <cell r="J1969" t="str">
            <v>HENRIQUE FERREIRA</v>
          </cell>
          <cell r="K1969" t="str">
            <v>ITAMBÉ</v>
          </cell>
          <cell r="L1969" t="str">
            <v>MAURICIO</v>
          </cell>
          <cell r="M1969" t="str">
            <v>JOEL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  <cell r="H1970" t="str">
            <v>DISTRIBUIÇÃO</v>
          </cell>
          <cell r="I1970" t="str">
            <v>FOOD SERVICE</v>
          </cell>
          <cell r="J1970" t="str">
            <v>FLAC 7</v>
          </cell>
          <cell r="K1970" t="str">
            <v>LACTALIS</v>
          </cell>
          <cell r="L1970" t="str">
            <v>RODRIGO</v>
          </cell>
          <cell r="M1970" t="str">
            <v>RAQUEL BARBOSA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  <cell r="H1971" t="str">
            <v>INGREDIENTS</v>
          </cell>
          <cell r="I1971" t="str">
            <v>INGREDIENTS</v>
          </cell>
          <cell r="J1971" t="str">
            <v>MARCELO RODRIGUES</v>
          </cell>
          <cell r="K1971" t="str">
            <v>LACTALIS</v>
          </cell>
          <cell r="L1971" t="str">
            <v>MAURICIO</v>
          </cell>
          <cell r="M1971" t="str">
            <v>MARCELO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  <cell r="H1972" t="str">
            <v>DISTRIBUIÇÃO</v>
          </cell>
          <cell r="I1972" t="str">
            <v>FOOD SERVICE</v>
          </cell>
          <cell r="J1972" t="str">
            <v>CLAUDIO JORGE/LUIZ</v>
          </cell>
          <cell r="K1972" t="str">
            <v>ITAMBÉ</v>
          </cell>
          <cell r="L1972" t="str">
            <v>RODRIGO</v>
          </cell>
          <cell r="M1972" t="str">
            <v>MARIA LOURDES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  <cell r="H1973" t="str">
            <v>INGREDIENTS</v>
          </cell>
          <cell r="I1973" t="str">
            <v>INGREDIENTS</v>
          </cell>
          <cell r="J1973" t="str">
            <v>MARCELO RODRIGUES</v>
          </cell>
          <cell r="K1973" t="str">
            <v>LACTALIS</v>
          </cell>
          <cell r="L1973" t="str">
            <v>MAURICIO</v>
          </cell>
          <cell r="M1973" t="str">
            <v>MARCELO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  <cell r="H1974" t="str">
            <v>DISTRIBUIÇÃO</v>
          </cell>
          <cell r="I1974" t="str">
            <v>FOOD SERVICE</v>
          </cell>
          <cell r="J1974" t="str">
            <v>ANGELICA BATISTELA</v>
          </cell>
          <cell r="K1974" t="str">
            <v>ITAMBÉ</v>
          </cell>
          <cell r="L1974" t="str">
            <v>RODRIGO</v>
          </cell>
          <cell r="M1974" t="str">
            <v>ANGELICA BATISTELA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  <cell r="H1975" t="str">
            <v>DISTRIBUIÇÃO</v>
          </cell>
          <cell r="I1975" t="str">
            <v>FOOD SERVICE</v>
          </cell>
          <cell r="J1975" t="str">
            <v>FLAC 6</v>
          </cell>
          <cell r="K1975" t="str">
            <v>LACTALIS</v>
          </cell>
          <cell r="L1975" t="str">
            <v>RODRIGO</v>
          </cell>
          <cell r="M1975" t="str">
            <v>RAQUEL BARBOSA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  <cell r="H1976" t="str">
            <v>DISTRIBUIÇÃO</v>
          </cell>
          <cell r="I1976" t="str">
            <v>FOOD SERVICE</v>
          </cell>
          <cell r="J1976" t="str">
            <v>FLAC 6</v>
          </cell>
          <cell r="K1976" t="str">
            <v>LACTALIS</v>
          </cell>
          <cell r="L1976" t="str">
            <v>RODRIGO</v>
          </cell>
          <cell r="M1976" t="str">
            <v>RAQUEL BARBOSA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  <cell r="H1977" t="str">
            <v>INGREDIENTS</v>
          </cell>
          <cell r="I1977" t="str">
            <v>INGREDIENTS</v>
          </cell>
          <cell r="J1977" t="str">
            <v>JOEL ELEOTÉRIO</v>
          </cell>
          <cell r="K1977" t="str">
            <v>ITAMBÉ</v>
          </cell>
          <cell r="L1977" t="str">
            <v>MAURICIO</v>
          </cell>
          <cell r="M1977" t="str">
            <v>JOEL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  <cell r="H1978" t="str">
            <v>DISTRIBUIÇÃO</v>
          </cell>
          <cell r="I1978" t="str">
            <v>FOOD SERVICE</v>
          </cell>
          <cell r="J1978" t="str">
            <v>FLAC 6</v>
          </cell>
          <cell r="K1978" t="str">
            <v>LACTALIS</v>
          </cell>
          <cell r="L1978" t="str">
            <v>RODRIGO</v>
          </cell>
          <cell r="M1978" t="str">
            <v>RAQUEL BARBOSA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  <cell r="H1979" t="str">
            <v>INGREDIENTS</v>
          </cell>
          <cell r="I1979" t="str">
            <v>INGREDIENTS</v>
          </cell>
          <cell r="J1979" t="str">
            <v>DLUM</v>
          </cell>
          <cell r="K1979" t="str">
            <v>LACTALIS</v>
          </cell>
          <cell r="L1979" t="str">
            <v>MAURICIO</v>
          </cell>
          <cell r="M1979" t="str">
            <v>JOEL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  <cell r="H1980" t="str">
            <v>DISTRIBUIÇÃO</v>
          </cell>
          <cell r="I1980" t="str">
            <v>FOOD SERVICE</v>
          </cell>
          <cell r="J1980" t="str">
            <v>FLAC 2</v>
          </cell>
          <cell r="K1980" t="str">
            <v>LACTALIS</v>
          </cell>
          <cell r="L1980" t="str">
            <v>RODRIGO</v>
          </cell>
          <cell r="M1980" t="str">
            <v>RAQUEL BARBOSA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  <cell r="H1981" t="str">
            <v>DISTRIBUIÇÃO</v>
          </cell>
          <cell r="I1981" t="str">
            <v>FOOD SERVICE</v>
          </cell>
          <cell r="J1981" t="str">
            <v>MARCELO DUARTE</v>
          </cell>
          <cell r="K1981" t="str">
            <v>ITAMBÉ</v>
          </cell>
          <cell r="L1981" t="str">
            <v>RODRIGO</v>
          </cell>
          <cell r="M1981" t="str">
            <v>JESSICA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  <cell r="H1982" t="str">
            <v>DISTRIBUIÇÃO</v>
          </cell>
          <cell r="I1982" t="str">
            <v>FOOD SERVICE</v>
          </cell>
          <cell r="J1982" t="str">
            <v>WH FOOD SERVICE CE</v>
          </cell>
          <cell r="K1982" t="str">
            <v>ITAMBÉ</v>
          </cell>
          <cell r="L1982" t="str">
            <v>RODRIGO</v>
          </cell>
          <cell r="M1982" t="str">
            <v>MARIA LOURDES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  <cell r="H1983" t="str">
            <v>DISTRIBUIÇÃO</v>
          </cell>
          <cell r="I1983" t="str">
            <v>FOOD SERVICE</v>
          </cell>
          <cell r="J1983" t="str">
            <v>ANGELICA BATISTELA</v>
          </cell>
          <cell r="K1983" t="str">
            <v>LACTALIS</v>
          </cell>
          <cell r="L1983" t="str">
            <v>RODRIGO</v>
          </cell>
          <cell r="M1983" t="str">
            <v>ANGELICA BATISTELA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  <cell r="H1984" t="str">
            <v>DISTRIBUIÇÃO</v>
          </cell>
          <cell r="I1984" t="str">
            <v>FOOD SERVICE</v>
          </cell>
          <cell r="J1984" t="str">
            <v>ALEXANDRE BONANI</v>
          </cell>
          <cell r="K1984" t="str">
            <v>LACTALIS</v>
          </cell>
          <cell r="L1984" t="str">
            <v>RODRIGO</v>
          </cell>
          <cell r="M1984" t="str">
            <v>ALEXANDRE BONANI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  <cell r="H1985" t="str">
            <v>DISTRIBUIÇÃO</v>
          </cell>
          <cell r="I1985" t="str">
            <v>FOOD SERVICE</v>
          </cell>
          <cell r="J1985" t="str">
            <v>FLAC 4</v>
          </cell>
          <cell r="K1985" t="str">
            <v>LACTALIS</v>
          </cell>
          <cell r="L1985" t="str">
            <v>RODRIGO</v>
          </cell>
          <cell r="M1985" t="str">
            <v>RAQUEL BARBOSA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  <cell r="H1986" t="str">
            <v>INGREDIENTS</v>
          </cell>
          <cell r="I1986" t="str">
            <v>INGREDIENTS</v>
          </cell>
          <cell r="J1986" t="str">
            <v>MARCELO RODRIGUES</v>
          </cell>
          <cell r="K1986" t="str">
            <v>LACTALIS</v>
          </cell>
          <cell r="L1986" t="str">
            <v>MAURICIO</v>
          </cell>
          <cell r="M1986" t="str">
            <v>MARCELO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  <cell r="H1987" t="str">
            <v>INGREDIENTS</v>
          </cell>
          <cell r="I1987" t="str">
            <v>INGREDIENTS</v>
          </cell>
          <cell r="J1987" t="str">
            <v>MARCELO RODRIGUES</v>
          </cell>
          <cell r="K1987" t="str">
            <v>LACTALIS</v>
          </cell>
          <cell r="L1987" t="str">
            <v>MAURICIO</v>
          </cell>
          <cell r="M1987" t="str">
            <v>MARCELO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  <cell r="H1988" t="str">
            <v>INGREDIENTS</v>
          </cell>
          <cell r="I1988" t="str">
            <v>INGREDIENTS</v>
          </cell>
          <cell r="J1988" t="str">
            <v>JOEL ELEOTÉRIO</v>
          </cell>
          <cell r="K1988" t="str">
            <v>LACTALIS</v>
          </cell>
          <cell r="L1988" t="str">
            <v>MAURICIO</v>
          </cell>
          <cell r="M1988" t="str">
            <v>JOEL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  <cell r="H1989" t="str">
            <v>DISTRIBUIÇÃO</v>
          </cell>
          <cell r="I1989" t="str">
            <v>FOOD SERVICE</v>
          </cell>
          <cell r="J1989" t="str">
            <v>SP ITB FS FLAC REP.E COMERCIO</v>
          </cell>
          <cell r="K1989" t="str">
            <v>ITAMBÉ</v>
          </cell>
          <cell r="L1989" t="str">
            <v>RODRIGO</v>
          </cell>
          <cell r="M1989" t="str">
            <v>RAQUEL BARBOSA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  <cell r="H1990" t="str">
            <v>DISTRIBUIÇÃO</v>
          </cell>
          <cell r="I1990" t="str">
            <v>FOOD SERVICE</v>
          </cell>
          <cell r="J1990" t="str">
            <v>FLAC 4</v>
          </cell>
          <cell r="K1990" t="str">
            <v>LACTALIS</v>
          </cell>
          <cell r="L1990" t="str">
            <v>RODRIGO</v>
          </cell>
          <cell r="M1990" t="str">
            <v>RAQUEL BARBOSA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  <cell r="H1991" t="str">
            <v>INGREDIENTS</v>
          </cell>
          <cell r="I1991" t="str">
            <v>INGREDIENTS</v>
          </cell>
          <cell r="J1991" t="str">
            <v>MARCELO RODRIGUES</v>
          </cell>
          <cell r="K1991" t="str">
            <v>LACTALIS</v>
          </cell>
          <cell r="L1991" t="str">
            <v>MAURICIO</v>
          </cell>
          <cell r="M1991" t="str">
            <v>MARCELO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  <cell r="H1992" t="str">
            <v>INGREDIENTS</v>
          </cell>
          <cell r="I1992" t="str">
            <v>INGREDIENTS</v>
          </cell>
          <cell r="J1992" t="str">
            <v>HENRIQUE FERREIRA</v>
          </cell>
          <cell r="K1992" t="str">
            <v>ITAMBÉ</v>
          </cell>
          <cell r="L1992" t="str">
            <v>MAURICIO</v>
          </cell>
          <cell r="M1992" t="str">
            <v>JOEL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  <cell r="H1993" t="str">
            <v>INGREDIENTS</v>
          </cell>
          <cell r="I1993" t="str">
            <v>INGREDIENTS</v>
          </cell>
          <cell r="J1993" t="str">
            <v>TATIANA NITTA</v>
          </cell>
          <cell r="K1993" t="str">
            <v>ITAMBÉ</v>
          </cell>
          <cell r="L1993" t="str">
            <v>MAURICIO</v>
          </cell>
          <cell r="M1993" t="str">
            <v>TATIANA NITTA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  <cell r="H1994" t="str">
            <v>INGREDIENTS</v>
          </cell>
          <cell r="I1994" t="str">
            <v>INGREDIENTS</v>
          </cell>
          <cell r="J1994" t="str">
            <v>HENRIQUE FERREIRA</v>
          </cell>
          <cell r="K1994" t="str">
            <v>ITAMBÉ</v>
          </cell>
          <cell r="L1994" t="str">
            <v>MAURICIO</v>
          </cell>
          <cell r="M1994" t="str">
            <v>JOEL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  <cell r="H1995" t="str">
            <v>DISTRIBUIÇÃO</v>
          </cell>
          <cell r="I1995" t="str">
            <v>FOOD SERVICE</v>
          </cell>
          <cell r="J1995" t="str">
            <v>SP ITB FS FLAC REP.E COMERCIO</v>
          </cell>
          <cell r="K1995" t="str">
            <v>ITAMBÉ</v>
          </cell>
          <cell r="L1995" t="str">
            <v>RODRIGO</v>
          </cell>
          <cell r="M1995" t="str">
            <v>RAQUEL BARBOSA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  <cell r="H1996" t="str">
            <v>INGREDIENTS</v>
          </cell>
          <cell r="I1996" t="str">
            <v>INGREDIENTS</v>
          </cell>
          <cell r="J1996" t="str">
            <v>TATIANA NITTA</v>
          </cell>
          <cell r="K1996" t="str">
            <v>ITAMBÉ</v>
          </cell>
          <cell r="L1996" t="str">
            <v>MAURICIO</v>
          </cell>
          <cell r="M1996" t="str">
            <v>TATIANA NITTA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  <cell r="H1997" t="str">
            <v>INGREDIENTS</v>
          </cell>
          <cell r="I1997" t="str">
            <v>INGREDIENTS</v>
          </cell>
          <cell r="J1997" t="str">
            <v>DUAS RODAS</v>
          </cell>
          <cell r="K1997" t="str">
            <v>ITAMBÉ</v>
          </cell>
          <cell r="L1997" t="str">
            <v>MAURICIO</v>
          </cell>
          <cell r="M1997" t="str">
            <v>TATIANA NITTA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  <cell r="H1998" t="str">
            <v>INGREDIENTS</v>
          </cell>
          <cell r="I1998" t="str">
            <v>INGREDIENTS</v>
          </cell>
          <cell r="J1998" t="str">
            <v>HENRIQUE FERREIRA</v>
          </cell>
          <cell r="K1998" t="str">
            <v>ITAMBÉ</v>
          </cell>
          <cell r="L1998" t="str">
            <v>MAURICIO</v>
          </cell>
          <cell r="M1998" t="str">
            <v>JOEL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  <cell r="H1999" t="str">
            <v>INGREDIENTS</v>
          </cell>
          <cell r="I1999" t="str">
            <v>INGREDIENTS</v>
          </cell>
          <cell r="J1999" t="str">
            <v>DUAS RODAS</v>
          </cell>
          <cell r="K1999" t="str">
            <v>ITAMBÉ</v>
          </cell>
          <cell r="L1999" t="str">
            <v>MAURICIO</v>
          </cell>
          <cell r="M1999" t="str">
            <v>TATIANA NITTA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  <cell r="H2000" t="str">
            <v>INGREDIENTS</v>
          </cell>
          <cell r="I2000" t="str">
            <v>INGREDIENTS</v>
          </cell>
          <cell r="J2000" t="str">
            <v>DUAS RODAS</v>
          </cell>
          <cell r="K2000" t="str">
            <v>ITAMBÉ</v>
          </cell>
          <cell r="L2000" t="str">
            <v>MAURICIO</v>
          </cell>
          <cell r="M2000" t="str">
            <v>MARCELO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  <cell r="H2001" t="str">
            <v>DISTRIBUIÇÃO</v>
          </cell>
          <cell r="I2001" t="str">
            <v>FOOD SERVICE</v>
          </cell>
          <cell r="J2001" t="str">
            <v>LUCIANA MARTINS</v>
          </cell>
          <cell r="K2001" t="str">
            <v>ITAMBÉ</v>
          </cell>
          <cell r="L2001" t="str">
            <v>RODRIGO</v>
          </cell>
          <cell r="M2001" t="str">
            <v>JESSICA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  <cell r="H2002" t="str">
            <v>INGREDIENTS</v>
          </cell>
          <cell r="I2002" t="str">
            <v>INGREDIENTS</v>
          </cell>
          <cell r="J2002" t="str">
            <v>HENRIQUE FERREIRA</v>
          </cell>
          <cell r="K2002" t="str">
            <v>ITAMBÉ</v>
          </cell>
          <cell r="L2002" t="str">
            <v>MAURICIO</v>
          </cell>
          <cell r="M2002" t="str">
            <v>JOEL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  <cell r="H2003" t="str">
            <v>QSR</v>
          </cell>
          <cell r="I2003" t="str">
            <v>FOOD SERVICE</v>
          </cell>
          <cell r="J2003" t="str">
            <v>VAGO QSR</v>
          </cell>
          <cell r="K2003" t="str">
            <v>ITAMBÉ</v>
          </cell>
          <cell r="L2003" t="str">
            <v>PEDRO</v>
          </cell>
          <cell r="M2003" t="str">
            <v>VAGO QSR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  <cell r="H2004" t="str">
            <v>INGREDIENTS</v>
          </cell>
          <cell r="I2004" t="str">
            <v>INGREDIENTS</v>
          </cell>
          <cell r="J2004" t="str">
            <v>TATIANA NITTA</v>
          </cell>
          <cell r="K2004" t="str">
            <v>ITAMBÉ</v>
          </cell>
          <cell r="L2004" t="str">
            <v>MAURICIO</v>
          </cell>
          <cell r="M2004" t="str">
            <v>TATIANA NITTA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  <cell r="H2005" t="str">
            <v>INGREDIENTS</v>
          </cell>
          <cell r="I2005" t="str">
            <v>INGREDIENTS</v>
          </cell>
          <cell r="J2005" t="str">
            <v>TATIANA NITTA</v>
          </cell>
          <cell r="K2005" t="str">
            <v>ITAMBÉ</v>
          </cell>
          <cell r="L2005" t="str">
            <v>MAURICIO</v>
          </cell>
          <cell r="M2005" t="str">
            <v>TATIANA NITTA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  <cell r="H2006" t="str">
            <v>INGREDIENTS</v>
          </cell>
          <cell r="I2006" t="str">
            <v>INGREDIENTS</v>
          </cell>
          <cell r="J2006" t="str">
            <v>DUAS RODAS</v>
          </cell>
          <cell r="K2006" t="str">
            <v>ITAMBÉ</v>
          </cell>
          <cell r="L2006" t="str">
            <v>MAURICIO</v>
          </cell>
          <cell r="M2006" t="str">
            <v>MARCELO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  <cell r="H2007" t="str">
            <v>INGREDIENTS</v>
          </cell>
          <cell r="I2007" t="str">
            <v>INGREDIENTS</v>
          </cell>
          <cell r="J2007" t="str">
            <v>JOEL ELEOTÉRIO</v>
          </cell>
          <cell r="K2007" t="str">
            <v>ITAMBÉ</v>
          </cell>
          <cell r="L2007" t="str">
            <v>MAURICIO</v>
          </cell>
          <cell r="M2007" t="str">
            <v>JOEL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  <cell r="H2008" t="str">
            <v>DISTRIBUIÇÃO</v>
          </cell>
          <cell r="I2008" t="str">
            <v>FOOD SERVICE</v>
          </cell>
          <cell r="J2008" t="str">
            <v>JULIANA CORDEIRO</v>
          </cell>
          <cell r="K2008" t="str">
            <v>ITAMBÉ</v>
          </cell>
          <cell r="L2008" t="str">
            <v>RODRIGO</v>
          </cell>
          <cell r="M2008" t="str">
            <v>JESSICA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  <cell r="H2009" t="str">
            <v>INGREDIENTS</v>
          </cell>
          <cell r="I2009" t="str">
            <v>INGREDIENTS</v>
          </cell>
          <cell r="J2009" t="str">
            <v>HENRIQUE FERREIRA</v>
          </cell>
          <cell r="K2009" t="str">
            <v>ITAMBÉ</v>
          </cell>
          <cell r="L2009" t="str">
            <v>MAURICIO</v>
          </cell>
          <cell r="M2009" t="str">
            <v>JOEL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  <cell r="H2010" t="str">
            <v>QSR</v>
          </cell>
          <cell r="I2010" t="str">
            <v>FOOD SERVICE</v>
          </cell>
          <cell r="J2010" t="str">
            <v>ANA MENIQUETE</v>
          </cell>
          <cell r="K2010" t="str">
            <v>ITAMBÉ</v>
          </cell>
          <cell r="L2010" t="str">
            <v>PEDRO</v>
          </cell>
          <cell r="M2010" t="str">
            <v>ANA MENIQUETE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  <cell r="H2011" t="str">
            <v>INGREDIENTS</v>
          </cell>
          <cell r="I2011" t="str">
            <v>INGREDIENTS</v>
          </cell>
          <cell r="J2011" t="str">
            <v>DUAS RODAS</v>
          </cell>
          <cell r="K2011" t="str">
            <v>ITAMBÉ</v>
          </cell>
          <cell r="L2011" t="str">
            <v>MAURICIO</v>
          </cell>
          <cell r="M2011" t="str">
            <v>MARCELO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  <cell r="H2012" t="str">
            <v>INGREDIENTS</v>
          </cell>
          <cell r="I2012" t="str">
            <v>INGREDIENTS</v>
          </cell>
          <cell r="J2012" t="str">
            <v>HENRIQUE FERREIRA</v>
          </cell>
          <cell r="K2012" t="str">
            <v>ITAMBÉ</v>
          </cell>
          <cell r="L2012" t="str">
            <v>MAURICIO</v>
          </cell>
          <cell r="M2012" t="str">
            <v>JOEL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  <cell r="H2013" t="str">
            <v>QSR</v>
          </cell>
          <cell r="I2013" t="str">
            <v>FOOD SERVICE</v>
          </cell>
          <cell r="J2013" t="str">
            <v>ANA MENIQUETE</v>
          </cell>
          <cell r="K2013" t="str">
            <v>ITAMBÉ</v>
          </cell>
          <cell r="L2013" t="str">
            <v>PEDRO</v>
          </cell>
          <cell r="M2013" t="str">
            <v>ANA MENIQUETE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  <cell r="H2014" t="str">
            <v>INGREDIENTS</v>
          </cell>
          <cell r="I2014" t="str">
            <v>INGREDIENTS</v>
          </cell>
          <cell r="J2014" t="str">
            <v>DUAS RODAS</v>
          </cell>
          <cell r="K2014" t="str">
            <v>ITAMBÉ</v>
          </cell>
          <cell r="L2014" t="str">
            <v>MAURICIO</v>
          </cell>
          <cell r="M2014" t="str">
            <v>JOEL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  <cell r="H2015" t="str">
            <v>DISTRIBUIÇÃO</v>
          </cell>
          <cell r="I2015" t="str">
            <v>FOOD SERVICE</v>
          </cell>
          <cell r="J2015" t="str">
            <v>CLAUDIO JORGE</v>
          </cell>
          <cell r="K2015" t="str">
            <v>ITAMBÉ</v>
          </cell>
          <cell r="L2015" t="str">
            <v>RODRIGO</v>
          </cell>
          <cell r="M2015" t="str">
            <v>MARIA LOURDES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  <cell r="H2016" t="str">
            <v>DISTRIBUIÇÃO</v>
          </cell>
          <cell r="I2016" t="str">
            <v>FOOD SERVICE</v>
          </cell>
          <cell r="J2016" t="str">
            <v>GUILHERME NASCIMENTO</v>
          </cell>
          <cell r="K2016" t="str">
            <v>ITAMBÉ</v>
          </cell>
          <cell r="L2016" t="str">
            <v>RODRIGO</v>
          </cell>
          <cell r="M2016" t="str">
            <v>ALEXANDRO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  <cell r="H2017" t="str">
            <v>DISTRIBUIÇÃO</v>
          </cell>
          <cell r="I2017" t="str">
            <v>FOOD SERVICE</v>
          </cell>
          <cell r="J2017" t="str">
            <v>CLAUDIO JORGE/LUIZ</v>
          </cell>
          <cell r="K2017" t="str">
            <v>ITAMBÉ</v>
          </cell>
          <cell r="L2017" t="str">
            <v>RODRIGO</v>
          </cell>
          <cell r="M2017" t="str">
            <v>MARIA LOURDES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  <cell r="H2018" t="str">
            <v>DISTRIBUIÇÃO</v>
          </cell>
          <cell r="I2018" t="str">
            <v>FOOD SERVICE</v>
          </cell>
          <cell r="J2018" t="str">
            <v>VAGO SP</v>
          </cell>
          <cell r="K2018" t="str">
            <v>LACTALIS</v>
          </cell>
          <cell r="L2018" t="str">
            <v>RODRIGO</v>
          </cell>
          <cell r="M2018" t="str">
            <v>RAQUEL BARBOSA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  <cell r="H2019" t="str">
            <v>DISTRIBUIÇÃO</v>
          </cell>
          <cell r="I2019" t="str">
            <v>FOOD SERVICE</v>
          </cell>
          <cell r="J2019" t="str">
            <v>FLAC 3</v>
          </cell>
          <cell r="K2019" t="str">
            <v>LACTALIS</v>
          </cell>
          <cell r="L2019" t="str">
            <v>RODRIGO</v>
          </cell>
          <cell r="M2019" t="str">
            <v>RAQUEL BARBOSA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  <cell r="H2020" t="str">
            <v>INGREDIENTS</v>
          </cell>
          <cell r="I2020" t="str">
            <v>INGREDIENTS</v>
          </cell>
          <cell r="J2020" t="str">
            <v>HENRIQUE FERREIRA</v>
          </cell>
          <cell r="K2020" t="str">
            <v>ITAMBÉ</v>
          </cell>
          <cell r="L2020" t="str">
            <v>MAURICIO</v>
          </cell>
          <cell r="M2020" t="str">
            <v>JOEL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  <cell r="H2021" t="str">
            <v>INGREDIENTS</v>
          </cell>
          <cell r="I2021" t="str">
            <v>INGREDIENTS</v>
          </cell>
          <cell r="J2021" t="str">
            <v>HENRIQUE FERREIRA</v>
          </cell>
          <cell r="K2021" t="str">
            <v>ITAMBÉ</v>
          </cell>
          <cell r="L2021" t="str">
            <v>MAURICIO</v>
          </cell>
          <cell r="M2021" t="str">
            <v>JOEL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  <cell r="H2022" t="str">
            <v>INGREDIENTS</v>
          </cell>
          <cell r="I2022" t="str">
            <v>INGREDIENTS</v>
          </cell>
          <cell r="J2022" t="str">
            <v>HENRIQUE FERREIRA</v>
          </cell>
          <cell r="K2022" t="str">
            <v>ITAMBÉ</v>
          </cell>
          <cell r="L2022" t="str">
            <v>MAURICIO</v>
          </cell>
          <cell r="M2022" t="str">
            <v>JOEL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  <cell r="H2023" t="str">
            <v>DISTRIBUIÇÃO</v>
          </cell>
          <cell r="I2023" t="str">
            <v>FOOD SERVICE</v>
          </cell>
          <cell r="J2023" t="str">
            <v>FLAC 8</v>
          </cell>
          <cell r="K2023" t="str">
            <v>LACTALIS</v>
          </cell>
          <cell r="L2023" t="str">
            <v>RODRIGO</v>
          </cell>
          <cell r="M2023" t="str">
            <v>RAQUEL BARBOSA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  <cell r="H2024" t="str">
            <v>DISTRIBUIÇÃO</v>
          </cell>
          <cell r="I2024" t="str">
            <v>FOOD SERVICE</v>
          </cell>
          <cell r="J2024" t="str">
            <v>VAGO SP</v>
          </cell>
          <cell r="K2024" t="str">
            <v>ITAMBÉ</v>
          </cell>
          <cell r="L2024" t="str">
            <v>RODRIGO</v>
          </cell>
          <cell r="M2024" t="str">
            <v>RAQUEL BARBOSA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  <cell r="H2025" t="str">
            <v>DISTRIBUIÇÃO</v>
          </cell>
          <cell r="I2025" t="str">
            <v>FOOD SERVICE</v>
          </cell>
          <cell r="J2025" t="str">
            <v>FLAC 2</v>
          </cell>
          <cell r="K2025" t="str">
            <v>LACTALIS</v>
          </cell>
          <cell r="L2025" t="str">
            <v>RODRIGO</v>
          </cell>
          <cell r="M2025" t="str">
            <v>RAQUEL BARBOSA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  <cell r="H2026" t="str">
            <v>INGREDIENTS</v>
          </cell>
          <cell r="I2026" t="str">
            <v>INGREDIENTS</v>
          </cell>
          <cell r="J2026" t="str">
            <v>HENRIQUE FERREIRA</v>
          </cell>
          <cell r="K2026" t="str">
            <v>ITAMBÉ</v>
          </cell>
          <cell r="L2026" t="str">
            <v>MAURICIO</v>
          </cell>
          <cell r="M2026" t="str">
            <v>JOEL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  <cell r="H2027" t="str">
            <v>INGREDIENTS</v>
          </cell>
          <cell r="I2027" t="str">
            <v>INGREDIENTS</v>
          </cell>
          <cell r="J2027" t="str">
            <v>HENRIQUE FERREIRA</v>
          </cell>
          <cell r="K2027" t="str">
            <v>LACTALIS</v>
          </cell>
          <cell r="L2027" t="str">
            <v>MAURICIO</v>
          </cell>
          <cell r="M2027" t="str">
            <v>JOEL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  <cell r="H2028" t="str">
            <v>QSR</v>
          </cell>
          <cell r="I2028" t="str">
            <v>FOOD SERVICE</v>
          </cell>
          <cell r="J2028" t="str">
            <v>ANA MENIQUETE</v>
          </cell>
          <cell r="K2028" t="str">
            <v>LACTALIS</v>
          </cell>
          <cell r="L2028" t="str">
            <v>PEDRO</v>
          </cell>
          <cell r="M2028" t="str">
            <v>ANA MENIQUETE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  <cell r="H2029" t="str">
            <v>QSR</v>
          </cell>
          <cell r="I2029" t="str">
            <v>FOOD SERVICE</v>
          </cell>
          <cell r="J2029" t="str">
            <v>ANA MENIQUETE</v>
          </cell>
          <cell r="K2029" t="str">
            <v>LACTALIS</v>
          </cell>
          <cell r="L2029" t="str">
            <v>PEDRO</v>
          </cell>
          <cell r="M2029" t="str">
            <v>ANA MENIQUETE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  <cell r="H2030" t="str">
            <v>DISTRIBUIÇÃO</v>
          </cell>
          <cell r="I2030" t="str">
            <v>FOOD SERVICE</v>
          </cell>
          <cell r="J2030" t="str">
            <v>FLAC 2</v>
          </cell>
          <cell r="K2030" t="str">
            <v>LACTALIS</v>
          </cell>
          <cell r="L2030" t="str">
            <v>RODRIGO</v>
          </cell>
          <cell r="M2030" t="str">
            <v>RAQUEL BARBOSA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  <cell r="H2031" t="str">
            <v>QSR</v>
          </cell>
          <cell r="I2031" t="str">
            <v>FOOD SERVICE</v>
          </cell>
          <cell r="J2031" t="str">
            <v>VAGO QSR</v>
          </cell>
          <cell r="K2031" t="str">
            <v>LACTALIS</v>
          </cell>
          <cell r="L2031" t="str">
            <v>PEDRO</v>
          </cell>
          <cell r="M2031" t="str">
            <v>VAGO QSR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  <cell r="H2032" t="str">
            <v>DISTRIBUIÇÃO</v>
          </cell>
          <cell r="I2032" t="str">
            <v>FOOD SERVICE</v>
          </cell>
          <cell r="J2032" t="str">
            <v>FLAC 6</v>
          </cell>
          <cell r="K2032" t="str">
            <v>LACTALIS</v>
          </cell>
          <cell r="L2032" t="str">
            <v>RODRIGO</v>
          </cell>
          <cell r="M2032" t="str">
            <v>RAQUEL BARBOSA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  <cell r="H2033" t="str">
            <v>INGREDIENTS</v>
          </cell>
          <cell r="I2033" t="str">
            <v>INGREDIENTS</v>
          </cell>
          <cell r="J2033" t="str">
            <v>JOEL ELEOTÉRIO</v>
          </cell>
          <cell r="K2033" t="str">
            <v>LACTALIS</v>
          </cell>
          <cell r="L2033" t="str">
            <v>MAURICIO</v>
          </cell>
          <cell r="M2033" t="str">
            <v>JOEL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  <cell r="H2034" t="str">
            <v>INGREDIENTS</v>
          </cell>
          <cell r="I2034" t="str">
            <v>INGREDIENTS</v>
          </cell>
          <cell r="J2034" t="str">
            <v>HENRIQUE FERREIRA</v>
          </cell>
          <cell r="K2034" t="str">
            <v>ITAMBÉ</v>
          </cell>
          <cell r="L2034" t="str">
            <v>MAURICIO</v>
          </cell>
          <cell r="M2034" t="str">
            <v>JOEL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  <cell r="H2035" t="str">
            <v>INGREDIENTS</v>
          </cell>
          <cell r="I2035" t="str">
            <v>INGREDIENTS</v>
          </cell>
          <cell r="J2035" t="str">
            <v>HENRIQUE FERREIRA</v>
          </cell>
          <cell r="K2035" t="str">
            <v>ITAMBÉ</v>
          </cell>
          <cell r="L2035" t="str">
            <v>MAURICIO</v>
          </cell>
          <cell r="M2035" t="str">
            <v>JOEL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  <cell r="H2036" t="str">
            <v>DISTRIBUIÇÃO</v>
          </cell>
          <cell r="I2036" t="str">
            <v>FOOD SERVICE</v>
          </cell>
          <cell r="J2036" t="str">
            <v>FLAC 1</v>
          </cell>
          <cell r="K2036" t="str">
            <v>LACTALIS</v>
          </cell>
          <cell r="L2036" t="str">
            <v>RODRIGO</v>
          </cell>
          <cell r="M2036" t="str">
            <v>RAQUEL BARBOSA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  <cell r="H2037" t="str">
            <v>INGREDIENTS</v>
          </cell>
          <cell r="I2037" t="str">
            <v>INGREDIENTS</v>
          </cell>
          <cell r="J2037" t="str">
            <v>TATIANA NITTA</v>
          </cell>
          <cell r="K2037" t="str">
            <v>ITAMBÉ</v>
          </cell>
          <cell r="L2037" t="str">
            <v>MAURICIO</v>
          </cell>
          <cell r="M2037" t="str">
            <v>TATIANA NITTA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  <cell r="H2038" t="str">
            <v>INGREDIENTS</v>
          </cell>
          <cell r="I2038" t="str">
            <v>INGREDIENTS</v>
          </cell>
          <cell r="J2038" t="str">
            <v>TATIANA NITTA</v>
          </cell>
          <cell r="K2038" t="str">
            <v>ITAMBÉ</v>
          </cell>
          <cell r="L2038" t="str">
            <v>MAURICIO</v>
          </cell>
          <cell r="M2038" t="str">
            <v>TATIANA NITTA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  <cell r="H2039" t="str">
            <v>DISTRIBUIÇÃO</v>
          </cell>
          <cell r="I2039" t="str">
            <v>FOOD SERVICE</v>
          </cell>
          <cell r="J2039" t="str">
            <v>FLAC 6</v>
          </cell>
          <cell r="K2039" t="str">
            <v>LACTALIS</v>
          </cell>
          <cell r="L2039" t="str">
            <v>RODRIGO</v>
          </cell>
          <cell r="M2039" t="str">
            <v>RAQUEL BARBOSA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  <cell r="H2040" t="str">
            <v>INGREDIENTS</v>
          </cell>
          <cell r="I2040" t="str">
            <v>INGREDIENTS</v>
          </cell>
          <cell r="J2040" t="str">
            <v>BA ITB FS ML FLAVORS</v>
          </cell>
          <cell r="K2040" t="str">
            <v>ITAMBÉ</v>
          </cell>
          <cell r="L2040" t="str">
            <v>MAURICIO</v>
          </cell>
          <cell r="M2040" t="str">
            <v>JOEL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  <cell r="H2041" t="str">
            <v>INGREDIENTS</v>
          </cell>
          <cell r="I2041" t="str">
            <v>INGREDIENTS</v>
          </cell>
          <cell r="J2041" t="str">
            <v>HENRIQUE FERREIRA</v>
          </cell>
          <cell r="K2041" t="str">
            <v>ITAMBÉ</v>
          </cell>
          <cell r="L2041" t="str">
            <v>MAURICIO</v>
          </cell>
          <cell r="M2041" t="str">
            <v>JOEL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  <cell r="H2042" t="str">
            <v>INGREDIENTS</v>
          </cell>
          <cell r="I2042" t="str">
            <v>INGREDIENTS</v>
          </cell>
          <cell r="J2042" t="str">
            <v>TATIANA NITTA</v>
          </cell>
          <cell r="K2042" t="str">
            <v>ITAMBÉ</v>
          </cell>
          <cell r="L2042" t="str">
            <v>MAURICIO</v>
          </cell>
          <cell r="M2042" t="str">
            <v>TATIANA NITTA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  <cell r="H2043" t="str">
            <v>DISTRIBUIÇÃO</v>
          </cell>
          <cell r="I2043" t="str">
            <v>FOOD SERVICE</v>
          </cell>
          <cell r="J2043" t="str">
            <v>FLAC 2</v>
          </cell>
          <cell r="K2043" t="str">
            <v>LACTALIS</v>
          </cell>
          <cell r="L2043" t="str">
            <v>RODRIGO</v>
          </cell>
          <cell r="M2043" t="str">
            <v>RAQUEL BARBOSA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  <cell r="H2044" t="str">
            <v>DISTRIBUIÇÃO</v>
          </cell>
          <cell r="I2044" t="str">
            <v>FOOD SERVICE</v>
          </cell>
          <cell r="J2044" t="str">
            <v>FLAC 6</v>
          </cell>
          <cell r="K2044" t="str">
            <v>LACTALIS</v>
          </cell>
          <cell r="L2044" t="str">
            <v>RODRIGO</v>
          </cell>
          <cell r="M2044" t="str">
            <v>RAQUEL BARBOSA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  <cell r="H2045" t="str">
            <v>DISTRIBUIÇÃO</v>
          </cell>
          <cell r="I2045" t="str">
            <v>FOOD SERVICE</v>
          </cell>
          <cell r="J2045" t="str">
            <v>VAGO SP</v>
          </cell>
          <cell r="K2045" t="str">
            <v>LACTALIS</v>
          </cell>
          <cell r="L2045" t="str">
            <v>RODRIGO</v>
          </cell>
          <cell r="M2045" t="str">
            <v>RAQUEL BARBOSA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  <cell r="H2046" t="str">
            <v>QSR</v>
          </cell>
          <cell r="I2046" t="str">
            <v>FOOD SERVICE</v>
          </cell>
          <cell r="J2046" t="str">
            <v>VAGO QSR</v>
          </cell>
          <cell r="K2046" t="str">
            <v>LACTALIS</v>
          </cell>
          <cell r="L2046" t="str">
            <v>PEDRO</v>
          </cell>
          <cell r="M2046" t="str">
            <v>VAGO QSR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  <cell r="H2047" t="str">
            <v>DISTRIBUIÇÃO</v>
          </cell>
          <cell r="I2047" t="str">
            <v>FOOD SERVICE</v>
          </cell>
          <cell r="J2047" t="str">
            <v>FLAC 6</v>
          </cell>
          <cell r="K2047" t="str">
            <v>LACTALIS</v>
          </cell>
          <cell r="L2047" t="str">
            <v>RODRIGO</v>
          </cell>
          <cell r="M2047" t="str">
            <v>RAQUEL BARBOSA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  <cell r="H2048" t="str">
            <v>DISTRIBUIÇÃO</v>
          </cell>
          <cell r="I2048" t="str">
            <v>FOOD SERVICE</v>
          </cell>
          <cell r="J2048" t="str">
            <v>FLAC 5</v>
          </cell>
          <cell r="K2048" t="str">
            <v>LACTALIS</v>
          </cell>
          <cell r="L2048" t="str">
            <v>RODRIGO</v>
          </cell>
          <cell r="M2048" t="str">
            <v>RAQUEL BARBOSA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  <cell r="H2049" t="str">
            <v>INGREDIENTS</v>
          </cell>
          <cell r="I2049" t="str">
            <v>INGREDIENTS</v>
          </cell>
          <cell r="J2049" t="str">
            <v>HENRIQUE FERREIRA</v>
          </cell>
          <cell r="K2049" t="str">
            <v>ITAMBÉ</v>
          </cell>
          <cell r="L2049" t="str">
            <v>MAURICIO</v>
          </cell>
          <cell r="M2049" t="str">
            <v>JOEL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  <cell r="H2050" t="str">
            <v>INGREDIENTS</v>
          </cell>
          <cell r="I2050" t="str">
            <v>INGREDIENTS</v>
          </cell>
          <cell r="J2050" t="str">
            <v>MARCELO RODRIGUES</v>
          </cell>
          <cell r="K2050" t="str">
            <v>ITAMBÉ</v>
          </cell>
          <cell r="L2050" t="str">
            <v>MAURICIO</v>
          </cell>
          <cell r="M2050" t="str">
            <v>MARCELO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  <cell r="H2051" t="str">
            <v>INGREDIENTS</v>
          </cell>
          <cell r="I2051" t="str">
            <v>INGREDIENTS</v>
          </cell>
          <cell r="J2051" t="str">
            <v>MARCELO RODRIGUES</v>
          </cell>
          <cell r="K2051" t="str">
            <v>ITAMBÉ</v>
          </cell>
          <cell r="L2051" t="str">
            <v>MAURICIO</v>
          </cell>
          <cell r="M2051" t="str">
            <v>MARCELO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  <cell r="H2052" t="str">
            <v>OUTROS</v>
          </cell>
          <cell r="I2052" t="str">
            <v>OUTROS</v>
          </cell>
          <cell r="J2052" t="str">
            <v>SERVIÇO TIROL</v>
          </cell>
          <cell r="K2052" t="str">
            <v>OUTROS</v>
          </cell>
          <cell r="L2052" t="str">
            <v>OUTROS</v>
          </cell>
          <cell r="M2052" t="str">
            <v>SERVIÇO TIROL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  <cell r="H2053" t="str">
            <v>DISTRIBUIÇÃO</v>
          </cell>
          <cell r="I2053" t="str">
            <v>FOOD SERVICE</v>
          </cell>
          <cell r="J2053" t="str">
            <v>FLAC 2</v>
          </cell>
          <cell r="K2053" t="str">
            <v>LACTALIS</v>
          </cell>
          <cell r="L2053" t="str">
            <v>RODRIGO</v>
          </cell>
          <cell r="M2053" t="str">
            <v>RAQUEL BARBOSA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  <cell r="H2054" t="str">
            <v>DISTRIBUIÇÃO</v>
          </cell>
          <cell r="I2054" t="str">
            <v>FOOD SERVICE</v>
          </cell>
          <cell r="J2054" t="str">
            <v>WH FOOD SERVICE CE</v>
          </cell>
          <cell r="K2054" t="str">
            <v>ITAMBÉ</v>
          </cell>
          <cell r="L2054" t="str">
            <v>RODRIGO</v>
          </cell>
          <cell r="M2054" t="str">
            <v>MARIA LOURDES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  <cell r="H2055" t="str">
            <v>DISTRIBUIÇÃO</v>
          </cell>
          <cell r="I2055" t="str">
            <v>FOOD SERVICE</v>
          </cell>
          <cell r="J2055" t="str">
            <v>ANGELICA BATISTELA</v>
          </cell>
          <cell r="K2055" t="str">
            <v>LACTALIS</v>
          </cell>
          <cell r="L2055" t="str">
            <v>RODRIGO</v>
          </cell>
          <cell r="M2055" t="str">
            <v>ANGELICA BATISTELA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  <cell r="H2056" t="str">
            <v>DISTRIBUIÇÃO</v>
          </cell>
          <cell r="I2056" t="str">
            <v>FOOD SERVICE</v>
          </cell>
          <cell r="J2056" t="str">
            <v>FLAC 2</v>
          </cell>
          <cell r="K2056" t="str">
            <v>LACTALIS</v>
          </cell>
          <cell r="L2056" t="str">
            <v>RODRIGO</v>
          </cell>
          <cell r="M2056" t="str">
            <v>RAQUEL BARBOSA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  <cell r="H2057" t="str">
            <v>QSR</v>
          </cell>
          <cell r="I2057" t="str">
            <v>FOOD SERVICE</v>
          </cell>
          <cell r="J2057" t="str">
            <v>VAGO QSR</v>
          </cell>
          <cell r="K2057" t="str">
            <v>ITAMBÉ</v>
          </cell>
          <cell r="L2057" t="str">
            <v>PEDRO</v>
          </cell>
          <cell r="M2057" t="str">
            <v>VAGO QSR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  <cell r="H2058" t="str">
            <v>INGREDIENTS</v>
          </cell>
          <cell r="I2058" t="str">
            <v>INGREDIENTS</v>
          </cell>
          <cell r="J2058" t="str">
            <v>HENRIQUE FERREIRA</v>
          </cell>
          <cell r="K2058" t="str">
            <v>ITAMBÉ</v>
          </cell>
          <cell r="L2058" t="str">
            <v>MAURICIO</v>
          </cell>
          <cell r="M2058" t="str">
            <v>JOEL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  <cell r="H2059" t="str">
            <v>DISTRIBUIÇÃO</v>
          </cell>
          <cell r="I2059" t="str">
            <v>FOOD SERVICE</v>
          </cell>
          <cell r="J2059" t="str">
            <v>CLAUDIO JORGE/LUIZ</v>
          </cell>
          <cell r="K2059" t="str">
            <v>ITAMBÉ</v>
          </cell>
          <cell r="L2059" t="str">
            <v>RODRIGO</v>
          </cell>
          <cell r="M2059" t="str">
            <v>MARIA LOURDES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  <cell r="H2060" t="str">
            <v>DISTRIBUIÇÃO</v>
          </cell>
          <cell r="I2060" t="str">
            <v>FOOD SERVICE</v>
          </cell>
          <cell r="J2060" t="str">
            <v>FLAC 1</v>
          </cell>
          <cell r="K2060" t="str">
            <v>LACTALIS</v>
          </cell>
          <cell r="L2060" t="str">
            <v>RODRIGO</v>
          </cell>
          <cell r="M2060" t="str">
            <v>RAQUEL BARBOSA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  <cell r="H2061" t="str">
            <v>INGREDIENTS</v>
          </cell>
          <cell r="I2061" t="str">
            <v>INGREDIENTS</v>
          </cell>
          <cell r="J2061" t="str">
            <v>TATIANA NITTA</v>
          </cell>
          <cell r="K2061" t="str">
            <v>ITAMBÉ</v>
          </cell>
          <cell r="L2061" t="str">
            <v>MAURICIO</v>
          </cell>
          <cell r="M2061" t="str">
            <v>TATIANA NITTA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  <cell r="H2062" t="str">
            <v>DISTRIBUIÇÃO</v>
          </cell>
          <cell r="I2062" t="str">
            <v>FOOD SERVICE</v>
          </cell>
          <cell r="J2062" t="str">
            <v>FLAC 7</v>
          </cell>
          <cell r="K2062" t="str">
            <v>LACTALIS</v>
          </cell>
          <cell r="L2062" t="str">
            <v>RODRIGO</v>
          </cell>
          <cell r="M2062" t="str">
            <v>RAQUEL BARBOSA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  <cell r="H2063" t="str">
            <v>DISTRIBUIÇÃO</v>
          </cell>
          <cell r="I2063" t="str">
            <v>FOOD SERVICE</v>
          </cell>
          <cell r="J2063" t="str">
            <v>MARCELO SILVA</v>
          </cell>
          <cell r="K2063" t="str">
            <v>ITAMBÉ</v>
          </cell>
          <cell r="L2063" t="str">
            <v>RODRIGO</v>
          </cell>
          <cell r="M2063" t="str">
            <v>CELIO MARTINS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  <cell r="H2064" t="str">
            <v>INGREDIENTS</v>
          </cell>
          <cell r="I2064" t="str">
            <v>INGREDIENTS</v>
          </cell>
          <cell r="J2064" t="str">
            <v>MARCELO RODRIGUES</v>
          </cell>
          <cell r="K2064" t="str">
            <v>ITAMBÉ</v>
          </cell>
          <cell r="L2064" t="str">
            <v>MAURICIO</v>
          </cell>
          <cell r="M2064" t="str">
            <v>MARCELO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  <cell r="H2065" t="str">
            <v>INGREDIENTS</v>
          </cell>
          <cell r="I2065" t="str">
            <v>INGREDIENTS</v>
          </cell>
          <cell r="J2065" t="str">
            <v>FERREIRA MELO</v>
          </cell>
          <cell r="K2065" t="str">
            <v>LACTALIS</v>
          </cell>
          <cell r="L2065" t="str">
            <v>MAURICIO</v>
          </cell>
          <cell r="M2065" t="str">
            <v>JOEL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  <cell r="H2066" t="str">
            <v>INGREDIENTS</v>
          </cell>
          <cell r="I2066" t="str">
            <v>INGREDIENTS</v>
          </cell>
          <cell r="J2066" t="str">
            <v>HENRIQUE FERREIRA</v>
          </cell>
          <cell r="K2066" t="str">
            <v>ITAMBÉ</v>
          </cell>
          <cell r="L2066" t="str">
            <v>MAURICIO</v>
          </cell>
          <cell r="M2066" t="str">
            <v>JOEL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  <cell r="H2067" t="str">
            <v>DISTRIBUIÇÃO</v>
          </cell>
          <cell r="I2067" t="str">
            <v>FOOD SERVICE</v>
          </cell>
          <cell r="J2067" t="str">
            <v>ANGELICA BATISTELA</v>
          </cell>
          <cell r="K2067" t="str">
            <v>ITAMBÉ</v>
          </cell>
          <cell r="L2067" t="str">
            <v>RODRIGO</v>
          </cell>
          <cell r="M2067" t="str">
            <v>ANGELICA BATISTELA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  <cell r="H2068" t="str">
            <v>INGREDIENTS</v>
          </cell>
          <cell r="I2068" t="str">
            <v>INGREDIENTS</v>
          </cell>
          <cell r="J2068" t="str">
            <v>TATIANA NITTA</v>
          </cell>
          <cell r="K2068" t="str">
            <v>ITAMBÉ</v>
          </cell>
          <cell r="L2068" t="str">
            <v>MAURICIO</v>
          </cell>
          <cell r="M2068" t="str">
            <v>TATIANA NITTA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  <cell r="H2069" t="str">
            <v>DISTRIBUIÇÃO</v>
          </cell>
          <cell r="I2069" t="str">
            <v>FOOD SERVICE</v>
          </cell>
          <cell r="J2069" t="str">
            <v>FLAC 2</v>
          </cell>
          <cell r="K2069" t="str">
            <v>LACTALIS</v>
          </cell>
          <cell r="L2069" t="str">
            <v>RODRIGO</v>
          </cell>
          <cell r="M2069" t="str">
            <v>RAQUEL BARBOSA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  <cell r="H2070" t="str">
            <v>DISTRIBUIÇÃO</v>
          </cell>
          <cell r="I2070" t="str">
            <v>FOOD SERVICE</v>
          </cell>
          <cell r="J2070" t="str">
            <v>CELIO MARTINS</v>
          </cell>
          <cell r="K2070" t="str">
            <v>ITAMBÉ</v>
          </cell>
          <cell r="L2070" t="str">
            <v>RODRIGO</v>
          </cell>
          <cell r="M2070" t="str">
            <v>CELIO MARTINS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  <cell r="H2071" t="str">
            <v>DISTRIBUIÇÃO</v>
          </cell>
          <cell r="I2071" t="str">
            <v>FOOD SERVICE</v>
          </cell>
          <cell r="J2071" t="str">
            <v>FLAC 6</v>
          </cell>
          <cell r="K2071" t="str">
            <v>LACTALIS</v>
          </cell>
          <cell r="L2071" t="str">
            <v>RODRIGO</v>
          </cell>
          <cell r="M2071" t="str">
            <v>RAQUEL BARBOSA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  <cell r="H2072" t="str">
            <v>INGREDIENTS</v>
          </cell>
          <cell r="I2072" t="str">
            <v>INGREDIENTS</v>
          </cell>
          <cell r="J2072" t="str">
            <v>MARCELO RODRIGUES</v>
          </cell>
          <cell r="K2072" t="str">
            <v>LACTALIS</v>
          </cell>
          <cell r="L2072" t="str">
            <v>MAURICIO</v>
          </cell>
          <cell r="M2072" t="str">
            <v>MARCELO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  <cell r="H2073" t="str">
            <v>DISTRIBUIÇÃO</v>
          </cell>
          <cell r="I2073" t="str">
            <v>FOOD SERVICE</v>
          </cell>
          <cell r="J2073" t="str">
            <v>VAGO SP</v>
          </cell>
          <cell r="K2073" t="str">
            <v>ITAMBÉ</v>
          </cell>
          <cell r="L2073" t="str">
            <v>RODRIGO</v>
          </cell>
          <cell r="M2073" t="str">
            <v>RAQUEL BARBOSA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  <cell r="H2074" t="str">
            <v>DISTRIBUIÇÃO</v>
          </cell>
          <cell r="I2074" t="str">
            <v>FOOD SERVICE</v>
          </cell>
          <cell r="J2074" t="str">
            <v>FLAC 6</v>
          </cell>
          <cell r="K2074" t="str">
            <v>LACTALIS</v>
          </cell>
          <cell r="L2074" t="str">
            <v>RODRIGO</v>
          </cell>
          <cell r="M2074" t="str">
            <v>RAQUEL BARBOSA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  <cell r="H2075" t="str">
            <v>DISTRIBUIÇÃO</v>
          </cell>
          <cell r="I2075" t="str">
            <v>FOOD SERVICE</v>
          </cell>
          <cell r="J2075" t="str">
            <v>FLAC 6</v>
          </cell>
          <cell r="K2075" t="str">
            <v>LACTALIS</v>
          </cell>
          <cell r="L2075" t="str">
            <v>RODRIGO</v>
          </cell>
          <cell r="M2075" t="str">
            <v>RAQUEL BARBOSA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  <cell r="H2076" t="str">
            <v>DISTRIBUIÇÃO</v>
          </cell>
          <cell r="I2076" t="str">
            <v>FOOD SERVICE</v>
          </cell>
          <cell r="J2076" t="str">
            <v>LUCIANA MARTINS</v>
          </cell>
          <cell r="K2076" t="str">
            <v>LACTALIS</v>
          </cell>
          <cell r="L2076" t="str">
            <v>RODRIGO</v>
          </cell>
          <cell r="M2076" t="str">
            <v>JESSICA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  <cell r="H2077" t="str">
            <v>OUTROS</v>
          </cell>
          <cell r="I2077" t="str">
            <v>OUTROS</v>
          </cell>
          <cell r="J2077" t="str">
            <v>SERVIÇO TIROL</v>
          </cell>
          <cell r="K2077" t="str">
            <v>OUTROS</v>
          </cell>
          <cell r="L2077" t="str">
            <v>OUTROS</v>
          </cell>
          <cell r="M2077" t="str">
            <v>SERVIÇO TIROL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  <cell r="H2078" t="str">
            <v>OUTROS</v>
          </cell>
          <cell r="I2078" t="str">
            <v>OUTROS</v>
          </cell>
          <cell r="J2078" t="str">
            <v>SERVIÇO TIROL</v>
          </cell>
          <cell r="K2078" t="str">
            <v>OUTROS</v>
          </cell>
          <cell r="L2078" t="str">
            <v>OUTROS</v>
          </cell>
          <cell r="M2078" t="str">
            <v>SERVIÇO TIROL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  <cell r="H2079" t="str">
            <v>INGREDIENTS</v>
          </cell>
          <cell r="I2079" t="str">
            <v>INGREDIENTS</v>
          </cell>
          <cell r="J2079" t="str">
            <v>HENRIQUE FERREIRA</v>
          </cell>
          <cell r="K2079" t="str">
            <v>ITAMBÉ</v>
          </cell>
          <cell r="L2079" t="str">
            <v>MAURICIO</v>
          </cell>
          <cell r="M2079" t="str">
            <v>JOEL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  <cell r="H2080" t="str">
            <v>DISTRIBUIÇÃO</v>
          </cell>
          <cell r="I2080" t="str">
            <v>FOOD SERVICE</v>
          </cell>
          <cell r="J2080" t="str">
            <v>CLAUDIO JORGE/LUIZ</v>
          </cell>
          <cell r="K2080" t="str">
            <v>ITAMBÉ</v>
          </cell>
          <cell r="L2080" t="str">
            <v>RODRIGO</v>
          </cell>
          <cell r="M2080" t="str">
            <v>MARIA LOURDES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  <cell r="H2081" t="str">
            <v>DISTRIBUIÇÃO</v>
          </cell>
          <cell r="I2081" t="str">
            <v>FOOD SERVICE</v>
          </cell>
          <cell r="J2081" t="str">
            <v>FLAC 5</v>
          </cell>
          <cell r="K2081" t="str">
            <v>LACTALIS</v>
          </cell>
          <cell r="L2081" t="str">
            <v>RODRIGO</v>
          </cell>
          <cell r="M2081" t="str">
            <v>RAQUEL BARBOSA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  <cell r="H2082" t="str">
            <v>DISTRIBUIÇÃO</v>
          </cell>
          <cell r="I2082" t="str">
            <v>FOOD SERVICE</v>
          </cell>
          <cell r="J2082" t="str">
            <v>FLAC 5</v>
          </cell>
          <cell r="K2082" t="str">
            <v>LACTALIS</v>
          </cell>
          <cell r="L2082" t="str">
            <v>RODRIGO</v>
          </cell>
          <cell r="M2082" t="str">
            <v>RAQUEL BARBOSA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  <cell r="H2083" t="str">
            <v>INGREDIENTS</v>
          </cell>
          <cell r="I2083" t="str">
            <v>INGREDIENTS</v>
          </cell>
          <cell r="J2083" t="str">
            <v>HENRIQUE FERREIRA</v>
          </cell>
          <cell r="K2083" t="str">
            <v>ITAMBÉ</v>
          </cell>
          <cell r="L2083" t="str">
            <v>MAURICIO</v>
          </cell>
          <cell r="M2083" t="str">
            <v>JOEL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  <cell r="H2084" t="str">
            <v>DISTRIBUIÇÃO</v>
          </cell>
          <cell r="I2084" t="str">
            <v>FOOD SERVICE</v>
          </cell>
          <cell r="J2084" t="str">
            <v>FLAC 3</v>
          </cell>
          <cell r="K2084" t="str">
            <v>LACTALIS</v>
          </cell>
          <cell r="L2084" t="str">
            <v>RODRIGO</v>
          </cell>
          <cell r="M2084" t="str">
            <v>RAQUEL BARBOSA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  <cell r="H2085" t="str">
            <v>DISTRIBUIÇÃO</v>
          </cell>
          <cell r="I2085" t="str">
            <v>FOOD SERVICE</v>
          </cell>
          <cell r="J2085" t="str">
            <v>CELIO MARTINS</v>
          </cell>
          <cell r="K2085" t="str">
            <v>ITAMBÉ</v>
          </cell>
          <cell r="L2085" t="str">
            <v>RODRIGO</v>
          </cell>
          <cell r="M2085" t="str">
            <v>CELIO MARTINS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  <cell r="H2086" t="str">
            <v>INGREDIENTS</v>
          </cell>
          <cell r="I2086" t="str">
            <v>INGREDIENTS</v>
          </cell>
          <cell r="J2086" t="str">
            <v>HENRIQUE FERREIRA</v>
          </cell>
          <cell r="K2086" t="str">
            <v>ITAMBÉ</v>
          </cell>
          <cell r="L2086" t="str">
            <v>MAURICIO</v>
          </cell>
          <cell r="M2086" t="str">
            <v>JOEL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  <cell r="H2087" t="str">
            <v>DISTRIBUIÇÃO</v>
          </cell>
          <cell r="I2087" t="str">
            <v>FOOD SERVICE</v>
          </cell>
          <cell r="J2087" t="str">
            <v>FLAC 5</v>
          </cell>
          <cell r="K2087" t="str">
            <v>LACTALIS</v>
          </cell>
          <cell r="L2087" t="str">
            <v>RODRIGO</v>
          </cell>
          <cell r="M2087" t="str">
            <v>RAQUEL BARBOSA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  <cell r="H2088" t="str">
            <v>DISTRIBUIÇÃO</v>
          </cell>
          <cell r="I2088" t="str">
            <v>FOOD SERVICE</v>
          </cell>
          <cell r="J2088" t="str">
            <v>FLAC 5</v>
          </cell>
          <cell r="K2088" t="str">
            <v>LACTALIS</v>
          </cell>
          <cell r="L2088" t="str">
            <v>RODRIGO</v>
          </cell>
          <cell r="M2088" t="str">
            <v>RAQUEL BARBOSA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  <cell r="H2089" t="str">
            <v>INGREDIENTS</v>
          </cell>
          <cell r="I2089" t="str">
            <v>INGREDIENTS</v>
          </cell>
          <cell r="J2089" t="str">
            <v>MARCELO RODRIGUES</v>
          </cell>
          <cell r="K2089" t="str">
            <v>ITAMBÉ</v>
          </cell>
          <cell r="L2089" t="str">
            <v>MAURICIO</v>
          </cell>
          <cell r="M2089" t="str">
            <v>MARCELO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  <cell r="H2090" t="str">
            <v>DISTRIBUIÇÃO</v>
          </cell>
          <cell r="I2090" t="str">
            <v>FOOD SERVICE</v>
          </cell>
          <cell r="J2090" t="str">
            <v>FLAC 3</v>
          </cell>
          <cell r="K2090" t="str">
            <v>LACTALIS</v>
          </cell>
          <cell r="L2090" t="str">
            <v>RODRIGO</v>
          </cell>
          <cell r="M2090" t="str">
            <v>RAQUEL BARBOSA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  <cell r="H2091" t="str">
            <v>DISTRIBUIÇÃO</v>
          </cell>
          <cell r="I2091" t="str">
            <v>FOOD SERVICE</v>
          </cell>
          <cell r="J2091" t="str">
            <v>FLAC 2</v>
          </cell>
          <cell r="K2091" t="str">
            <v>LACTALIS</v>
          </cell>
          <cell r="L2091" t="str">
            <v>RODRIGO</v>
          </cell>
          <cell r="M2091" t="str">
            <v>RAQUEL BARBOSA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  <cell r="H2092" t="str">
            <v>DISTRIBUIÇÃO</v>
          </cell>
          <cell r="I2092" t="str">
            <v>FOOD SERVICE</v>
          </cell>
          <cell r="J2092" t="str">
            <v>FLAC 6</v>
          </cell>
          <cell r="K2092" t="str">
            <v>LACTALIS</v>
          </cell>
          <cell r="L2092" t="str">
            <v>RODRIGO</v>
          </cell>
          <cell r="M2092" t="str">
            <v>RAQUEL BARBOSA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  <cell r="H2093" t="str">
            <v>INGREDIENTS</v>
          </cell>
          <cell r="I2093" t="str">
            <v>INGREDIENTS</v>
          </cell>
          <cell r="J2093" t="str">
            <v>JOEL ELEOTÉRIO</v>
          </cell>
          <cell r="K2093" t="str">
            <v>LACTALIS</v>
          </cell>
          <cell r="L2093" t="str">
            <v>MAURICIO</v>
          </cell>
          <cell r="M2093" t="str">
            <v>JOEL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  <cell r="H2094" t="str">
            <v>INGREDIENTS</v>
          </cell>
          <cell r="I2094" t="str">
            <v>INGREDIENTS</v>
          </cell>
          <cell r="J2094" t="str">
            <v>JOEL ELEOTÉRIO</v>
          </cell>
          <cell r="K2094" t="str">
            <v>LACTALIS</v>
          </cell>
          <cell r="L2094" t="str">
            <v>MAURICIO</v>
          </cell>
          <cell r="M2094" t="str">
            <v>JOEL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  <cell r="H2095" t="str">
            <v>DISTRIBUIÇÃO</v>
          </cell>
          <cell r="I2095" t="str">
            <v>FOOD SERVICE</v>
          </cell>
          <cell r="J2095" t="str">
            <v>FLAC 5</v>
          </cell>
          <cell r="K2095" t="str">
            <v>LACTALIS</v>
          </cell>
          <cell r="L2095" t="str">
            <v>RODRIGO</v>
          </cell>
          <cell r="M2095" t="str">
            <v>RAQUEL BARBOSA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  <cell r="H2096" t="str">
            <v>DISTRIBUIÇÃO</v>
          </cell>
          <cell r="I2096" t="str">
            <v>FOOD SERVICE</v>
          </cell>
          <cell r="J2096" t="str">
            <v>FLAC 5</v>
          </cell>
          <cell r="K2096" t="str">
            <v>LACTALIS</v>
          </cell>
          <cell r="L2096" t="str">
            <v>RODRIGO</v>
          </cell>
          <cell r="M2096" t="str">
            <v>RAQUEL BARBOSA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  <cell r="H2097" t="str">
            <v>DISTRIBUIÇÃO</v>
          </cell>
          <cell r="I2097" t="str">
            <v>FOOD SERVICE</v>
          </cell>
          <cell r="J2097" t="str">
            <v>CLAUDIO JORGE/LUIZ</v>
          </cell>
          <cell r="K2097" t="str">
            <v>ITAMBÉ</v>
          </cell>
          <cell r="L2097" t="str">
            <v>RODRIGO</v>
          </cell>
          <cell r="M2097" t="str">
            <v>MARIA LOURDES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  <cell r="H2098" t="str">
            <v>DISTRIBUIÇÃO</v>
          </cell>
          <cell r="I2098" t="str">
            <v>FOOD SERVICE</v>
          </cell>
          <cell r="J2098" t="str">
            <v>LUCIANA MARTINS</v>
          </cell>
          <cell r="K2098" t="str">
            <v>ITAMBÉ</v>
          </cell>
          <cell r="L2098" t="str">
            <v>RODRIGO</v>
          </cell>
          <cell r="M2098" t="str">
            <v>JESSICA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  <cell r="H2099" t="str">
            <v>DISTRIBUIÇÃO</v>
          </cell>
          <cell r="I2099" t="str">
            <v>FOOD SERVICE</v>
          </cell>
          <cell r="J2099" t="str">
            <v>CLAUDIO JORGE/LUIZ</v>
          </cell>
          <cell r="K2099" t="str">
            <v>ITAMBÉ</v>
          </cell>
          <cell r="L2099" t="str">
            <v>RODRIGO</v>
          </cell>
          <cell r="M2099" t="str">
            <v>MARIA LOURDES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  <cell r="H2100" t="str">
            <v>DISTRIBUIÇÃO</v>
          </cell>
          <cell r="I2100" t="str">
            <v>FOOD SERVICE</v>
          </cell>
          <cell r="J2100" t="str">
            <v>FLAC 6</v>
          </cell>
          <cell r="K2100" t="str">
            <v>LACTALIS</v>
          </cell>
          <cell r="L2100" t="str">
            <v>RODRIGO</v>
          </cell>
          <cell r="M2100" t="str">
            <v>RAQUEL BARBOSA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  <cell r="H2101" t="str">
            <v>DISTRIBUIÇÃO</v>
          </cell>
          <cell r="I2101" t="str">
            <v>FOOD SERVICE</v>
          </cell>
          <cell r="J2101" t="str">
            <v>FLAC 5</v>
          </cell>
          <cell r="K2101" t="str">
            <v>LACTALIS</v>
          </cell>
          <cell r="L2101" t="str">
            <v>RODRIGO</v>
          </cell>
          <cell r="M2101" t="str">
            <v>RAQUEL BARBOSA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  <cell r="H2102" t="str">
            <v>DISTRIBUIÇÃO</v>
          </cell>
          <cell r="I2102" t="str">
            <v>FOOD SERVICE</v>
          </cell>
          <cell r="J2102" t="str">
            <v>FLAC 6</v>
          </cell>
          <cell r="K2102" t="str">
            <v>LACTALIS</v>
          </cell>
          <cell r="L2102" t="str">
            <v>RODRIGO</v>
          </cell>
          <cell r="M2102" t="str">
            <v>RAQUEL BARBOSA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  <cell r="H2103" t="str">
            <v>DISTRIBUIÇÃO</v>
          </cell>
          <cell r="I2103" t="str">
            <v>FOOD SERVICE</v>
          </cell>
          <cell r="J2103" t="str">
            <v>CLAUDIO JORGE/LUIZ</v>
          </cell>
          <cell r="K2103" t="str">
            <v>ITAMBÉ</v>
          </cell>
          <cell r="L2103" t="str">
            <v>RODRIGO</v>
          </cell>
          <cell r="M2103" t="str">
            <v>MARIA LOURDES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  <cell r="H2104" t="str">
            <v>DISTRIBUIÇÃO</v>
          </cell>
          <cell r="I2104" t="str">
            <v>FOOD SERVICE</v>
          </cell>
          <cell r="J2104" t="str">
            <v>FLAC 2</v>
          </cell>
          <cell r="K2104" t="str">
            <v>LACTALIS</v>
          </cell>
          <cell r="L2104" t="str">
            <v>RODRIGO</v>
          </cell>
          <cell r="M2104" t="str">
            <v>RAQUEL BARBOSA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  <cell r="H2105" t="str">
            <v>DISTRIBUIÇÃO</v>
          </cell>
          <cell r="I2105" t="str">
            <v>FOOD SERVICE</v>
          </cell>
          <cell r="J2105" t="str">
            <v>FLAC 5</v>
          </cell>
          <cell r="K2105" t="str">
            <v>LACTALIS</v>
          </cell>
          <cell r="L2105" t="str">
            <v>RODRIGO</v>
          </cell>
          <cell r="M2105" t="str">
            <v>RAQUEL BARBOSA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  <cell r="H2106" t="str">
            <v>QSR</v>
          </cell>
          <cell r="I2106" t="str">
            <v>FOOD SERVICE</v>
          </cell>
          <cell r="J2106" t="str">
            <v>NUTRI</v>
          </cell>
          <cell r="K2106" t="str">
            <v>ITAMBÉ</v>
          </cell>
          <cell r="L2106" t="str">
            <v>PEDRO</v>
          </cell>
          <cell r="M2106" t="str">
            <v>VAGO QSR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  <cell r="H2107" t="str">
            <v>DISTRIBUIÇÃO</v>
          </cell>
          <cell r="I2107" t="str">
            <v>FOOD SERVICE</v>
          </cell>
          <cell r="J2107" t="str">
            <v>JESSICA CARLA</v>
          </cell>
          <cell r="K2107" t="str">
            <v>ITAMBÉ</v>
          </cell>
          <cell r="L2107" t="str">
            <v>RODRIGO</v>
          </cell>
          <cell r="M2107" t="str">
            <v>JESSICA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  <cell r="H2108" t="str">
            <v>DISTRIBUIÇÃO</v>
          </cell>
          <cell r="I2108" t="str">
            <v>FOOD SERVICE</v>
          </cell>
          <cell r="J2108" t="str">
            <v>CLAUDIO JORGE</v>
          </cell>
          <cell r="K2108" t="str">
            <v>ITAMBÉ</v>
          </cell>
          <cell r="L2108" t="str">
            <v>RODRIGO</v>
          </cell>
          <cell r="M2108" t="str">
            <v>JESSICA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  <cell r="H2109" t="str">
            <v>DISTRIBUIÇÃO</v>
          </cell>
          <cell r="I2109" t="str">
            <v>FOOD SERVICE</v>
          </cell>
          <cell r="J2109" t="str">
            <v>JESSICA CARLA</v>
          </cell>
          <cell r="K2109" t="str">
            <v>ITAMBÉ</v>
          </cell>
          <cell r="L2109" t="str">
            <v>RODRIGO</v>
          </cell>
          <cell r="M2109" t="str">
            <v>JESSICA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  <cell r="H2110" t="str">
            <v>DISTRIBUIÇÃO</v>
          </cell>
          <cell r="I2110" t="str">
            <v>FOOD SERVICE</v>
          </cell>
          <cell r="J2110" t="str">
            <v>MARCO AURELIO/MARIA LAURA</v>
          </cell>
          <cell r="K2110" t="str">
            <v>ITAMBÉ</v>
          </cell>
          <cell r="L2110" t="str">
            <v>RODRIGO</v>
          </cell>
          <cell r="M2110" t="str">
            <v>MARCO AURELIO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  <cell r="H2111" t="str">
            <v>INGREDIENTS</v>
          </cell>
          <cell r="I2111" t="str">
            <v>INGREDIENTS</v>
          </cell>
          <cell r="J2111" t="str">
            <v>TATIANA NITTA</v>
          </cell>
          <cell r="K2111" t="str">
            <v>ITAMBÉ</v>
          </cell>
          <cell r="L2111" t="str">
            <v>MAURICIO</v>
          </cell>
          <cell r="M2111" t="str">
            <v>TATIANA NITTA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  <cell r="H2112" t="str">
            <v>INGREDIENTS</v>
          </cell>
          <cell r="I2112" t="str">
            <v>INGREDIENTS</v>
          </cell>
          <cell r="J2112" t="str">
            <v>TATIANA NITTA</v>
          </cell>
          <cell r="K2112" t="str">
            <v>ITAMBÉ</v>
          </cell>
          <cell r="L2112" t="str">
            <v>MAURICIO</v>
          </cell>
          <cell r="M2112" t="str">
            <v>TATIANA NITTA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  <cell r="H2113" t="str">
            <v>INGREDIENTS</v>
          </cell>
          <cell r="I2113" t="str">
            <v>INGREDIENTS</v>
          </cell>
          <cell r="J2113" t="str">
            <v>TATIANA NITTA</v>
          </cell>
          <cell r="K2113" t="str">
            <v>ITAMBÉ</v>
          </cell>
          <cell r="L2113" t="str">
            <v>MAURICIO</v>
          </cell>
          <cell r="M2113" t="str">
            <v>TATIANA NITTA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  <cell r="H2114" t="str">
            <v>DISTRIBUIÇÃO</v>
          </cell>
          <cell r="I2114" t="str">
            <v>FOOD SERVICE</v>
          </cell>
          <cell r="J2114" t="str">
            <v>JESSICA CARLA</v>
          </cell>
          <cell r="K2114" t="str">
            <v>ITAMBÉ</v>
          </cell>
          <cell r="L2114" t="str">
            <v>RODRIGO</v>
          </cell>
          <cell r="M2114" t="str">
            <v>JESSICA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  <cell r="H2115" t="str">
            <v>INGREDIENTS</v>
          </cell>
          <cell r="I2115" t="str">
            <v>INGREDIENTS</v>
          </cell>
          <cell r="J2115" t="str">
            <v>HENRIQUE FERREIRA</v>
          </cell>
          <cell r="K2115" t="str">
            <v>ITAMBÉ</v>
          </cell>
          <cell r="L2115" t="str">
            <v>MAURICIO</v>
          </cell>
          <cell r="M2115" t="str">
            <v>JOEL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  <cell r="H2116" t="str">
            <v>DISTRIBUIÇÃO</v>
          </cell>
          <cell r="I2116" t="str">
            <v>FOOD SERVICE</v>
          </cell>
          <cell r="J2116" t="str">
            <v>WH FOOD SERVICE CE</v>
          </cell>
          <cell r="K2116" t="str">
            <v>ITAMBÉ</v>
          </cell>
          <cell r="L2116" t="str">
            <v>RODRIGO</v>
          </cell>
          <cell r="M2116" t="str">
            <v>MARIA LOURDES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  <cell r="H2117" t="str">
            <v>INGREDIENTS</v>
          </cell>
          <cell r="I2117" t="str">
            <v>INGREDIENTS</v>
          </cell>
          <cell r="J2117" t="str">
            <v>JOEL ELEOTÉRIO</v>
          </cell>
          <cell r="K2117" t="str">
            <v>ITAMBÉ</v>
          </cell>
          <cell r="L2117" t="str">
            <v>MAURICIO</v>
          </cell>
          <cell r="M2117" t="str">
            <v>JOEL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  <cell r="H2118" t="str">
            <v>INGREDIENTS</v>
          </cell>
          <cell r="I2118" t="str">
            <v>INGREDIENTS</v>
          </cell>
          <cell r="J2118" t="str">
            <v>TATIANA NITTA</v>
          </cell>
          <cell r="K2118" t="str">
            <v>ITAMBÉ</v>
          </cell>
          <cell r="L2118" t="str">
            <v>MAURICIO</v>
          </cell>
          <cell r="M2118" t="str">
            <v>TATIANA NITTA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  <cell r="H2119" t="str">
            <v>DISTRIBUIÇÃO</v>
          </cell>
          <cell r="I2119" t="str">
            <v>FOOD SERVICE</v>
          </cell>
          <cell r="J2119" t="str">
            <v>MARCO AURELIO</v>
          </cell>
          <cell r="K2119" t="str">
            <v>ITAMBÉ</v>
          </cell>
          <cell r="L2119" t="str">
            <v>RODRIGO</v>
          </cell>
          <cell r="M2119" t="str">
            <v>MARCO AURELIO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  <cell r="H2120" t="str">
            <v>INGREDIENTS</v>
          </cell>
          <cell r="I2120" t="str">
            <v>INGREDIENTS</v>
          </cell>
          <cell r="J2120" t="str">
            <v>TATIANA NITTA</v>
          </cell>
          <cell r="K2120" t="str">
            <v>ITAMBÉ</v>
          </cell>
          <cell r="L2120" t="str">
            <v>MAURICIO</v>
          </cell>
          <cell r="M2120" t="str">
            <v>TATIANA NITTA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  <cell r="H2121" t="str">
            <v>DISTRIBUIÇÃO</v>
          </cell>
          <cell r="I2121" t="str">
            <v>FOOD SERVICE</v>
          </cell>
          <cell r="J2121" t="str">
            <v>LUCIANA MARTINS</v>
          </cell>
          <cell r="K2121" t="str">
            <v>ITAMBÉ</v>
          </cell>
          <cell r="L2121" t="str">
            <v>RODRIGO</v>
          </cell>
          <cell r="M2121" t="str">
            <v>JESSICA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  <cell r="H2122" t="str">
            <v>INGREDIENTS</v>
          </cell>
          <cell r="I2122" t="str">
            <v>INGREDIENTS</v>
          </cell>
          <cell r="J2122" t="str">
            <v>MARCELO RODRIGUES</v>
          </cell>
          <cell r="K2122" t="str">
            <v>ITAMBÉ</v>
          </cell>
          <cell r="L2122" t="str">
            <v>MAURICIO</v>
          </cell>
          <cell r="M2122" t="str">
            <v>MARCELO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  <cell r="H2123" t="str">
            <v>DISTRIBUIÇÃO</v>
          </cell>
          <cell r="I2123" t="str">
            <v>FOOD SERVICE</v>
          </cell>
          <cell r="J2123" t="str">
            <v>LUCIANA MARTINS</v>
          </cell>
          <cell r="K2123" t="str">
            <v>ITAMBÉ</v>
          </cell>
          <cell r="L2123" t="str">
            <v>RODRIGO</v>
          </cell>
          <cell r="M2123" t="str">
            <v>JESSICA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  <cell r="H2124" t="str">
            <v>INGREDIENTS</v>
          </cell>
          <cell r="I2124" t="str">
            <v>INGREDIENTS</v>
          </cell>
          <cell r="J2124" t="str">
            <v>HENRIQUE FERREIRA</v>
          </cell>
          <cell r="K2124" t="str">
            <v>ITAMBÉ</v>
          </cell>
          <cell r="L2124" t="str">
            <v>MAURICIO</v>
          </cell>
          <cell r="M2124" t="str">
            <v>JOEL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  <cell r="H2125" t="str">
            <v>DISTRIBUIÇÃO</v>
          </cell>
          <cell r="I2125" t="str">
            <v>FOOD SERVICE</v>
          </cell>
          <cell r="J2125" t="str">
            <v>FLAC 2</v>
          </cell>
          <cell r="K2125" t="str">
            <v>LACTALIS</v>
          </cell>
          <cell r="L2125" t="str">
            <v>RODRIGO</v>
          </cell>
          <cell r="M2125" t="str">
            <v>RAQUEL BARBOSA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  <cell r="H2126" t="str">
            <v>DISTRIBUIÇÃO</v>
          </cell>
          <cell r="I2126" t="str">
            <v>FOOD SERVICE</v>
          </cell>
          <cell r="J2126" t="str">
            <v>FLAC 2</v>
          </cell>
          <cell r="K2126" t="str">
            <v>LACTALIS</v>
          </cell>
          <cell r="L2126" t="str">
            <v>RODRIGO</v>
          </cell>
          <cell r="M2126" t="str">
            <v>RAQUEL BARBOSA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  <cell r="H2127" t="str">
            <v>DISTRIBUIÇÃO</v>
          </cell>
          <cell r="I2127" t="str">
            <v>FOOD SERVICE</v>
          </cell>
          <cell r="J2127" t="str">
            <v>WH FOOD SERVICE CE</v>
          </cell>
          <cell r="K2127" t="str">
            <v>ITAMBÉ</v>
          </cell>
          <cell r="L2127" t="str">
            <v>RODRIGO</v>
          </cell>
          <cell r="M2127" t="str">
            <v>MARIA LOURDES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  <cell r="H2128" t="str">
            <v>QSR</v>
          </cell>
          <cell r="I2128" t="str">
            <v>FOOD SERVICE</v>
          </cell>
          <cell r="J2128" t="str">
            <v>VAGO QSR</v>
          </cell>
          <cell r="K2128" t="str">
            <v>ITAMBÉ</v>
          </cell>
          <cell r="L2128" t="str">
            <v>PEDRO</v>
          </cell>
          <cell r="M2128" t="str">
            <v>VAGO QSR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  <cell r="H2129" t="str">
            <v>INGREDIENTS</v>
          </cell>
          <cell r="I2129" t="str">
            <v>INGREDIENTS</v>
          </cell>
          <cell r="J2129" t="str">
            <v>HENRIQUE FERREIRA</v>
          </cell>
          <cell r="K2129" t="str">
            <v>ITAMBÉ</v>
          </cell>
          <cell r="L2129" t="str">
            <v>MAURICIO</v>
          </cell>
          <cell r="M2129" t="str">
            <v>JOEL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  <cell r="H2130" t="str">
            <v>DISTRIBUIÇÃO</v>
          </cell>
          <cell r="I2130" t="str">
            <v>FOOD SERVICE</v>
          </cell>
          <cell r="J2130" t="str">
            <v>FLAC 7</v>
          </cell>
          <cell r="K2130" t="str">
            <v>LACTALIS</v>
          </cell>
          <cell r="L2130" t="str">
            <v>RODRIGO</v>
          </cell>
          <cell r="M2130" t="str">
            <v>RAQUEL BARBOSA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  <cell r="H2131" t="str">
            <v>QSR</v>
          </cell>
          <cell r="I2131" t="str">
            <v>FOOD SERVICE</v>
          </cell>
          <cell r="J2131" t="str">
            <v>VAGO QSR</v>
          </cell>
          <cell r="K2131" t="str">
            <v>LACTALIS</v>
          </cell>
          <cell r="L2131" t="str">
            <v>PEDRO</v>
          </cell>
          <cell r="M2131" t="str">
            <v>VAGO QSR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  <cell r="H2132" t="str">
            <v>DISTRIBUIÇÃO</v>
          </cell>
          <cell r="I2132" t="str">
            <v>FOOD SERVICE</v>
          </cell>
          <cell r="J2132" t="str">
            <v>FLAC 6</v>
          </cell>
          <cell r="K2132" t="str">
            <v>LACTALIS</v>
          </cell>
          <cell r="L2132" t="str">
            <v>RODRIGO</v>
          </cell>
          <cell r="M2132" t="str">
            <v>RAQUEL BARBOSA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  <cell r="H2133" t="str">
            <v>DISTRIBUIÇÃO</v>
          </cell>
          <cell r="I2133" t="str">
            <v>FOOD SERVICE</v>
          </cell>
          <cell r="J2133" t="str">
            <v>FLAC 6</v>
          </cell>
          <cell r="K2133" t="str">
            <v>LACTALIS</v>
          </cell>
          <cell r="L2133" t="str">
            <v>RODRIGO</v>
          </cell>
          <cell r="M2133" t="str">
            <v>RAQUEL BARBOSA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  <cell r="H2134" t="str">
            <v>DISTRIBUIÇÃO</v>
          </cell>
          <cell r="I2134" t="str">
            <v>FOOD SERVICE</v>
          </cell>
          <cell r="J2134" t="str">
            <v>FLAC 1</v>
          </cell>
          <cell r="K2134" t="str">
            <v>LACTALIS</v>
          </cell>
          <cell r="L2134" t="str">
            <v>RODRIGO</v>
          </cell>
          <cell r="M2134" t="str">
            <v>RAQUEL BARBOSA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  <cell r="H2135" t="str">
            <v>DISTRIBUIÇÃO</v>
          </cell>
          <cell r="I2135" t="str">
            <v>FOOD SERVICE</v>
          </cell>
          <cell r="J2135" t="str">
            <v>ANGELICA BATISTELA</v>
          </cell>
          <cell r="K2135" t="str">
            <v>ITAMBÉ</v>
          </cell>
          <cell r="L2135" t="str">
            <v>RODRIGO</v>
          </cell>
          <cell r="M2135" t="str">
            <v>ANGELICA BATISTELA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  <cell r="H2136" t="str">
            <v>INGREDIENTS</v>
          </cell>
          <cell r="I2136" t="str">
            <v>INGREDIENTS</v>
          </cell>
          <cell r="J2136" t="str">
            <v>MARCELO RODRIGUES</v>
          </cell>
          <cell r="K2136" t="str">
            <v>ITAMBÉ</v>
          </cell>
          <cell r="L2136" t="str">
            <v>MAURICIO</v>
          </cell>
          <cell r="M2136" t="str">
            <v>MARCELO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  <cell r="H2137" t="str">
            <v>DISTRIBUIÇÃO</v>
          </cell>
          <cell r="I2137" t="str">
            <v>FOOD SERVICE</v>
          </cell>
          <cell r="J2137" t="str">
            <v>ANGELICA BATISTELA</v>
          </cell>
          <cell r="K2137" t="str">
            <v>LACTALIS</v>
          </cell>
          <cell r="L2137" t="str">
            <v>RODRIGO</v>
          </cell>
          <cell r="M2137" t="str">
            <v>ANGELICA BATISTELA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  <cell r="H2138" t="str">
            <v>DISTRIBUIÇÃO</v>
          </cell>
          <cell r="I2138" t="str">
            <v>FOOD SERVICE</v>
          </cell>
          <cell r="J2138" t="str">
            <v>FLAC 5</v>
          </cell>
          <cell r="K2138" t="str">
            <v>LACTALIS</v>
          </cell>
          <cell r="L2138" t="str">
            <v>RODRIGO</v>
          </cell>
          <cell r="M2138" t="str">
            <v>RAQUEL BARBOSA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  <cell r="H2139" t="str">
            <v>DISTRIBUIÇÃO</v>
          </cell>
          <cell r="I2139" t="str">
            <v>FOOD SERVICE</v>
          </cell>
          <cell r="J2139" t="str">
            <v>FLAC 5</v>
          </cell>
          <cell r="K2139" t="str">
            <v>LACTALIS</v>
          </cell>
          <cell r="L2139" t="str">
            <v>RODRIGO</v>
          </cell>
          <cell r="M2139" t="str">
            <v>RAQUEL BARBOSA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  <cell r="H2140" t="str">
            <v>DISTRIBUIÇÃO</v>
          </cell>
          <cell r="I2140" t="str">
            <v>FOOD SERVICE</v>
          </cell>
          <cell r="J2140" t="str">
            <v>FLAC 5</v>
          </cell>
          <cell r="K2140" t="str">
            <v>LACTALIS</v>
          </cell>
          <cell r="L2140" t="str">
            <v>RODRIGO</v>
          </cell>
          <cell r="M2140" t="str">
            <v>RAQUEL BARBOSA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  <cell r="H2141" t="str">
            <v>DISTRIBUIÇÃO</v>
          </cell>
          <cell r="I2141" t="str">
            <v>FOOD SERVICE</v>
          </cell>
          <cell r="J2141" t="str">
            <v>CELIO MARTINS</v>
          </cell>
          <cell r="K2141" t="str">
            <v>ITAMBÉ</v>
          </cell>
          <cell r="L2141" t="str">
            <v>RODRIGO</v>
          </cell>
          <cell r="M2141" t="str">
            <v>CELIO MARTINS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  <cell r="H2142" t="str">
            <v>DISTRIBUIÇÃO</v>
          </cell>
          <cell r="I2142" t="str">
            <v>FOOD SERVICE</v>
          </cell>
          <cell r="J2142" t="str">
            <v>CLAUDIO JORGE/LUIZ</v>
          </cell>
          <cell r="K2142" t="str">
            <v>ITAMBÉ</v>
          </cell>
          <cell r="L2142" t="str">
            <v>RODRIGO</v>
          </cell>
          <cell r="M2142" t="str">
            <v>MARIA LOURDES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  <cell r="H2143" t="str">
            <v>DISTRIBUIÇÃO</v>
          </cell>
          <cell r="I2143" t="str">
            <v>FOOD SERVICE</v>
          </cell>
          <cell r="J2143" t="str">
            <v>CLAUDIO JORGE/LUIZ</v>
          </cell>
          <cell r="K2143" t="str">
            <v>ITAMBÉ</v>
          </cell>
          <cell r="L2143" t="str">
            <v>RODRIGO</v>
          </cell>
          <cell r="M2143" t="str">
            <v>MARIA LOURDES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  <cell r="H2144" t="str">
            <v>DISTRIBUIÇÃO</v>
          </cell>
          <cell r="I2144" t="str">
            <v>FOOD SERVICE</v>
          </cell>
          <cell r="J2144" t="str">
            <v>FLAC 3</v>
          </cell>
          <cell r="K2144" t="str">
            <v>LACTALIS</v>
          </cell>
          <cell r="L2144" t="str">
            <v>RODRIGO</v>
          </cell>
          <cell r="M2144" t="str">
            <v>RAQUEL BARBOSA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  <cell r="H2145" t="str">
            <v>DISTRIBUIÇÃO</v>
          </cell>
          <cell r="I2145" t="str">
            <v>FOOD SERVICE</v>
          </cell>
          <cell r="J2145" t="str">
            <v>FLAC 6</v>
          </cell>
          <cell r="K2145" t="str">
            <v>LACTALIS</v>
          </cell>
          <cell r="L2145" t="str">
            <v>RODRIGO</v>
          </cell>
          <cell r="M2145" t="str">
            <v>RAQUEL BARBOSA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  <cell r="H2146" t="str">
            <v>DISTRIBUIÇÃO</v>
          </cell>
          <cell r="I2146" t="str">
            <v>FOOD SERVICE</v>
          </cell>
          <cell r="J2146" t="str">
            <v>CLAUDIO JORGE</v>
          </cell>
          <cell r="K2146" t="str">
            <v>ITAMBÉ</v>
          </cell>
          <cell r="L2146" t="str">
            <v>RODRIGO</v>
          </cell>
          <cell r="M2146" t="str">
            <v>MARIA LOURDES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  <cell r="H2147" t="str">
            <v>INGREDIENTS</v>
          </cell>
          <cell r="I2147" t="str">
            <v>INGREDIENTS</v>
          </cell>
          <cell r="J2147" t="str">
            <v>HENRIQUE FERREIRA</v>
          </cell>
          <cell r="K2147" t="str">
            <v>ITAMBÉ</v>
          </cell>
          <cell r="L2147" t="str">
            <v>MAURICIO</v>
          </cell>
          <cell r="M2147" t="str">
            <v>JOEL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  <cell r="H2148" t="str">
            <v>DISTRIBUIÇÃO</v>
          </cell>
          <cell r="I2148" t="str">
            <v>FOOD SERVICE</v>
          </cell>
          <cell r="J2148" t="str">
            <v>FLAC 8</v>
          </cell>
          <cell r="K2148" t="str">
            <v>LACTALIS</v>
          </cell>
          <cell r="L2148" t="str">
            <v>RODRIGO</v>
          </cell>
          <cell r="M2148" t="str">
            <v>RAQUEL BARBOSA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  <cell r="H2149" t="str">
            <v>DISTRIBUIÇÃO</v>
          </cell>
          <cell r="I2149" t="str">
            <v>FOOD SERVICE</v>
          </cell>
          <cell r="J2149" t="str">
            <v>FLAC 2</v>
          </cell>
          <cell r="K2149" t="str">
            <v>LACTALIS</v>
          </cell>
          <cell r="L2149" t="str">
            <v>RODRIGO</v>
          </cell>
          <cell r="M2149" t="str">
            <v>RAQUEL BARBOSA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  <cell r="H2150" t="str">
            <v>DISTRIBUIÇÃO</v>
          </cell>
          <cell r="I2150" t="str">
            <v>FOOD SERVICE</v>
          </cell>
          <cell r="J2150" t="str">
            <v>ANGELICA BATISTELA</v>
          </cell>
          <cell r="K2150" t="str">
            <v>ITAMBÉ</v>
          </cell>
          <cell r="L2150" t="str">
            <v>RODRIGO</v>
          </cell>
          <cell r="M2150" t="str">
            <v>ANGELICA BATISTELA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  <cell r="H2151" t="str">
            <v>INGREDIENTS</v>
          </cell>
          <cell r="I2151" t="str">
            <v>INGREDIENTS</v>
          </cell>
          <cell r="J2151" t="str">
            <v>DUAS RODAS</v>
          </cell>
          <cell r="K2151" t="str">
            <v>ITAMBÉ</v>
          </cell>
          <cell r="L2151" t="str">
            <v>MAURICIO</v>
          </cell>
          <cell r="M2151" t="str">
            <v>TATIANA NITTA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  <cell r="H2152" t="str">
            <v>DISTRIBUIÇÃO</v>
          </cell>
          <cell r="I2152" t="str">
            <v>FOOD SERVICE</v>
          </cell>
          <cell r="J2152" t="str">
            <v>FLAC 3</v>
          </cell>
          <cell r="K2152" t="str">
            <v>LACTALIS</v>
          </cell>
          <cell r="L2152" t="str">
            <v>RODRIGO</v>
          </cell>
          <cell r="M2152" t="str">
            <v>RAQUEL BARBOSA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  <cell r="H2153" t="str">
            <v>DISTRIBUIÇÃO</v>
          </cell>
          <cell r="I2153" t="str">
            <v>FOOD SERVICE</v>
          </cell>
          <cell r="J2153" t="str">
            <v>ALEXANDRE BONANI</v>
          </cell>
          <cell r="K2153" t="str">
            <v>LACTALIS</v>
          </cell>
          <cell r="L2153" t="str">
            <v>RODRIGO</v>
          </cell>
          <cell r="M2153" t="str">
            <v>ALEXANDRE BONANI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  <cell r="H2154" t="str">
            <v>INGREDIENTS</v>
          </cell>
          <cell r="I2154" t="str">
            <v>INGREDIENTS</v>
          </cell>
          <cell r="J2154" t="str">
            <v>JOEL ELEOTÉRIO</v>
          </cell>
          <cell r="K2154" t="str">
            <v>LACTALIS</v>
          </cell>
          <cell r="L2154" t="str">
            <v>MAURICIO</v>
          </cell>
          <cell r="M2154" t="str">
            <v>JOEL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  <cell r="H2155" t="str">
            <v>DISTRIBUIÇÃO</v>
          </cell>
          <cell r="I2155" t="str">
            <v>FOOD SERVICE</v>
          </cell>
          <cell r="J2155" t="str">
            <v>FLAC 3</v>
          </cell>
          <cell r="K2155" t="str">
            <v>LACTALIS</v>
          </cell>
          <cell r="L2155" t="str">
            <v>RODRIGO</v>
          </cell>
          <cell r="M2155" t="str">
            <v>RAQUEL BARBOSA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  <cell r="H2156" t="str">
            <v>DISTRIBUIÇÃO</v>
          </cell>
          <cell r="I2156" t="str">
            <v>FOOD SERVICE</v>
          </cell>
          <cell r="J2156" t="str">
            <v>FLAC 1</v>
          </cell>
          <cell r="K2156" t="str">
            <v>LACTALIS</v>
          </cell>
          <cell r="L2156" t="str">
            <v>RODRIGO</v>
          </cell>
          <cell r="M2156" t="str">
            <v>RAQUEL BARBOSA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  <cell r="H2157" t="str">
            <v>DISTRIBUIÇÃO</v>
          </cell>
          <cell r="I2157" t="str">
            <v>FOOD SERVICE</v>
          </cell>
          <cell r="J2157" t="str">
            <v>FLAC 5</v>
          </cell>
          <cell r="K2157" t="str">
            <v>LACTALIS</v>
          </cell>
          <cell r="L2157" t="str">
            <v>RODRIGO</v>
          </cell>
          <cell r="M2157" t="str">
            <v>RAQUEL BARBOSA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  <cell r="H2158" t="str">
            <v>DISTRIBUIÇÃO</v>
          </cell>
          <cell r="I2158" t="str">
            <v>FOOD SERVICE</v>
          </cell>
          <cell r="J2158" t="str">
            <v>CLAUDIO JORGE/LUIZ</v>
          </cell>
          <cell r="K2158" t="str">
            <v>ITAMBÉ</v>
          </cell>
          <cell r="L2158" t="str">
            <v>RODRIGO</v>
          </cell>
          <cell r="M2158" t="str">
            <v>MARIA LOURDES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  <cell r="H2159" t="str">
            <v>INGREDIENTS</v>
          </cell>
          <cell r="I2159" t="str">
            <v>INGREDIENTS</v>
          </cell>
          <cell r="J2159" t="str">
            <v>HENRIQUE FERREIRA</v>
          </cell>
          <cell r="K2159" t="str">
            <v>ITAMBÉ</v>
          </cell>
          <cell r="L2159" t="str">
            <v>MAURICIO</v>
          </cell>
          <cell r="M2159" t="str">
            <v>JOEL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  <cell r="H2160" t="str">
            <v>INGREDIENTS</v>
          </cell>
          <cell r="I2160" t="str">
            <v>INGREDIENTS</v>
          </cell>
          <cell r="J2160" t="str">
            <v>SP ITB FS LUIZ PEREIRA</v>
          </cell>
          <cell r="K2160" t="str">
            <v>ITAMBÉ</v>
          </cell>
          <cell r="L2160" t="str">
            <v>MAURICIO</v>
          </cell>
          <cell r="M2160" t="str">
            <v>TATIANA NITTA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  <cell r="H2161" t="str">
            <v>DISTRIBUIÇÃO</v>
          </cell>
          <cell r="I2161" t="str">
            <v>FOOD SERVICE</v>
          </cell>
          <cell r="J2161" t="str">
            <v>FLAC 2</v>
          </cell>
          <cell r="K2161" t="str">
            <v>LACTALIS</v>
          </cell>
          <cell r="L2161" t="str">
            <v>RODRIGO</v>
          </cell>
          <cell r="M2161" t="str">
            <v>RAQUEL BARBOSA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  <cell r="H2162" t="str">
            <v>DISTRIBUIÇÃO</v>
          </cell>
          <cell r="I2162" t="str">
            <v>FOOD SERVICE</v>
          </cell>
          <cell r="J2162" t="str">
            <v>FLAC 2</v>
          </cell>
          <cell r="K2162" t="str">
            <v>LACTALIS</v>
          </cell>
          <cell r="L2162" t="str">
            <v>RODRIGO</v>
          </cell>
          <cell r="M2162" t="str">
            <v>RAQUEL BARBOSA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  <cell r="H2163" t="str">
            <v>DISTRIBUIÇÃO</v>
          </cell>
          <cell r="I2163" t="str">
            <v>FOOD SERVICE</v>
          </cell>
          <cell r="J2163" t="str">
            <v>FLAC 2</v>
          </cell>
          <cell r="K2163" t="str">
            <v>LACTALIS</v>
          </cell>
          <cell r="L2163" t="str">
            <v>RODRIGO</v>
          </cell>
          <cell r="M2163" t="str">
            <v>RAQUEL BARBOSA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  <cell r="H2164" t="str">
            <v>DISTRIBUIÇÃO</v>
          </cell>
          <cell r="I2164" t="str">
            <v>FOOD SERVICE</v>
          </cell>
          <cell r="J2164" t="str">
            <v>FLAC 2</v>
          </cell>
          <cell r="K2164" t="str">
            <v>LACTALIS</v>
          </cell>
          <cell r="L2164" t="str">
            <v>RODRIGO</v>
          </cell>
          <cell r="M2164" t="str">
            <v>RAQUEL BARBOSA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  <cell r="H2165" t="str">
            <v>DISTRIBUIÇÃO</v>
          </cell>
          <cell r="I2165" t="str">
            <v>FOOD SERVICE</v>
          </cell>
          <cell r="J2165" t="str">
            <v>FLAC 2</v>
          </cell>
          <cell r="K2165" t="str">
            <v>LACTALIS</v>
          </cell>
          <cell r="L2165" t="str">
            <v>RODRIGO</v>
          </cell>
          <cell r="M2165" t="str">
            <v>RAQUEL BARBOSA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  <cell r="H2166" t="str">
            <v>DISTRIBUIÇÃO</v>
          </cell>
          <cell r="I2166" t="str">
            <v>FOOD SERVICE</v>
          </cell>
          <cell r="J2166" t="str">
            <v>FLAC 2</v>
          </cell>
          <cell r="K2166" t="str">
            <v>LACTALIS</v>
          </cell>
          <cell r="L2166" t="str">
            <v>RODRIGO</v>
          </cell>
          <cell r="M2166" t="str">
            <v>RAQUEL BARBOSA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  <cell r="H2167" t="str">
            <v>DISTRIBUIÇÃO</v>
          </cell>
          <cell r="I2167" t="str">
            <v>FOOD SERVICE</v>
          </cell>
          <cell r="J2167" t="str">
            <v>FLAC 2</v>
          </cell>
          <cell r="K2167" t="str">
            <v>LACTALIS</v>
          </cell>
          <cell r="L2167" t="str">
            <v>RODRIGO</v>
          </cell>
          <cell r="M2167" t="str">
            <v>RAQUEL BARBOSA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  <cell r="H2168" t="str">
            <v>DISTRIBUIÇÃO</v>
          </cell>
          <cell r="I2168" t="str">
            <v>FOOD SERVICE</v>
          </cell>
          <cell r="J2168" t="str">
            <v>ANGELICA BATISTELA</v>
          </cell>
          <cell r="K2168" t="str">
            <v>ITAMBÉ</v>
          </cell>
          <cell r="L2168" t="str">
            <v>RODRIGO</v>
          </cell>
          <cell r="M2168" t="str">
            <v>ANGELICA BATISTELA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  <cell r="H2169" t="str">
            <v>INGREDIENTS</v>
          </cell>
          <cell r="I2169" t="str">
            <v>INGREDIENTS</v>
          </cell>
          <cell r="J2169" t="str">
            <v>JOEL ELEOTÉRIO</v>
          </cell>
          <cell r="K2169" t="str">
            <v>ITAMBÉ</v>
          </cell>
          <cell r="L2169" t="str">
            <v>MAURICIO</v>
          </cell>
          <cell r="M2169" t="str">
            <v>JOEL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  <cell r="H2170" t="str">
            <v>DISTRIBUIÇÃO</v>
          </cell>
          <cell r="I2170" t="str">
            <v>FOOD SERVICE</v>
          </cell>
          <cell r="J2170" t="str">
            <v>WH FOOD SERVICE CE</v>
          </cell>
          <cell r="K2170" t="str">
            <v>ITAMBÉ</v>
          </cell>
          <cell r="L2170" t="str">
            <v>RODRIGO</v>
          </cell>
          <cell r="M2170" t="str">
            <v>MARIA LOURDES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  <cell r="H2171" t="str">
            <v>DISTRIBUIÇÃO</v>
          </cell>
          <cell r="I2171" t="str">
            <v>FOOD SERVICE</v>
          </cell>
          <cell r="J2171" t="str">
            <v>FLAC 2</v>
          </cell>
          <cell r="K2171" t="str">
            <v>LACTALIS</v>
          </cell>
          <cell r="L2171" t="str">
            <v>RODRIGO</v>
          </cell>
          <cell r="M2171" t="str">
            <v>RAQUEL BARBOSA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  <cell r="H2172" t="str">
            <v>DISTRIBUIÇÃO</v>
          </cell>
          <cell r="I2172" t="str">
            <v>FOOD SERVICE</v>
          </cell>
          <cell r="J2172" t="str">
            <v>FLAC 2</v>
          </cell>
          <cell r="K2172" t="str">
            <v>LACTALIS</v>
          </cell>
          <cell r="L2172" t="str">
            <v>RODRIGO</v>
          </cell>
          <cell r="M2172" t="str">
            <v>RAQUEL BARBOSA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  <cell r="H2173" t="str">
            <v>INGREDIENTS</v>
          </cell>
          <cell r="I2173" t="str">
            <v>INGREDIENTS</v>
          </cell>
          <cell r="J2173" t="str">
            <v>MARCELO RODRIGUES</v>
          </cell>
          <cell r="K2173" t="str">
            <v>LACTALIS</v>
          </cell>
          <cell r="L2173" t="str">
            <v>MAURICIO</v>
          </cell>
          <cell r="M2173" t="str">
            <v>MARCELO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  <cell r="H2174" t="str">
            <v>INGREDIENTS</v>
          </cell>
          <cell r="I2174" t="str">
            <v>INGREDIENTS</v>
          </cell>
          <cell r="J2174" t="str">
            <v>JOEL ELEOTÉRIO</v>
          </cell>
          <cell r="K2174" t="str">
            <v>LACTALIS</v>
          </cell>
          <cell r="L2174" t="str">
            <v>MAURICIO</v>
          </cell>
          <cell r="M2174" t="str">
            <v>JOEL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  <cell r="H2175" t="str">
            <v>DISTRIBUIÇÃO</v>
          </cell>
          <cell r="I2175" t="str">
            <v>FOOD SERVICE</v>
          </cell>
          <cell r="J2175" t="str">
            <v>FLAC 3</v>
          </cell>
          <cell r="K2175" t="str">
            <v>LACTALIS</v>
          </cell>
          <cell r="L2175" t="str">
            <v>RODRIGO</v>
          </cell>
          <cell r="M2175" t="str">
            <v>RAQUEL BARBOSA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  <cell r="H2176" t="str">
            <v>INGREDIENTS</v>
          </cell>
          <cell r="I2176" t="str">
            <v>INGREDIENTS</v>
          </cell>
          <cell r="J2176" t="str">
            <v>JOEL ELEOTÉRIO</v>
          </cell>
          <cell r="K2176" t="str">
            <v>ITAMBÉ</v>
          </cell>
          <cell r="L2176" t="str">
            <v>MAURICIO</v>
          </cell>
          <cell r="M2176" t="str">
            <v>JOEL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  <cell r="H2177" t="str">
            <v>DISTRIBUIÇÃO</v>
          </cell>
          <cell r="I2177" t="str">
            <v>FOOD SERVICE</v>
          </cell>
          <cell r="J2177" t="str">
            <v>FLAC 2</v>
          </cell>
          <cell r="K2177" t="str">
            <v>LACTALIS</v>
          </cell>
          <cell r="L2177" t="str">
            <v>RODRIGO</v>
          </cell>
          <cell r="M2177" t="str">
            <v>RAQUEL BARBOSA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  <cell r="H2178" t="str">
            <v>DISTRIBUIÇÃO</v>
          </cell>
          <cell r="I2178" t="str">
            <v>FOOD SERVICE</v>
          </cell>
          <cell r="J2178" t="str">
            <v>FLAC 5</v>
          </cell>
          <cell r="K2178" t="str">
            <v>LACTALIS</v>
          </cell>
          <cell r="L2178" t="str">
            <v>RODRIGO</v>
          </cell>
          <cell r="M2178" t="str">
            <v>RAQUEL BARBOSA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  <cell r="H2179" t="str">
            <v>DISTRIBUIÇÃO</v>
          </cell>
          <cell r="I2179" t="str">
            <v>FOOD SERVICE</v>
          </cell>
          <cell r="J2179" t="str">
            <v>FLAC 2</v>
          </cell>
          <cell r="K2179" t="str">
            <v>LACTALIS</v>
          </cell>
          <cell r="L2179" t="str">
            <v>RODRIGO</v>
          </cell>
          <cell r="M2179" t="str">
            <v>RAQUEL BARBOSA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  <cell r="H2180" t="str">
            <v>INGREDIENTS</v>
          </cell>
          <cell r="I2180" t="str">
            <v>INGREDIENTS</v>
          </cell>
          <cell r="J2180" t="str">
            <v>DLUM</v>
          </cell>
          <cell r="K2180" t="str">
            <v>LACTALIS</v>
          </cell>
          <cell r="L2180" t="str">
            <v>MAURICIO</v>
          </cell>
          <cell r="M2180" t="str">
            <v>JOEL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  <cell r="H2181" t="str">
            <v>QSR</v>
          </cell>
          <cell r="I2181" t="str">
            <v>FOOD SERVICE</v>
          </cell>
          <cell r="J2181" t="str">
            <v>VAGO QSR</v>
          </cell>
          <cell r="K2181" t="str">
            <v>ITAMBÉ</v>
          </cell>
          <cell r="L2181" t="str">
            <v>PEDRO</v>
          </cell>
          <cell r="M2181" t="str">
            <v>VAGO QSR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  <cell r="H2182" t="str">
            <v>INGREDIENTS</v>
          </cell>
          <cell r="I2182" t="str">
            <v>INGREDIENTS</v>
          </cell>
          <cell r="J2182" t="str">
            <v>HENRIQUE FERREIRA</v>
          </cell>
          <cell r="K2182" t="str">
            <v>ITAMBÉ</v>
          </cell>
          <cell r="L2182" t="str">
            <v>MAURICIO</v>
          </cell>
          <cell r="M2182" t="str">
            <v>JOEL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  <cell r="H2183" t="str">
            <v>INGREDIENTS</v>
          </cell>
          <cell r="I2183" t="str">
            <v>INGREDIENTS</v>
          </cell>
          <cell r="J2183" t="str">
            <v>JOEL ELEOTÉRIO</v>
          </cell>
          <cell r="K2183" t="str">
            <v>LACTALIS</v>
          </cell>
          <cell r="L2183" t="str">
            <v>MAURICIO</v>
          </cell>
          <cell r="M2183" t="str">
            <v>JOEL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  <cell r="H2184" t="str">
            <v>DISTRIBUIÇÃO</v>
          </cell>
          <cell r="I2184" t="str">
            <v>FOOD SERVICE</v>
          </cell>
          <cell r="J2184" t="str">
            <v>FLAC 2</v>
          </cell>
          <cell r="K2184" t="str">
            <v>LACTALIS</v>
          </cell>
          <cell r="L2184" t="str">
            <v>RODRIGO</v>
          </cell>
          <cell r="M2184" t="str">
            <v>RAQUEL BARBOSA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  <cell r="H2185" t="str">
            <v>DISTRIBUIÇÃO</v>
          </cell>
          <cell r="I2185" t="str">
            <v>FOOD SERVICE</v>
          </cell>
          <cell r="J2185" t="str">
            <v>FLAC 3</v>
          </cell>
          <cell r="K2185" t="str">
            <v>LACTALIS</v>
          </cell>
          <cell r="L2185" t="str">
            <v>RODRIGO</v>
          </cell>
          <cell r="M2185" t="str">
            <v>RAQUEL BARBOSA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  <cell r="H2186" t="str">
            <v>DISTRIBUIÇÃO</v>
          </cell>
          <cell r="I2186" t="str">
            <v>FOOD SERVICE</v>
          </cell>
          <cell r="J2186" t="str">
            <v>FLAC 5</v>
          </cell>
          <cell r="K2186" t="str">
            <v>LACTALIS</v>
          </cell>
          <cell r="L2186" t="str">
            <v>RODRIGO</v>
          </cell>
          <cell r="M2186" t="str">
            <v>RAQUEL BARBOSA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  <cell r="H2187" t="str">
            <v>DISTRIBUIÇÃO</v>
          </cell>
          <cell r="I2187" t="str">
            <v>FOOD SERVICE</v>
          </cell>
          <cell r="J2187" t="str">
            <v>MARCO AURELIO</v>
          </cell>
          <cell r="K2187" t="str">
            <v>LACTALIS</v>
          </cell>
          <cell r="L2187" t="str">
            <v>RODRIGO</v>
          </cell>
          <cell r="M2187" t="str">
            <v>MARCO AURELIO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  <cell r="H2188" t="str">
            <v>DISTRIBUIÇÃO</v>
          </cell>
          <cell r="I2188" t="str">
            <v>FOOD SERVICE</v>
          </cell>
          <cell r="J2188" t="str">
            <v>FLAC 5</v>
          </cell>
          <cell r="K2188" t="str">
            <v>LACTALIS</v>
          </cell>
          <cell r="L2188" t="str">
            <v>RODRIGO</v>
          </cell>
          <cell r="M2188" t="str">
            <v>RAQUEL BARBOSA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  <cell r="H2189" t="str">
            <v>DISTRIBUIÇÃO</v>
          </cell>
          <cell r="I2189" t="str">
            <v>FOOD SERVICE</v>
          </cell>
          <cell r="J2189" t="str">
            <v>FLAC 5</v>
          </cell>
          <cell r="K2189" t="str">
            <v>LACTALIS</v>
          </cell>
          <cell r="L2189" t="str">
            <v>RODRIGO</v>
          </cell>
          <cell r="M2189" t="str">
            <v>RAQUEL BARBOSA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  <cell r="H2190" t="str">
            <v>INGREDIENTS</v>
          </cell>
          <cell r="I2190" t="str">
            <v>INGREDIENTS</v>
          </cell>
          <cell r="J2190" t="str">
            <v>HENRIQUE FERREIRA</v>
          </cell>
          <cell r="K2190" t="str">
            <v>ITAMBÉ</v>
          </cell>
          <cell r="L2190" t="str">
            <v>MAURICIO</v>
          </cell>
          <cell r="M2190" t="str">
            <v>JOEL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  <cell r="H2191" t="str">
            <v>DISTRIBUIÇÃO</v>
          </cell>
          <cell r="I2191" t="str">
            <v>FOOD SERVICE</v>
          </cell>
          <cell r="J2191" t="str">
            <v>FLAC 5</v>
          </cell>
          <cell r="K2191" t="str">
            <v>LACTALIS</v>
          </cell>
          <cell r="L2191" t="str">
            <v>RODRIGO</v>
          </cell>
          <cell r="M2191" t="str">
            <v>RAQUEL BARBOSA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  <cell r="H2192" t="str">
            <v>DISTRIBUIÇÃO</v>
          </cell>
          <cell r="I2192" t="str">
            <v>FOOD SERVICE</v>
          </cell>
          <cell r="J2192" t="str">
            <v>FLAC 1</v>
          </cell>
          <cell r="K2192" t="str">
            <v>LACTALIS</v>
          </cell>
          <cell r="L2192" t="str">
            <v>RODRIGO</v>
          </cell>
          <cell r="M2192" t="str">
            <v>RAQUEL BARBOSA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  <cell r="H2193" t="str">
            <v>DISTRIBUIÇÃO</v>
          </cell>
          <cell r="I2193" t="str">
            <v>FOOD SERVICE</v>
          </cell>
          <cell r="J2193" t="str">
            <v>FLAC 5</v>
          </cell>
          <cell r="K2193" t="str">
            <v>LACTALIS</v>
          </cell>
          <cell r="L2193" t="str">
            <v>RODRIGO</v>
          </cell>
          <cell r="M2193" t="str">
            <v>RAQUEL BARBOSA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  <cell r="H2194" t="str">
            <v>DISTRIBUIÇÃO</v>
          </cell>
          <cell r="I2194" t="str">
            <v>FOOD SERVICE</v>
          </cell>
          <cell r="J2194" t="str">
            <v>FLAC 4</v>
          </cell>
          <cell r="K2194" t="str">
            <v>LACTALIS</v>
          </cell>
          <cell r="L2194" t="str">
            <v>RODRIGO</v>
          </cell>
          <cell r="M2194" t="str">
            <v>RAQUEL BARBOSA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  <cell r="H2195" t="str">
            <v>DISTRIBUIÇÃO</v>
          </cell>
          <cell r="I2195" t="str">
            <v>FOOD SERVICE</v>
          </cell>
          <cell r="J2195" t="str">
            <v>MARCO AURELIO</v>
          </cell>
          <cell r="K2195" t="str">
            <v>ITAMBÉ</v>
          </cell>
          <cell r="L2195" t="str">
            <v>RODRIGO</v>
          </cell>
          <cell r="M2195" t="str">
            <v>MARCO AURELIO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  <cell r="H2196" t="str">
            <v>INGREDIENTS</v>
          </cell>
          <cell r="I2196" t="str">
            <v>INGREDIENTS</v>
          </cell>
          <cell r="J2196" t="str">
            <v>HENRIQUE FERREIRA</v>
          </cell>
          <cell r="K2196" t="str">
            <v>ITAMBÉ</v>
          </cell>
          <cell r="L2196" t="str">
            <v>MAURICIO</v>
          </cell>
          <cell r="M2196" t="str">
            <v>JOEL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  <cell r="H2197" t="str">
            <v>INGREDIENTS</v>
          </cell>
          <cell r="I2197" t="str">
            <v>INGREDIENTS</v>
          </cell>
          <cell r="J2197" t="str">
            <v>HENRIQUE FERREIRA</v>
          </cell>
          <cell r="K2197" t="str">
            <v>ITAMBÉ</v>
          </cell>
          <cell r="L2197" t="str">
            <v>MAURICIO</v>
          </cell>
          <cell r="M2197" t="str">
            <v>JOEL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  <cell r="H2198" t="str">
            <v>INGREDIENTS</v>
          </cell>
          <cell r="I2198" t="str">
            <v>INGREDIENTS</v>
          </cell>
          <cell r="J2198" t="str">
            <v>HENRIQUE FERREIRA</v>
          </cell>
          <cell r="K2198" t="str">
            <v>ITAMBÉ</v>
          </cell>
          <cell r="L2198" t="str">
            <v>MAURICIO</v>
          </cell>
          <cell r="M2198" t="str">
            <v>JOEL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  <cell r="H2199" t="str">
            <v>INGREDIENTS</v>
          </cell>
          <cell r="I2199" t="str">
            <v>INGREDIENTS</v>
          </cell>
          <cell r="J2199" t="str">
            <v>HENRIQUE FERREIRA</v>
          </cell>
          <cell r="K2199" t="str">
            <v>ITAMBÉ</v>
          </cell>
          <cell r="L2199" t="str">
            <v>MAURICIO</v>
          </cell>
          <cell r="M2199" t="str">
            <v>JOEL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  <cell r="H2200" t="str">
            <v>DISTRIBUIÇÃO</v>
          </cell>
          <cell r="I2200" t="str">
            <v>FOOD SERVICE</v>
          </cell>
          <cell r="J2200" t="str">
            <v>FLAC 6</v>
          </cell>
          <cell r="K2200" t="str">
            <v>LACTALIS</v>
          </cell>
          <cell r="L2200" t="str">
            <v>RODRIGO</v>
          </cell>
          <cell r="M2200" t="str">
            <v>RAQUEL BARBOSA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  <cell r="H2201" t="str">
            <v>DISTRIBUIÇÃO</v>
          </cell>
          <cell r="I2201" t="str">
            <v>FOOD SERVICE</v>
          </cell>
          <cell r="J2201" t="str">
            <v>FLAC 6</v>
          </cell>
          <cell r="K2201" t="str">
            <v>ITAMBÉ</v>
          </cell>
          <cell r="L2201" t="str">
            <v>RODRIGO</v>
          </cell>
          <cell r="M2201" t="str">
            <v>RAQUEL BARBOSA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  <cell r="H2202" t="str">
            <v>DISTRIBUIÇÃO</v>
          </cell>
          <cell r="I2202" t="str">
            <v>FOOD SERVICE</v>
          </cell>
          <cell r="J2202" t="str">
            <v>FLAC 6</v>
          </cell>
          <cell r="K2202" t="str">
            <v>LACTALIS</v>
          </cell>
          <cell r="L2202" t="str">
            <v>RODRIGO</v>
          </cell>
          <cell r="M2202" t="str">
            <v>RAQUEL BARBOSA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  <cell r="H2203" t="str">
            <v>INGREDIENTS</v>
          </cell>
          <cell r="I2203" t="str">
            <v>INGREDIENTS</v>
          </cell>
          <cell r="J2203" t="str">
            <v>JOEL ELEOTÉRIO</v>
          </cell>
          <cell r="K2203" t="str">
            <v>LACTALIS</v>
          </cell>
          <cell r="L2203" t="str">
            <v>MAURICIO</v>
          </cell>
          <cell r="M2203" t="str">
            <v>JOEL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  <cell r="H2204" t="str">
            <v>INGREDIENTS</v>
          </cell>
          <cell r="I2204" t="str">
            <v>INGREDIENTS</v>
          </cell>
          <cell r="J2204" t="str">
            <v>JOEL ELEOTÉRIO</v>
          </cell>
          <cell r="K2204" t="str">
            <v>LACTALIS</v>
          </cell>
          <cell r="L2204" t="str">
            <v>MAURICIO</v>
          </cell>
          <cell r="M2204" t="str">
            <v>JOEL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  <cell r="H2205" t="str">
            <v>DISTRIBUIÇÃO</v>
          </cell>
          <cell r="I2205" t="str">
            <v>FOOD SERVICE</v>
          </cell>
          <cell r="J2205" t="str">
            <v>FLAC 5</v>
          </cell>
          <cell r="K2205" t="str">
            <v>LACTALIS</v>
          </cell>
          <cell r="L2205" t="str">
            <v>RODRIGO</v>
          </cell>
          <cell r="M2205" t="str">
            <v>RAQUEL BARBOSA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  <cell r="H2206" t="str">
            <v>DISTRIBUIÇÃO</v>
          </cell>
          <cell r="I2206" t="str">
            <v>FOOD SERVICE</v>
          </cell>
          <cell r="J2206" t="str">
            <v>FLAC 6</v>
          </cell>
          <cell r="K2206" t="str">
            <v>LACTALIS</v>
          </cell>
          <cell r="L2206" t="str">
            <v>RODRIGO</v>
          </cell>
          <cell r="M2206" t="str">
            <v>RAQUEL BARBOSA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  <cell r="H2207" t="str">
            <v>INGREDIENTS</v>
          </cell>
          <cell r="I2207" t="str">
            <v>INGREDIENTS</v>
          </cell>
          <cell r="J2207" t="str">
            <v>DUAS RODAS</v>
          </cell>
          <cell r="K2207" t="str">
            <v>ITAMBÉ</v>
          </cell>
          <cell r="L2207" t="str">
            <v>MAURICIO</v>
          </cell>
          <cell r="M2207" t="str">
            <v>TATIANA NITTA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  <cell r="H2208" t="str">
            <v>DISTRIBUIÇÃO</v>
          </cell>
          <cell r="I2208" t="str">
            <v>FOOD SERVICE</v>
          </cell>
          <cell r="J2208" t="str">
            <v>FLAC 6</v>
          </cell>
          <cell r="K2208" t="str">
            <v>ITAMBÉ</v>
          </cell>
          <cell r="L2208" t="str">
            <v>RODRIGO</v>
          </cell>
          <cell r="M2208" t="str">
            <v>RAQUEL BARBOSA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  <cell r="H2209" t="str">
            <v>DISTRIBUIÇÃO</v>
          </cell>
          <cell r="I2209" t="str">
            <v>FOOD SERVICE</v>
          </cell>
          <cell r="J2209" t="str">
            <v>FLAC 6</v>
          </cell>
          <cell r="K2209" t="str">
            <v>LACTALIS</v>
          </cell>
          <cell r="L2209" t="str">
            <v>RODRIGO</v>
          </cell>
          <cell r="M2209" t="str">
            <v>RAQUEL BARBOSA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  <cell r="H2210" t="str">
            <v>DISTRIBUIÇÃO</v>
          </cell>
          <cell r="I2210" t="str">
            <v>FOOD SERVICE</v>
          </cell>
          <cell r="J2210" t="str">
            <v>FLAC 5</v>
          </cell>
          <cell r="K2210" t="str">
            <v>LACTALIS</v>
          </cell>
          <cell r="L2210" t="str">
            <v>RODRIGO</v>
          </cell>
          <cell r="M2210" t="str">
            <v>RAQUEL BARBOSA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  <cell r="H2211" t="str">
            <v>INGREDIENTS</v>
          </cell>
          <cell r="I2211" t="str">
            <v>INGREDIENTS</v>
          </cell>
          <cell r="J2211" t="str">
            <v>JOEL ELEOTÉRIO</v>
          </cell>
          <cell r="K2211" t="str">
            <v>ITAMBÉ</v>
          </cell>
          <cell r="L2211" t="str">
            <v>MAURICIO</v>
          </cell>
          <cell r="M2211" t="str">
            <v>JOEL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  <cell r="H2212" t="str">
            <v>DISTRIBUIÇÃO</v>
          </cell>
          <cell r="I2212" t="str">
            <v>FOOD SERVICE</v>
          </cell>
          <cell r="J2212" t="str">
            <v>FLAC 5</v>
          </cell>
          <cell r="K2212" t="str">
            <v>LACTALIS</v>
          </cell>
          <cell r="L2212" t="str">
            <v>RODRIGO</v>
          </cell>
          <cell r="M2212" t="str">
            <v>RAQUEL BARBOSA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  <cell r="H2213" t="str">
            <v>INGREDIENTS</v>
          </cell>
          <cell r="I2213" t="str">
            <v>INGREDIENTS</v>
          </cell>
          <cell r="J2213" t="str">
            <v>SP ITB FS LUIZ PEREIRA</v>
          </cell>
          <cell r="K2213" t="str">
            <v>ITAMBÉ</v>
          </cell>
          <cell r="L2213" t="str">
            <v>MAURICIO</v>
          </cell>
          <cell r="M2213" t="str">
            <v>TATIANA NITTA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  <cell r="H2214" t="str">
            <v>DISTRIBUIÇÃO</v>
          </cell>
          <cell r="I2214" t="str">
            <v>FOOD SERVICE</v>
          </cell>
          <cell r="J2214" t="str">
            <v>FLAC 3</v>
          </cell>
          <cell r="K2214" t="str">
            <v>LACTALIS</v>
          </cell>
          <cell r="L2214" t="str">
            <v>RODRIGO</v>
          </cell>
          <cell r="M2214" t="str">
            <v>RAQUEL BARBOSA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  <cell r="H2215" t="str">
            <v>QSR</v>
          </cell>
          <cell r="I2215" t="str">
            <v>FOOD SERVICE</v>
          </cell>
          <cell r="J2215" t="str">
            <v>NUTRI</v>
          </cell>
          <cell r="K2215" t="str">
            <v>ITAMBÉ</v>
          </cell>
          <cell r="L2215" t="str">
            <v>PEDRO</v>
          </cell>
          <cell r="M2215" t="str">
            <v>VAGO QSR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  <cell r="H2216" t="str">
            <v>INGREDIENTS</v>
          </cell>
          <cell r="I2216" t="str">
            <v>INGREDIENTS</v>
          </cell>
          <cell r="J2216" t="str">
            <v>JOEL ELEOTÉRIO</v>
          </cell>
          <cell r="K2216" t="str">
            <v>LACTALIS</v>
          </cell>
          <cell r="L2216" t="str">
            <v>MAURICIO</v>
          </cell>
          <cell r="M2216" t="str">
            <v>JOEL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  <cell r="H2217" t="str">
            <v>DISTRIBUIÇÃO</v>
          </cell>
          <cell r="I2217" t="str">
            <v>FOOD SERVICE</v>
          </cell>
          <cell r="J2217" t="str">
            <v>FLAC 3</v>
          </cell>
          <cell r="K2217" t="str">
            <v>LACTALIS</v>
          </cell>
          <cell r="L2217" t="str">
            <v>RODRIGO</v>
          </cell>
          <cell r="M2217" t="str">
            <v>RAQUEL BARBOSA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  <cell r="H2218" t="str">
            <v>DISTRIBUIÇÃO</v>
          </cell>
          <cell r="I2218" t="str">
            <v>FOOD SERVICE</v>
          </cell>
          <cell r="J2218" t="str">
            <v>FLAC 2</v>
          </cell>
          <cell r="K2218" t="str">
            <v>LACTALIS</v>
          </cell>
          <cell r="L2218" t="str">
            <v>RODRIGO</v>
          </cell>
          <cell r="M2218" t="str">
            <v>RAQUEL BARBOSA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  <cell r="H2219" t="str">
            <v>DISTRIBUIÇÃO</v>
          </cell>
          <cell r="I2219" t="str">
            <v>FOOD SERVICE</v>
          </cell>
          <cell r="J2219" t="str">
            <v>MARCELO DUARTE</v>
          </cell>
          <cell r="K2219" t="str">
            <v>ITAMBÉ</v>
          </cell>
          <cell r="L2219" t="str">
            <v>RODRIGO</v>
          </cell>
          <cell r="M2219" t="str">
            <v>JESSICA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  <cell r="H2220" t="str">
            <v>INGREDIENTS</v>
          </cell>
          <cell r="I2220" t="str">
            <v>INGREDIENTS</v>
          </cell>
          <cell r="J2220" t="str">
            <v>JOEL ELEOTÉRIO</v>
          </cell>
          <cell r="K2220" t="str">
            <v>ITAMBÉ</v>
          </cell>
          <cell r="L2220" t="str">
            <v>MAURICIO</v>
          </cell>
          <cell r="M2220" t="str">
            <v>JOEL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  <cell r="H2221" t="str">
            <v>DISTRIBUIÇÃO</v>
          </cell>
          <cell r="I2221" t="str">
            <v>FOOD SERVICE</v>
          </cell>
          <cell r="J2221" t="str">
            <v>FLAC 5</v>
          </cell>
          <cell r="K2221" t="str">
            <v>LACTALIS</v>
          </cell>
          <cell r="L2221" t="str">
            <v>RODRIGO</v>
          </cell>
          <cell r="M2221" t="str">
            <v>RAQUEL BARBOSA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  <cell r="H2222" t="str">
            <v>DISTRIBUIÇÃO</v>
          </cell>
          <cell r="I2222" t="str">
            <v>FOOD SERVICE</v>
          </cell>
          <cell r="J2222" t="str">
            <v>JULIANA CORDEIRO</v>
          </cell>
          <cell r="K2222" t="str">
            <v>ITAMBÉ</v>
          </cell>
          <cell r="L2222" t="str">
            <v>RODRIGO</v>
          </cell>
          <cell r="M2222" t="str">
            <v>JESSICA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  <cell r="H2223" t="str">
            <v>INGREDIENTS</v>
          </cell>
          <cell r="I2223" t="str">
            <v>INGREDIENTS</v>
          </cell>
          <cell r="J2223" t="str">
            <v>HENRIQUE FERREIRA</v>
          </cell>
          <cell r="K2223" t="str">
            <v>ITAMBÉ</v>
          </cell>
          <cell r="L2223" t="str">
            <v>MAURICIO</v>
          </cell>
          <cell r="M2223" t="str">
            <v>JOEL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  <cell r="H2224" t="str">
            <v>DISTRIBUIÇÃO</v>
          </cell>
          <cell r="I2224" t="str">
            <v>FOOD SERVICE</v>
          </cell>
          <cell r="J2224" t="str">
            <v>FLAC 7</v>
          </cell>
          <cell r="K2224" t="str">
            <v>LACTALIS</v>
          </cell>
          <cell r="L2224" t="str">
            <v>RODRIGO</v>
          </cell>
          <cell r="M2224" t="str">
            <v>RAQUEL BARBOSA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  <cell r="H2225" t="str">
            <v>DISTRIBUIÇÃO</v>
          </cell>
          <cell r="I2225" t="str">
            <v>FOOD SERVICE</v>
          </cell>
          <cell r="J2225" t="str">
            <v>FLAC 3</v>
          </cell>
          <cell r="K2225" t="str">
            <v>LACTALIS</v>
          </cell>
          <cell r="L2225" t="str">
            <v>RODRIGO</v>
          </cell>
          <cell r="M2225" t="str">
            <v>RAQUEL BARBOSA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  <cell r="H2226" t="str">
            <v>DISTRIBUIÇÃO</v>
          </cell>
          <cell r="I2226" t="str">
            <v>FOOD SERVICE</v>
          </cell>
          <cell r="J2226" t="str">
            <v>FLAC 3</v>
          </cell>
          <cell r="K2226" t="str">
            <v>LACTALIS</v>
          </cell>
          <cell r="L2226" t="str">
            <v>RODRIGO</v>
          </cell>
          <cell r="M2226" t="str">
            <v>RAQUEL BARBOSA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  <cell r="H2227" t="str">
            <v>DISTRIBUIÇÃO</v>
          </cell>
          <cell r="I2227" t="str">
            <v>FOOD SERVICE</v>
          </cell>
          <cell r="J2227" t="str">
            <v>FLAC 6</v>
          </cell>
          <cell r="K2227" t="str">
            <v>LACTALIS</v>
          </cell>
          <cell r="L2227" t="str">
            <v>RODRIGO</v>
          </cell>
          <cell r="M2227" t="str">
            <v>RAQUEL BARBOSA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  <cell r="H2228" t="str">
            <v>DISTRIBUIÇÃO</v>
          </cell>
          <cell r="I2228" t="str">
            <v>FOOD SERVICE</v>
          </cell>
          <cell r="J2228" t="str">
            <v>FLAC 7</v>
          </cell>
          <cell r="K2228" t="str">
            <v>LACTALIS</v>
          </cell>
          <cell r="L2228" t="str">
            <v>RODRIGO</v>
          </cell>
          <cell r="M2228" t="str">
            <v>RAQUEL BARBOSA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  <cell r="H2229" t="str">
            <v>INGREDIENTS</v>
          </cell>
          <cell r="I2229" t="str">
            <v>INGREDIENTS</v>
          </cell>
          <cell r="J2229" t="str">
            <v>TATIANA NITTA</v>
          </cell>
          <cell r="K2229" t="str">
            <v>ITAMBÉ</v>
          </cell>
          <cell r="L2229" t="str">
            <v>MAURICIO</v>
          </cell>
          <cell r="M2229" t="str">
            <v>TATIANA NITTA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  <cell r="H2230" t="str">
            <v>INGREDIENTS</v>
          </cell>
          <cell r="I2230" t="str">
            <v>INGREDIENTS</v>
          </cell>
          <cell r="J2230" t="str">
            <v>MARCELO RODRIGUES</v>
          </cell>
          <cell r="K2230" t="str">
            <v>ITAMBÉ</v>
          </cell>
          <cell r="L2230" t="str">
            <v>MAURICIO</v>
          </cell>
          <cell r="M2230" t="str">
            <v>MARCELO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  <cell r="H2231" t="str">
            <v>DISTRIBUIÇÃO</v>
          </cell>
          <cell r="I2231" t="str">
            <v>FOOD SERVICE</v>
          </cell>
          <cell r="J2231" t="str">
            <v>CLAUDIO JORGE</v>
          </cell>
          <cell r="K2231" t="str">
            <v>LACTALIS</v>
          </cell>
          <cell r="L2231" t="str">
            <v>RODRIGO</v>
          </cell>
          <cell r="M2231" t="str">
            <v>JESSICA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  <cell r="H2232" t="str">
            <v>INGREDIENTS</v>
          </cell>
          <cell r="I2232" t="str">
            <v>INGREDIENTS</v>
          </cell>
          <cell r="J2232" t="str">
            <v>TATIANA NITTA</v>
          </cell>
          <cell r="K2232" t="str">
            <v>ITAMBÉ</v>
          </cell>
          <cell r="L2232" t="str">
            <v>MAURICIO</v>
          </cell>
          <cell r="M2232" t="str">
            <v>TATIANA NITTA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  <cell r="H2233" t="str">
            <v>INGREDIENTS</v>
          </cell>
          <cell r="I2233" t="str">
            <v>INGREDIENTS</v>
          </cell>
          <cell r="J2233" t="str">
            <v>TATIANA NITTA</v>
          </cell>
          <cell r="K2233" t="str">
            <v>ITAMBÉ</v>
          </cell>
          <cell r="L2233" t="str">
            <v>MAURICIO</v>
          </cell>
          <cell r="M2233" t="str">
            <v>TATIANA NITTA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  <cell r="H2234" t="str">
            <v>DISTRIBUIÇÃO</v>
          </cell>
          <cell r="I2234" t="str">
            <v>FOOD SERVICE</v>
          </cell>
          <cell r="J2234" t="str">
            <v>FLAC 3</v>
          </cell>
          <cell r="K2234" t="str">
            <v>LACTALIS</v>
          </cell>
          <cell r="L2234" t="str">
            <v>RODRIGO</v>
          </cell>
          <cell r="M2234" t="str">
            <v>RAQUEL BARBOSA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  <cell r="H2235" t="str">
            <v>DISTRIBUIÇÃO</v>
          </cell>
          <cell r="I2235" t="str">
            <v>FOOD SERVICE</v>
          </cell>
          <cell r="J2235" t="str">
            <v>CLAUDIO JORGE/LUIZ</v>
          </cell>
          <cell r="K2235" t="str">
            <v>ITAMBÉ</v>
          </cell>
          <cell r="L2235" t="str">
            <v>RODRIGO</v>
          </cell>
          <cell r="M2235" t="str">
            <v>MARIA LOURDES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  <cell r="H2236" t="str">
            <v>DISTRIBUIÇÃO</v>
          </cell>
          <cell r="I2236" t="str">
            <v>FOOD SERVICE</v>
          </cell>
          <cell r="J2236" t="str">
            <v>CLAUDIO JORGE/LUIZ</v>
          </cell>
          <cell r="K2236" t="str">
            <v>ITAMBÉ</v>
          </cell>
          <cell r="L2236" t="str">
            <v>RODRIGO</v>
          </cell>
          <cell r="M2236" t="str">
            <v>MARIA LOURDES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  <cell r="H2237" t="str">
            <v>INGREDIENTS</v>
          </cell>
          <cell r="I2237" t="str">
            <v>INGREDIENTS</v>
          </cell>
          <cell r="J2237" t="str">
            <v>JOEL ELEOTÉRIO</v>
          </cell>
          <cell r="K2237" t="str">
            <v>ITAMBÉ</v>
          </cell>
          <cell r="L2237" t="str">
            <v>MAURICIO</v>
          </cell>
          <cell r="M2237" t="str">
            <v>JOEL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  <cell r="H2238" t="str">
            <v>DISTRIBUIÇÃO</v>
          </cell>
          <cell r="I2238" t="str">
            <v>FOOD SERVICE</v>
          </cell>
          <cell r="J2238" t="str">
            <v>FLAC 3</v>
          </cell>
          <cell r="K2238" t="str">
            <v>LACTALIS</v>
          </cell>
          <cell r="L2238" t="str">
            <v>RODRIGO</v>
          </cell>
          <cell r="M2238" t="str">
            <v>RAQUEL BARBOSA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  <cell r="H2239" t="str">
            <v>DISTRIBUIÇÃO</v>
          </cell>
          <cell r="I2239" t="str">
            <v>FOOD SERVICE</v>
          </cell>
          <cell r="J2239" t="str">
            <v>LUCIANA MARTINS</v>
          </cell>
          <cell r="K2239" t="str">
            <v>ITAMBÉ</v>
          </cell>
          <cell r="L2239" t="str">
            <v>RODRIGO</v>
          </cell>
          <cell r="M2239" t="str">
            <v>JESSICA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  <cell r="H2240" t="str">
            <v>DISTRIBUIÇÃO</v>
          </cell>
          <cell r="I2240" t="str">
            <v>FOOD SERVICE</v>
          </cell>
          <cell r="J2240" t="str">
            <v>ANGELICA BATISTELA</v>
          </cell>
          <cell r="K2240" t="str">
            <v>ITAMBÉ</v>
          </cell>
          <cell r="L2240" t="str">
            <v>RODRIGO</v>
          </cell>
          <cell r="M2240" t="str">
            <v>ANGELICA BATISTELA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  <cell r="H2241" t="str">
            <v>DISTRIBUIÇÃO</v>
          </cell>
          <cell r="I2241" t="str">
            <v>FOOD SERVICE</v>
          </cell>
          <cell r="J2241" t="str">
            <v>MARCELO DUARTE</v>
          </cell>
          <cell r="K2241" t="str">
            <v>ITAMBÉ</v>
          </cell>
          <cell r="L2241" t="str">
            <v>RODRIGO</v>
          </cell>
          <cell r="M2241" t="str">
            <v>JESSICA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  <cell r="H2242" t="str">
            <v>DISTRIBUIÇÃO</v>
          </cell>
          <cell r="I2242" t="str">
            <v>FOOD SERVICE</v>
          </cell>
          <cell r="J2242" t="str">
            <v>FLAC 6</v>
          </cell>
          <cell r="K2242" t="str">
            <v>LACTALIS</v>
          </cell>
          <cell r="L2242" t="str">
            <v>RODRIGO</v>
          </cell>
          <cell r="M2242" t="str">
            <v>RAQUEL BARBOSA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  <cell r="H2243" t="str">
            <v>DISTRIBUIÇÃO</v>
          </cell>
          <cell r="I2243" t="str">
            <v>FOOD SERVICE</v>
          </cell>
          <cell r="J2243" t="str">
            <v>FLAC 2</v>
          </cell>
          <cell r="K2243" t="str">
            <v>LACTALIS</v>
          </cell>
          <cell r="L2243" t="str">
            <v>RODRIGO</v>
          </cell>
          <cell r="M2243" t="str">
            <v>RAQUEL BARBOSA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  <cell r="H2244" t="str">
            <v>DISTRIBUIÇÃO</v>
          </cell>
          <cell r="I2244" t="str">
            <v>FOOD SERVICE</v>
          </cell>
          <cell r="J2244" t="str">
            <v>FLAC 5</v>
          </cell>
          <cell r="K2244" t="str">
            <v>LACTALIS</v>
          </cell>
          <cell r="L2244" t="str">
            <v>RODRIGO</v>
          </cell>
          <cell r="M2244" t="str">
            <v>RAQUEL BARBOSA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  <cell r="H2245" t="str">
            <v>DISTRIBUIÇÃO</v>
          </cell>
          <cell r="I2245" t="str">
            <v>FOOD SERVICE</v>
          </cell>
          <cell r="J2245" t="str">
            <v>FLAC 7</v>
          </cell>
          <cell r="K2245" t="str">
            <v>LACTALIS</v>
          </cell>
          <cell r="L2245" t="str">
            <v>RODRIGO</v>
          </cell>
          <cell r="M2245" t="str">
            <v>RAQUEL BARBOSA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  <cell r="H2246" t="str">
            <v>DISTRIBUIÇÃO</v>
          </cell>
          <cell r="I2246" t="str">
            <v>FOOD SERVICE</v>
          </cell>
          <cell r="J2246" t="str">
            <v>FLAC 3</v>
          </cell>
          <cell r="K2246" t="str">
            <v>LACTALIS</v>
          </cell>
          <cell r="L2246" t="str">
            <v>RODRIGO</v>
          </cell>
          <cell r="M2246" t="str">
            <v>RAQUEL BARBOSA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  <cell r="H2247" t="str">
            <v>DISTRIBUIÇÃO</v>
          </cell>
          <cell r="I2247" t="str">
            <v>FOOD SERVICE</v>
          </cell>
          <cell r="J2247" t="str">
            <v>FLAC 3</v>
          </cell>
          <cell r="K2247" t="str">
            <v>LACTALIS</v>
          </cell>
          <cell r="L2247" t="str">
            <v>RODRIGO</v>
          </cell>
          <cell r="M2247" t="str">
            <v>RAQUEL BARBOSA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  <cell r="H2248" t="str">
            <v>INGREDIENTS</v>
          </cell>
          <cell r="I2248" t="str">
            <v>INGREDIENTS</v>
          </cell>
          <cell r="J2248" t="str">
            <v>HENRIQUE FERREIRA</v>
          </cell>
          <cell r="K2248" t="str">
            <v>ITAMBÉ</v>
          </cell>
          <cell r="L2248" t="str">
            <v>MAURICIO</v>
          </cell>
          <cell r="M2248" t="str">
            <v>JOEL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  <cell r="H2249" t="str">
            <v>DISTRIBUIÇÃO</v>
          </cell>
          <cell r="I2249" t="str">
            <v>FOOD SERVICE</v>
          </cell>
          <cell r="J2249" t="str">
            <v>ANGELICA BATISTELA</v>
          </cell>
          <cell r="K2249" t="str">
            <v>ITAMBÉ</v>
          </cell>
          <cell r="L2249" t="str">
            <v>RODRIGO</v>
          </cell>
          <cell r="M2249" t="str">
            <v>ANGELICA BATISTELA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  <cell r="H2250" t="str">
            <v>DISTRIBUIÇÃO</v>
          </cell>
          <cell r="I2250" t="str">
            <v>FOOD SERVICE</v>
          </cell>
          <cell r="J2250" t="str">
            <v>FLAC 3</v>
          </cell>
          <cell r="K2250" t="str">
            <v>LACTALIS</v>
          </cell>
          <cell r="L2250" t="str">
            <v>RODRIGO</v>
          </cell>
          <cell r="M2250" t="str">
            <v>RAQUEL BARBOSA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  <cell r="H2251" t="str">
            <v>DISTRIBUIÇÃO</v>
          </cell>
          <cell r="I2251" t="str">
            <v>FOOD SERVICE</v>
          </cell>
          <cell r="J2251" t="str">
            <v>CLAUDIO JORGE</v>
          </cell>
          <cell r="K2251" t="str">
            <v>LACTALIS</v>
          </cell>
          <cell r="L2251" t="str">
            <v>RODRIGO</v>
          </cell>
          <cell r="M2251" t="str">
            <v>MARIA LOURDES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  <cell r="H2252" t="str">
            <v>DISTRIBUIÇÃO</v>
          </cell>
          <cell r="I2252" t="str">
            <v>FOOD SERVICE</v>
          </cell>
          <cell r="J2252" t="str">
            <v>CLAUDIO JORGE/LUIZ</v>
          </cell>
          <cell r="K2252" t="str">
            <v>ITAMBÉ</v>
          </cell>
          <cell r="L2252" t="str">
            <v>RODRIGO</v>
          </cell>
          <cell r="M2252" t="str">
            <v>MARIA LOURDES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  <cell r="H2253" t="str">
            <v>DISTRIBUIÇÃO</v>
          </cell>
          <cell r="I2253" t="str">
            <v>FOOD SERVICE</v>
          </cell>
          <cell r="J2253" t="str">
            <v>FLAC 5</v>
          </cell>
          <cell r="K2253" t="str">
            <v>LACTALIS</v>
          </cell>
          <cell r="L2253" t="str">
            <v>RODRIGO</v>
          </cell>
          <cell r="M2253" t="str">
            <v>RAQUEL BARBOSA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  <cell r="H2254" t="str">
            <v>DISTRIBUIÇÃO</v>
          </cell>
          <cell r="I2254" t="str">
            <v>FOOD SERVICE</v>
          </cell>
          <cell r="J2254" t="str">
            <v>SP ITB FS FLAC REP.E COMERCIO</v>
          </cell>
          <cell r="K2254" t="str">
            <v>ITAMBÉ</v>
          </cell>
          <cell r="L2254" t="str">
            <v>RODRIGO</v>
          </cell>
          <cell r="M2254" t="str">
            <v>RAQUEL BARBOSA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  <cell r="H2255" t="str">
            <v>INGREDIENTS</v>
          </cell>
          <cell r="I2255" t="str">
            <v>INGREDIENTS</v>
          </cell>
          <cell r="J2255" t="str">
            <v>TATIANA NITTA</v>
          </cell>
          <cell r="K2255" t="str">
            <v>LACTALIS</v>
          </cell>
          <cell r="L2255" t="str">
            <v>MAURICIO</v>
          </cell>
          <cell r="M2255" t="str">
            <v>TATIANA NITTA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  <cell r="H2256" t="str">
            <v>DISTRIBUIÇÃO</v>
          </cell>
          <cell r="I2256" t="str">
            <v>FOOD SERVICE</v>
          </cell>
          <cell r="J2256" t="str">
            <v>FLAC 2</v>
          </cell>
          <cell r="K2256" t="str">
            <v>LACTALIS</v>
          </cell>
          <cell r="L2256" t="str">
            <v>RODRIGO</v>
          </cell>
          <cell r="M2256" t="str">
            <v>RAQUEL BARBOSA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  <cell r="H2257" t="str">
            <v>DISTRIBUIÇÃO</v>
          </cell>
          <cell r="I2257" t="str">
            <v>FOOD SERVICE</v>
          </cell>
          <cell r="J2257" t="str">
            <v>FLAC 5</v>
          </cell>
          <cell r="K2257" t="str">
            <v>LACTALIS</v>
          </cell>
          <cell r="L2257" t="str">
            <v>RODRIGO</v>
          </cell>
          <cell r="M2257" t="str">
            <v>RAQUEL BARBOSA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  <cell r="H2258" t="str">
            <v>DISTRIBUIÇÃO</v>
          </cell>
          <cell r="I2258" t="str">
            <v>FOOD SERVICE</v>
          </cell>
          <cell r="J2258" t="str">
            <v>CLAUDIO JORGE</v>
          </cell>
          <cell r="K2258" t="str">
            <v>LACTALIS</v>
          </cell>
          <cell r="L2258" t="str">
            <v>RODRIGO</v>
          </cell>
          <cell r="M2258" t="str">
            <v>MARIA LOURDES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  <cell r="H2259" t="str">
            <v>INGREDIENTS</v>
          </cell>
          <cell r="I2259" t="str">
            <v>INGREDIENTS</v>
          </cell>
          <cell r="J2259" t="str">
            <v>JOEL ELEOTÉRIO</v>
          </cell>
          <cell r="K2259" t="str">
            <v>LACTALIS</v>
          </cell>
          <cell r="L2259" t="str">
            <v>MAURICIO</v>
          </cell>
          <cell r="M2259" t="str">
            <v>JOEL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  <cell r="H2260" t="str">
            <v>DISTRIBUIÇÃO</v>
          </cell>
          <cell r="I2260" t="str">
            <v>FOOD SERVICE</v>
          </cell>
          <cell r="J2260" t="str">
            <v>CLAUDIO JORGE</v>
          </cell>
          <cell r="K2260" t="str">
            <v>LACTALIS</v>
          </cell>
          <cell r="L2260" t="str">
            <v>RODRIGO</v>
          </cell>
          <cell r="M2260" t="str">
            <v>MARIA LOURDES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  <cell r="H2261" t="str">
            <v>DISTRIBUIÇÃO</v>
          </cell>
          <cell r="I2261" t="str">
            <v>FOOD SERVICE</v>
          </cell>
          <cell r="J2261" t="str">
            <v>FLAC 7</v>
          </cell>
          <cell r="K2261" t="str">
            <v>LACTALIS</v>
          </cell>
          <cell r="L2261" t="str">
            <v>RODRIGO</v>
          </cell>
          <cell r="M2261" t="str">
            <v>RAQUEL BARBOSA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  <cell r="H2262" t="str">
            <v>DISTRIBUIÇÃO</v>
          </cell>
          <cell r="I2262" t="str">
            <v>FOOD SERVICE</v>
          </cell>
          <cell r="J2262" t="str">
            <v>FLAC 2</v>
          </cell>
          <cell r="K2262" t="str">
            <v>LACTALIS</v>
          </cell>
          <cell r="L2262" t="str">
            <v>RODRIGO</v>
          </cell>
          <cell r="M2262" t="str">
            <v>RAQUEL BARBOSA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  <cell r="H2263" t="str">
            <v>DISTRIBUIÇÃO</v>
          </cell>
          <cell r="I2263" t="str">
            <v>FOOD SERVICE</v>
          </cell>
          <cell r="J2263" t="str">
            <v>FLAC 5</v>
          </cell>
          <cell r="K2263" t="str">
            <v>LACTALIS</v>
          </cell>
          <cell r="L2263" t="str">
            <v>RODRIGO</v>
          </cell>
          <cell r="M2263" t="str">
            <v>RAQUEL BARBOSA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  <cell r="H2264" t="str">
            <v>DISTRIBUIÇÃO</v>
          </cell>
          <cell r="I2264" t="str">
            <v>FOOD SERVICE</v>
          </cell>
          <cell r="J2264" t="str">
            <v>FLAC 5</v>
          </cell>
          <cell r="K2264" t="str">
            <v>LACTALIS</v>
          </cell>
          <cell r="L2264" t="str">
            <v>RODRIGO</v>
          </cell>
          <cell r="M2264" t="str">
            <v>RAQUEL BARBOSA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  <cell r="H2265" t="str">
            <v>INGREDIENTS</v>
          </cell>
          <cell r="I2265" t="str">
            <v>INGREDIENTS</v>
          </cell>
          <cell r="J2265" t="str">
            <v>JOEL ELEOTÉRIO</v>
          </cell>
          <cell r="K2265" t="str">
            <v>ITAMBÉ</v>
          </cell>
          <cell r="L2265" t="str">
            <v>MAURICIO</v>
          </cell>
          <cell r="M2265" t="str">
            <v>JOEL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  <cell r="H2266" t="str">
            <v>DISTRIBUIÇÃO</v>
          </cell>
          <cell r="I2266" t="str">
            <v>FOOD SERVICE</v>
          </cell>
          <cell r="J2266" t="str">
            <v>FLAC 3</v>
          </cell>
          <cell r="K2266" t="str">
            <v>LACTALIS</v>
          </cell>
          <cell r="L2266" t="str">
            <v>RODRIGO</v>
          </cell>
          <cell r="M2266" t="str">
            <v>RAQUEL BARBOSA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  <cell r="H2267" t="str">
            <v>DISTRIBUIÇÃO</v>
          </cell>
          <cell r="I2267" t="str">
            <v>FOOD SERVICE</v>
          </cell>
          <cell r="J2267" t="str">
            <v>FLAC 5</v>
          </cell>
          <cell r="K2267" t="str">
            <v>LACTALIS</v>
          </cell>
          <cell r="L2267" t="str">
            <v>RODRIGO</v>
          </cell>
          <cell r="M2267" t="str">
            <v>RAQUEL BARBOSA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  <cell r="H2268" t="str">
            <v>DISTRIBUIÇÃO</v>
          </cell>
          <cell r="I2268" t="str">
            <v>FOOD SERVICE</v>
          </cell>
          <cell r="J2268" t="str">
            <v>FLAC 3</v>
          </cell>
          <cell r="K2268" t="str">
            <v>LACTALIS</v>
          </cell>
          <cell r="L2268" t="str">
            <v>RODRIGO</v>
          </cell>
          <cell r="M2268" t="str">
            <v>RAQUEL BARBOSA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  <cell r="H2269" t="str">
            <v>DISTRIBUIÇÃO</v>
          </cell>
          <cell r="I2269" t="str">
            <v>FOOD SERVICE</v>
          </cell>
          <cell r="J2269" t="str">
            <v>FLAC 5</v>
          </cell>
          <cell r="K2269" t="str">
            <v>LACTALIS</v>
          </cell>
          <cell r="L2269" t="str">
            <v>RODRIGO</v>
          </cell>
          <cell r="M2269" t="str">
            <v>RAQUEL BARBOSA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  <cell r="H2270" t="str">
            <v>DISTRIBUIÇÃO</v>
          </cell>
          <cell r="I2270" t="str">
            <v>FOOD SERVICE</v>
          </cell>
          <cell r="J2270" t="str">
            <v>FLAC 6</v>
          </cell>
          <cell r="K2270" t="str">
            <v>LACTALIS</v>
          </cell>
          <cell r="L2270" t="str">
            <v>RODRIGO</v>
          </cell>
          <cell r="M2270" t="str">
            <v>RAQUEL BARBOSA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  <cell r="H2271" t="str">
            <v>DISTRIBUIÇÃO</v>
          </cell>
          <cell r="I2271" t="str">
            <v>FOOD SERVICE</v>
          </cell>
          <cell r="J2271" t="str">
            <v>FLAC 5</v>
          </cell>
          <cell r="K2271" t="str">
            <v>LACTALIS</v>
          </cell>
          <cell r="L2271" t="str">
            <v>RODRIGO</v>
          </cell>
          <cell r="M2271" t="str">
            <v>RAQUEL BARBOSA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  <cell r="H2272" t="str">
            <v>DISTRIBUIÇÃO</v>
          </cell>
          <cell r="I2272" t="str">
            <v>FOOD SERVICE</v>
          </cell>
          <cell r="J2272" t="str">
            <v>FLAC 5</v>
          </cell>
          <cell r="K2272" t="str">
            <v>LACTALIS</v>
          </cell>
          <cell r="L2272" t="str">
            <v>RODRIGO</v>
          </cell>
          <cell r="M2272" t="str">
            <v>RAQUEL BARBOSA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  <cell r="H2273" t="str">
            <v>INGREDIENTS</v>
          </cell>
          <cell r="I2273" t="str">
            <v>INGREDIENTS</v>
          </cell>
          <cell r="J2273" t="str">
            <v>MARCELO RODRIGUES</v>
          </cell>
          <cell r="K2273" t="str">
            <v>LACTALIS</v>
          </cell>
          <cell r="L2273" t="str">
            <v>MAURICIO</v>
          </cell>
          <cell r="M2273" t="str">
            <v>MARCELO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  <cell r="H2274" t="str">
            <v>INGREDIENTS</v>
          </cell>
          <cell r="I2274" t="str">
            <v>INGREDIENTS</v>
          </cell>
          <cell r="J2274" t="str">
            <v>JOEL ELEOTÉRIO</v>
          </cell>
          <cell r="K2274" t="str">
            <v>LACTALIS</v>
          </cell>
          <cell r="L2274" t="str">
            <v>MAURICIO</v>
          </cell>
          <cell r="M2274" t="str">
            <v>JOEL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  <cell r="H2275" t="str">
            <v>INGREDIENTS</v>
          </cell>
          <cell r="I2275" t="str">
            <v>INGREDIENTS</v>
          </cell>
          <cell r="J2275" t="str">
            <v>MARCELO RODRIGUES</v>
          </cell>
          <cell r="K2275" t="str">
            <v>LACTALIS</v>
          </cell>
          <cell r="L2275" t="str">
            <v>MAURICIO</v>
          </cell>
          <cell r="M2275" t="str">
            <v>MARCELO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  <cell r="H2276" t="str">
            <v>INGREDIENTS</v>
          </cell>
          <cell r="I2276" t="str">
            <v>INGREDIENTS</v>
          </cell>
          <cell r="J2276" t="str">
            <v>JOEL ELEOTÉRIO</v>
          </cell>
          <cell r="K2276" t="str">
            <v>LACTALIS</v>
          </cell>
          <cell r="L2276" t="str">
            <v>MAURICIO</v>
          </cell>
          <cell r="M2276" t="str">
            <v>JOEL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  <cell r="H2277" t="str">
            <v>INGREDIENTS</v>
          </cell>
          <cell r="I2277" t="str">
            <v>INGREDIENTS</v>
          </cell>
          <cell r="J2277" t="str">
            <v>TATIANA NITTA</v>
          </cell>
          <cell r="K2277" t="str">
            <v>LACTALIS</v>
          </cell>
          <cell r="L2277" t="str">
            <v>MAURICIO</v>
          </cell>
          <cell r="M2277" t="str">
            <v>TATIANA NITTA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  <cell r="H2278" t="str">
            <v>INGREDIENTS</v>
          </cell>
          <cell r="I2278" t="str">
            <v>INGREDIENTS</v>
          </cell>
          <cell r="J2278" t="str">
            <v>MARCELO RODRIGUES</v>
          </cell>
          <cell r="K2278" t="str">
            <v>LACTALIS</v>
          </cell>
          <cell r="L2278" t="str">
            <v>MAURICIO</v>
          </cell>
          <cell r="M2278" t="str">
            <v>MARCELO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  <cell r="H2279" t="str">
            <v>INGREDIENTS</v>
          </cell>
          <cell r="I2279" t="str">
            <v>INGREDIENTS</v>
          </cell>
          <cell r="J2279" t="str">
            <v>MARCELO RODRIGUES</v>
          </cell>
          <cell r="K2279" t="str">
            <v>LACTALIS</v>
          </cell>
          <cell r="L2279" t="str">
            <v>MAURICIO</v>
          </cell>
          <cell r="M2279" t="str">
            <v>MARCELO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  <cell r="H2280" t="str">
            <v>INGREDIENTS</v>
          </cell>
          <cell r="I2280" t="str">
            <v>INGREDIENTS</v>
          </cell>
          <cell r="J2280" t="str">
            <v>JOEL ELEOTÉRIO</v>
          </cell>
          <cell r="K2280" t="str">
            <v>LACTALIS</v>
          </cell>
          <cell r="L2280" t="str">
            <v>MAURICIO</v>
          </cell>
          <cell r="M2280" t="str">
            <v>JOEL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  <cell r="H2281" t="str">
            <v>INGREDIENTS</v>
          </cell>
          <cell r="I2281" t="str">
            <v>INGREDIENTS</v>
          </cell>
          <cell r="J2281" t="str">
            <v>MARCELO RODRIGUES</v>
          </cell>
          <cell r="K2281" t="str">
            <v>LACTALIS</v>
          </cell>
          <cell r="L2281" t="str">
            <v>MAURICIO</v>
          </cell>
          <cell r="M2281" t="str">
            <v>MARCELO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  <cell r="H2282" t="str">
            <v>INGREDIENTS</v>
          </cell>
          <cell r="I2282" t="str">
            <v>INGREDIENTS</v>
          </cell>
          <cell r="J2282" t="str">
            <v>MARCELO RODRIGUES</v>
          </cell>
          <cell r="K2282" t="str">
            <v>LACTALIS</v>
          </cell>
          <cell r="L2282" t="str">
            <v>MAURICIO</v>
          </cell>
          <cell r="M2282" t="str">
            <v>MARCELO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  <cell r="H2283" t="str">
            <v>INGREDIENTS</v>
          </cell>
          <cell r="I2283" t="str">
            <v>INGREDIENTS</v>
          </cell>
          <cell r="J2283" t="str">
            <v>JOEL ELEOTÉRIO</v>
          </cell>
          <cell r="K2283" t="str">
            <v>LACTALIS</v>
          </cell>
          <cell r="L2283" t="str">
            <v>MAURICIO</v>
          </cell>
          <cell r="M2283" t="str">
            <v>JOEL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  <cell r="H2284" t="str">
            <v>INGREDIENTS</v>
          </cell>
          <cell r="I2284" t="str">
            <v>INGREDIENTS</v>
          </cell>
          <cell r="J2284" t="str">
            <v>MARCELO RODRIGUES</v>
          </cell>
          <cell r="K2284" t="str">
            <v>LACTALIS</v>
          </cell>
          <cell r="L2284" t="str">
            <v>MAURICIO</v>
          </cell>
          <cell r="M2284" t="str">
            <v>MARCELO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  <cell r="H2285" t="str">
            <v>INGREDIENTS</v>
          </cell>
          <cell r="I2285" t="str">
            <v>INGREDIENTS</v>
          </cell>
          <cell r="J2285" t="str">
            <v>JOEL ELEOTÉRIO</v>
          </cell>
          <cell r="K2285" t="str">
            <v>LACTALIS</v>
          </cell>
          <cell r="L2285" t="str">
            <v>MAURICIO</v>
          </cell>
          <cell r="M2285" t="str">
            <v>JOEL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  <cell r="H2286" t="str">
            <v>INGREDIENTS</v>
          </cell>
          <cell r="I2286" t="str">
            <v>INGREDIENTS</v>
          </cell>
          <cell r="J2286" t="str">
            <v>JOEL ELEOTÉRIO</v>
          </cell>
          <cell r="K2286" t="str">
            <v>LACTALIS</v>
          </cell>
          <cell r="L2286" t="str">
            <v>MAURICIO</v>
          </cell>
          <cell r="M2286" t="str">
            <v>JOEL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  <cell r="H2287" t="str">
            <v>INGREDIENTS</v>
          </cell>
          <cell r="I2287" t="str">
            <v>INGREDIENTS</v>
          </cell>
          <cell r="J2287" t="str">
            <v>JOEL ELEOTÉRIO</v>
          </cell>
          <cell r="K2287" t="str">
            <v>LACTALIS</v>
          </cell>
          <cell r="L2287" t="str">
            <v>MAURICIO</v>
          </cell>
          <cell r="M2287" t="str">
            <v>JOEL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  <cell r="H2288" t="str">
            <v>INGREDIENTS</v>
          </cell>
          <cell r="I2288" t="str">
            <v>INGREDIENTS</v>
          </cell>
          <cell r="J2288" t="str">
            <v>JOEL ELEOTÉRIO</v>
          </cell>
          <cell r="K2288" t="str">
            <v>LACTALIS</v>
          </cell>
          <cell r="L2288" t="str">
            <v>MAURICIO</v>
          </cell>
          <cell r="M2288" t="str">
            <v>JOEL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  <cell r="H2289" t="str">
            <v>INGREDIENTS</v>
          </cell>
          <cell r="I2289" t="str">
            <v>INGREDIENTS</v>
          </cell>
          <cell r="J2289" t="str">
            <v>JOEL ELEOTÉRIO</v>
          </cell>
          <cell r="K2289" t="str">
            <v>LACTALIS</v>
          </cell>
          <cell r="L2289" t="str">
            <v>MAURICIO</v>
          </cell>
          <cell r="M2289" t="str">
            <v>JOEL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  <cell r="H2290" t="str">
            <v>INGREDIENTS</v>
          </cell>
          <cell r="I2290" t="str">
            <v>INGREDIENTS</v>
          </cell>
          <cell r="J2290" t="str">
            <v>MARCELO RODRIGUES</v>
          </cell>
          <cell r="K2290" t="str">
            <v>LACTALIS</v>
          </cell>
          <cell r="L2290" t="str">
            <v>MAURICIO</v>
          </cell>
          <cell r="M2290" t="str">
            <v>MARCELO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  <cell r="H2291" t="str">
            <v>INGREDIENTS</v>
          </cell>
          <cell r="I2291" t="str">
            <v>INGREDIENTS</v>
          </cell>
          <cell r="J2291" t="str">
            <v>JOEL ELEOTÉRIO</v>
          </cell>
          <cell r="K2291" t="str">
            <v>LACTALIS</v>
          </cell>
          <cell r="L2291" t="str">
            <v>MAURICIO</v>
          </cell>
          <cell r="M2291" t="str">
            <v>JOEL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  <cell r="H2292" t="str">
            <v>INGREDIENTS</v>
          </cell>
          <cell r="I2292" t="str">
            <v>INGREDIENTS</v>
          </cell>
          <cell r="J2292" t="str">
            <v>MARCELO RODRIGUES</v>
          </cell>
          <cell r="K2292" t="str">
            <v>LACTALIS</v>
          </cell>
          <cell r="L2292" t="str">
            <v>MAURICIO</v>
          </cell>
          <cell r="M2292" t="str">
            <v>MARCELO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  <cell r="H2293" t="str">
            <v>INGREDIENTS</v>
          </cell>
          <cell r="I2293" t="str">
            <v>INGREDIENTS</v>
          </cell>
          <cell r="J2293" t="str">
            <v>MARCELO RODRIGUES</v>
          </cell>
          <cell r="K2293" t="str">
            <v>LACTALIS</v>
          </cell>
          <cell r="L2293" t="str">
            <v>MAURICIO</v>
          </cell>
          <cell r="M2293" t="str">
            <v>MARCELO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  <cell r="H2294" t="str">
            <v>DISTRIBUIÇÃO</v>
          </cell>
          <cell r="I2294" t="str">
            <v>FOOD SERVICE</v>
          </cell>
          <cell r="J2294" t="str">
            <v>FLAC 5</v>
          </cell>
          <cell r="K2294" t="str">
            <v>LACTALIS</v>
          </cell>
          <cell r="L2294" t="str">
            <v>RODRIGO</v>
          </cell>
          <cell r="M2294" t="str">
            <v>RAQUEL BARBOSA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  <cell r="H2295" t="str">
            <v>DISTRIBUIÇÃO</v>
          </cell>
          <cell r="I2295" t="str">
            <v>FOOD SERVICE</v>
          </cell>
          <cell r="J2295" t="str">
            <v>FLAC 6</v>
          </cell>
          <cell r="K2295" t="str">
            <v>LACTALIS</v>
          </cell>
          <cell r="L2295" t="str">
            <v>RODRIGO</v>
          </cell>
          <cell r="M2295" t="str">
            <v>RAQUEL BARBOSA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  <cell r="H2296" t="str">
            <v>INGREDIENTS</v>
          </cell>
          <cell r="I2296" t="str">
            <v>INGREDIENTS</v>
          </cell>
          <cell r="J2296" t="str">
            <v>HENRIQUE FERREIRA</v>
          </cell>
          <cell r="K2296" t="str">
            <v>ITAMBÉ</v>
          </cell>
          <cell r="L2296" t="str">
            <v>MAURICIO</v>
          </cell>
          <cell r="M2296" t="str">
            <v>JOEL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  <cell r="H2297" t="str">
            <v>DISTRIBUIÇÃO</v>
          </cell>
          <cell r="I2297" t="str">
            <v>FOOD SERVICE</v>
          </cell>
          <cell r="J2297" t="str">
            <v>FLAC 5</v>
          </cell>
          <cell r="K2297" t="str">
            <v>LACTALIS</v>
          </cell>
          <cell r="L2297" t="str">
            <v>RODRIGO</v>
          </cell>
          <cell r="M2297" t="str">
            <v>RAQUEL BARBOSA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  <cell r="H2298" t="str">
            <v>DISTRIBUIÇÃO</v>
          </cell>
          <cell r="I2298" t="str">
            <v>FOOD SERVICE</v>
          </cell>
          <cell r="J2298" t="str">
            <v>FLAC 5</v>
          </cell>
          <cell r="K2298" t="str">
            <v>LACTALIS</v>
          </cell>
          <cell r="L2298" t="str">
            <v>RODRIGO</v>
          </cell>
          <cell r="M2298" t="str">
            <v>RAQUEL BARBOSA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  <cell r="H2299" t="str">
            <v>DISTRIBUIÇÃO</v>
          </cell>
          <cell r="I2299" t="str">
            <v>FOOD SERVICE</v>
          </cell>
          <cell r="J2299" t="str">
            <v>FLAC 2</v>
          </cell>
          <cell r="K2299" t="str">
            <v>LACTALIS</v>
          </cell>
          <cell r="L2299" t="str">
            <v>RODRIGO</v>
          </cell>
          <cell r="M2299" t="str">
            <v>RAQUEL BARBOSA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  <cell r="H2300" t="str">
            <v>INGREDIENTS</v>
          </cell>
          <cell r="I2300" t="str">
            <v>INGREDIENTS</v>
          </cell>
          <cell r="J2300" t="str">
            <v>TATIANA NITTA</v>
          </cell>
          <cell r="K2300" t="str">
            <v>ITAMBÉ</v>
          </cell>
          <cell r="L2300" t="str">
            <v>MAURICIO</v>
          </cell>
          <cell r="M2300" t="str">
            <v>TATIANA NITTA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  <cell r="H2301" t="str">
            <v>DISTRIBUIÇÃO</v>
          </cell>
          <cell r="I2301" t="str">
            <v>FOOD SERVICE</v>
          </cell>
          <cell r="J2301" t="str">
            <v>FLAC 5</v>
          </cell>
          <cell r="K2301" t="str">
            <v>LACTALIS</v>
          </cell>
          <cell r="L2301" t="str">
            <v>RODRIGO</v>
          </cell>
          <cell r="M2301" t="str">
            <v>RAQUEL BARBOSA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  <cell r="H2302" t="str">
            <v>DISTRIBUIÇÃO</v>
          </cell>
          <cell r="I2302" t="str">
            <v>FOOD SERVICE</v>
          </cell>
          <cell r="J2302" t="str">
            <v>FLAC 8</v>
          </cell>
          <cell r="K2302" t="str">
            <v>LACTALIS</v>
          </cell>
          <cell r="L2302" t="str">
            <v>RODRIGO</v>
          </cell>
          <cell r="M2302" t="str">
            <v>RAQUEL BARBOSA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  <cell r="H2303" t="str">
            <v>DISTRIBUIÇÃO</v>
          </cell>
          <cell r="I2303" t="str">
            <v>FOOD SERVICE</v>
          </cell>
          <cell r="J2303" t="str">
            <v>FLAC 5</v>
          </cell>
          <cell r="K2303" t="str">
            <v>LACTALIS</v>
          </cell>
          <cell r="L2303" t="str">
            <v>RODRIGO</v>
          </cell>
          <cell r="M2303" t="str">
            <v>RAQUEL BARBOSA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  <cell r="H2304" t="str">
            <v>OUTROS</v>
          </cell>
          <cell r="I2304" t="str">
            <v>OUTROS</v>
          </cell>
          <cell r="J2304" t="str">
            <v>SERVIÇO TIROL</v>
          </cell>
          <cell r="K2304" t="str">
            <v>OUTROS</v>
          </cell>
          <cell r="L2304" t="str">
            <v>OUTROS</v>
          </cell>
          <cell r="M2304" t="str">
            <v>SERVIÇO TIROL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  <cell r="H2305" t="str">
            <v>QSR</v>
          </cell>
          <cell r="I2305" t="str">
            <v>FOOD SERVICE</v>
          </cell>
          <cell r="J2305" t="str">
            <v>ANA MENIQUETE</v>
          </cell>
          <cell r="K2305" t="str">
            <v>LACTALIS</v>
          </cell>
          <cell r="L2305" t="str">
            <v>PEDRO</v>
          </cell>
          <cell r="M2305" t="str">
            <v>ANA MENIQUETE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  <cell r="H2306" t="str">
            <v>INGREDIENTS</v>
          </cell>
          <cell r="I2306" t="str">
            <v>INGREDIENTS</v>
          </cell>
          <cell r="J2306" t="str">
            <v>HENRIQUE FERREIRA</v>
          </cell>
          <cell r="K2306" t="str">
            <v>ITAMBÉ</v>
          </cell>
          <cell r="L2306" t="str">
            <v>MAURICIO</v>
          </cell>
          <cell r="M2306" t="str">
            <v>JOEL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  <cell r="H2307" t="str">
            <v>DISTRIBUIÇÃO</v>
          </cell>
          <cell r="I2307" t="str">
            <v>FOOD SERVICE</v>
          </cell>
          <cell r="J2307" t="str">
            <v>FLAC 5</v>
          </cell>
          <cell r="K2307" t="str">
            <v>LACTALIS</v>
          </cell>
          <cell r="L2307" t="str">
            <v>RODRIGO</v>
          </cell>
          <cell r="M2307" t="str">
            <v>RAQUEL BARBOSA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  <cell r="H2308" t="str">
            <v>DISTRIBUIÇÃO</v>
          </cell>
          <cell r="I2308" t="str">
            <v>FOOD SERVICE</v>
          </cell>
          <cell r="J2308" t="str">
            <v>FLAC 3</v>
          </cell>
          <cell r="K2308" t="str">
            <v>LACTALIS</v>
          </cell>
          <cell r="L2308" t="str">
            <v>RODRIGO</v>
          </cell>
          <cell r="M2308" t="str">
            <v>RAQUEL BARBOSA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  <cell r="H2309" t="str">
            <v>DISTRIBUIÇÃO</v>
          </cell>
          <cell r="I2309" t="str">
            <v>FOOD SERVICE</v>
          </cell>
          <cell r="J2309" t="str">
            <v>FLAC 5</v>
          </cell>
          <cell r="K2309" t="str">
            <v>LACTALIS</v>
          </cell>
          <cell r="L2309" t="str">
            <v>RODRIGO</v>
          </cell>
          <cell r="M2309" t="str">
            <v>RAQUEL BARBOSA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  <cell r="H2310" t="str">
            <v>DISTRIBUIÇÃO</v>
          </cell>
          <cell r="I2310" t="str">
            <v>FOOD SERVICE</v>
          </cell>
          <cell r="J2310" t="str">
            <v>FLAC 6</v>
          </cell>
          <cell r="K2310" t="str">
            <v>LACTALIS</v>
          </cell>
          <cell r="L2310" t="str">
            <v>RODRIGO</v>
          </cell>
          <cell r="M2310" t="str">
            <v>RAQUEL BARBOSA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  <cell r="H2311" t="str">
            <v>DISTRIBUIÇÃO</v>
          </cell>
          <cell r="I2311" t="str">
            <v>FOOD SERVICE</v>
          </cell>
          <cell r="J2311" t="str">
            <v>FLAC 2</v>
          </cell>
          <cell r="K2311" t="str">
            <v>LACTALIS</v>
          </cell>
          <cell r="L2311" t="str">
            <v>RODRIGO</v>
          </cell>
          <cell r="M2311" t="str">
            <v>RAQUEL BARBOSA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  <cell r="H2312" t="str">
            <v>INGREDIENTS</v>
          </cell>
          <cell r="I2312" t="str">
            <v>INGREDIENTS</v>
          </cell>
          <cell r="J2312" t="str">
            <v>MARCELO RODRIGUES</v>
          </cell>
          <cell r="K2312" t="str">
            <v>LACTALIS</v>
          </cell>
          <cell r="L2312" t="str">
            <v>MAURICIO</v>
          </cell>
          <cell r="M2312" t="str">
            <v>MARCELO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  <cell r="H2313" t="str">
            <v>DISTRIBUIÇÃO</v>
          </cell>
          <cell r="I2313" t="str">
            <v>FOOD SERVICE</v>
          </cell>
          <cell r="J2313" t="str">
            <v>FLAC 2</v>
          </cell>
          <cell r="K2313" t="str">
            <v>LACTALIS</v>
          </cell>
          <cell r="L2313" t="str">
            <v>RODRIGO</v>
          </cell>
          <cell r="M2313" t="str">
            <v>RAQUEL BARBOSA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  <cell r="H2314" t="str">
            <v>DISTRIBUIÇÃO</v>
          </cell>
          <cell r="I2314" t="str">
            <v>FOOD SERVICE</v>
          </cell>
          <cell r="J2314" t="str">
            <v>CLAUDIO JORGE/LUIZ</v>
          </cell>
          <cell r="K2314" t="str">
            <v>ITAMBÉ</v>
          </cell>
          <cell r="L2314" t="str">
            <v>RODRIGO</v>
          </cell>
          <cell r="M2314" t="str">
            <v>MARIA LOURDES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  <cell r="H2315" t="str">
            <v>DISTRIBUIÇÃO</v>
          </cell>
          <cell r="I2315" t="str">
            <v>FOOD SERVICE</v>
          </cell>
          <cell r="J2315" t="str">
            <v>WH FOOD SERVICE CE</v>
          </cell>
          <cell r="K2315" t="str">
            <v>ITAMBÉ</v>
          </cell>
          <cell r="L2315" t="str">
            <v>RODRIGO</v>
          </cell>
          <cell r="M2315" t="str">
            <v>MARIA LOURDES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  <cell r="H2316" t="str">
            <v>INGREDIENTS</v>
          </cell>
          <cell r="I2316" t="str">
            <v>INGREDIENTS</v>
          </cell>
          <cell r="J2316" t="str">
            <v>JOEL ELEOTÉRIO</v>
          </cell>
          <cell r="K2316" t="str">
            <v>LACTALIS</v>
          </cell>
          <cell r="L2316" t="str">
            <v>MAURICIO</v>
          </cell>
          <cell r="M2316" t="str">
            <v>JOEL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  <cell r="H2317" t="str">
            <v>DISTRIBUIÇÃO</v>
          </cell>
          <cell r="I2317" t="str">
            <v>FOOD SERVICE</v>
          </cell>
          <cell r="J2317" t="str">
            <v>FLAC 5</v>
          </cell>
          <cell r="K2317" t="str">
            <v>LACTALIS</v>
          </cell>
          <cell r="L2317" t="str">
            <v>RODRIGO</v>
          </cell>
          <cell r="M2317" t="str">
            <v>RAQUEL BARBOSA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  <cell r="H2318" t="str">
            <v>DISTRIBUIÇÃO</v>
          </cell>
          <cell r="I2318" t="str">
            <v>FOOD SERVICE</v>
          </cell>
          <cell r="J2318" t="str">
            <v>FLAC 5</v>
          </cell>
          <cell r="K2318" t="str">
            <v>LACTALIS</v>
          </cell>
          <cell r="L2318" t="str">
            <v>RODRIGO</v>
          </cell>
          <cell r="M2318" t="str">
            <v>RAQUEL BARBOSA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  <cell r="H2319" t="str">
            <v>INGREDIENTS</v>
          </cell>
          <cell r="I2319" t="str">
            <v>INGREDIENTS</v>
          </cell>
          <cell r="J2319" t="str">
            <v>TATIANA NITTA</v>
          </cell>
          <cell r="K2319" t="str">
            <v>LACTALIS</v>
          </cell>
          <cell r="L2319" t="str">
            <v>MAURICIO</v>
          </cell>
          <cell r="M2319" t="str">
            <v>TATIANA NITTA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  <cell r="H2320" t="str">
            <v>DISTRIBUIÇÃO</v>
          </cell>
          <cell r="I2320" t="str">
            <v>FOOD SERVICE</v>
          </cell>
          <cell r="J2320" t="str">
            <v>FLAC 2</v>
          </cell>
          <cell r="K2320" t="str">
            <v>LACTALIS</v>
          </cell>
          <cell r="L2320" t="str">
            <v>RODRIGO</v>
          </cell>
          <cell r="M2320" t="str">
            <v>RAQUEL BARBOSA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  <cell r="H2321" t="str">
            <v>DISTRIBUIÇÃO</v>
          </cell>
          <cell r="I2321" t="str">
            <v>FOOD SERVICE</v>
          </cell>
          <cell r="J2321" t="str">
            <v>FLAC 5</v>
          </cell>
          <cell r="K2321" t="str">
            <v>LACTALIS</v>
          </cell>
          <cell r="L2321" t="str">
            <v>RODRIGO</v>
          </cell>
          <cell r="M2321" t="str">
            <v>RAQUEL BARBOSA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  <cell r="H2322" t="str">
            <v>DISTRIBUIÇÃO</v>
          </cell>
          <cell r="I2322" t="str">
            <v>FOOD SERVICE</v>
          </cell>
          <cell r="J2322" t="str">
            <v>VAGO SP</v>
          </cell>
          <cell r="K2322" t="str">
            <v>ITAMBÉ</v>
          </cell>
          <cell r="L2322" t="str">
            <v>RODRIGO</v>
          </cell>
          <cell r="M2322" t="str">
            <v>RAQUEL BARBOSA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  <cell r="H2323" t="str">
            <v>DISTRIBUIÇÃO</v>
          </cell>
          <cell r="I2323" t="str">
            <v>FOOD SERVICE</v>
          </cell>
          <cell r="J2323" t="str">
            <v>FLAC 5</v>
          </cell>
          <cell r="K2323" t="str">
            <v>LACTALIS</v>
          </cell>
          <cell r="L2323" t="str">
            <v>RODRIGO</v>
          </cell>
          <cell r="M2323" t="str">
            <v>RAQUEL BARBOSA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  <cell r="H2324" t="str">
            <v>DISTRIBUIÇÃO</v>
          </cell>
          <cell r="I2324" t="str">
            <v>FOOD SERVICE</v>
          </cell>
          <cell r="J2324" t="str">
            <v>FLAC 5</v>
          </cell>
          <cell r="K2324" t="str">
            <v>LACTALIS</v>
          </cell>
          <cell r="L2324" t="str">
            <v>RODRIGO</v>
          </cell>
          <cell r="M2324" t="str">
            <v>RAQUEL BARBOSA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  <cell r="H2325" t="str">
            <v>DISTRIBUIÇÃO</v>
          </cell>
          <cell r="I2325" t="str">
            <v>FOOD SERVICE</v>
          </cell>
          <cell r="J2325" t="str">
            <v>FLAC 5</v>
          </cell>
          <cell r="K2325" t="str">
            <v>LACTALIS</v>
          </cell>
          <cell r="L2325" t="str">
            <v>RODRIGO</v>
          </cell>
          <cell r="M2325" t="str">
            <v>RAQUEL BARBOSA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  <cell r="H2326" t="str">
            <v>DISTRIBUIÇÃO</v>
          </cell>
          <cell r="I2326" t="str">
            <v>FOOD SERVICE</v>
          </cell>
          <cell r="J2326" t="str">
            <v>FLAC 5</v>
          </cell>
          <cell r="K2326" t="str">
            <v>LACTALIS</v>
          </cell>
          <cell r="L2326" t="str">
            <v>RODRIGO</v>
          </cell>
          <cell r="M2326" t="str">
            <v>RAQUEL BARBOSA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  <cell r="H2327" t="str">
            <v>DISTRIBUIÇÃO</v>
          </cell>
          <cell r="I2327" t="str">
            <v>FOOD SERVICE</v>
          </cell>
          <cell r="J2327" t="str">
            <v>WH FOOD SERVICE CE</v>
          </cell>
          <cell r="K2327" t="str">
            <v>ITAMBÉ</v>
          </cell>
          <cell r="L2327" t="str">
            <v>RODRIGO</v>
          </cell>
          <cell r="M2327" t="str">
            <v>MARIA LOURDES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  <cell r="H2328" t="str">
            <v>DISTRIBUIÇÃO</v>
          </cell>
          <cell r="I2328" t="str">
            <v>FOOD SERVICE</v>
          </cell>
          <cell r="J2328" t="str">
            <v>CLAUDIO JORGE/LUIZ</v>
          </cell>
          <cell r="K2328" t="str">
            <v>ITAMBÉ</v>
          </cell>
          <cell r="L2328" t="str">
            <v>RODRIGO</v>
          </cell>
          <cell r="M2328" t="str">
            <v>MARIA LOURDES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  <cell r="H2329" t="str">
            <v>DISTRIBUIÇÃO</v>
          </cell>
          <cell r="I2329" t="str">
            <v>FOOD SERVICE</v>
          </cell>
          <cell r="J2329" t="str">
            <v>CLAUDIO JORGE</v>
          </cell>
          <cell r="K2329" t="str">
            <v>ITAMBÉ</v>
          </cell>
          <cell r="L2329" t="str">
            <v>RODRIGO</v>
          </cell>
          <cell r="M2329" t="str">
            <v>MARIA LOURDES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  <cell r="H2330" t="str">
            <v>DISTRIBUIÇÃO</v>
          </cell>
          <cell r="I2330" t="str">
            <v>FOOD SERVICE</v>
          </cell>
          <cell r="J2330" t="str">
            <v>FLAC 5</v>
          </cell>
          <cell r="K2330" t="str">
            <v>LACTALIS</v>
          </cell>
          <cell r="L2330" t="str">
            <v>RODRIGO</v>
          </cell>
          <cell r="M2330" t="str">
            <v>RAQUEL BARBOSA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  <cell r="H2331" t="str">
            <v>INGREDIENTS</v>
          </cell>
          <cell r="I2331" t="str">
            <v>INGREDIENTS</v>
          </cell>
          <cell r="J2331" t="str">
            <v>HENRIQUE FERREIRA</v>
          </cell>
          <cell r="K2331" t="str">
            <v>ITAMBÉ</v>
          </cell>
          <cell r="L2331" t="str">
            <v>MAURICIO</v>
          </cell>
          <cell r="M2331" t="str">
            <v>JOEL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  <cell r="H2332" t="str">
            <v>DISTRIBUIÇÃO</v>
          </cell>
          <cell r="I2332" t="str">
            <v>FOOD SERVICE</v>
          </cell>
          <cell r="J2332" t="str">
            <v>MARCELO DUARTE</v>
          </cell>
          <cell r="K2332" t="str">
            <v>LACTALIS</v>
          </cell>
          <cell r="L2332" t="str">
            <v>RODRIGO</v>
          </cell>
          <cell r="M2332" t="str">
            <v>JESSICA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  <cell r="H2333" t="str">
            <v>INGREDIENTS</v>
          </cell>
          <cell r="I2333" t="str">
            <v>INGREDIENTS</v>
          </cell>
          <cell r="J2333" t="str">
            <v>JOEL ELEOTÉRIO</v>
          </cell>
          <cell r="K2333" t="str">
            <v>LACTALIS</v>
          </cell>
          <cell r="L2333" t="str">
            <v>MAURICIO</v>
          </cell>
          <cell r="M2333" t="str">
            <v>JOEL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  <cell r="H2334" t="str">
            <v>DISTRIBUIÇÃO</v>
          </cell>
          <cell r="I2334" t="str">
            <v>FOOD SERVICE</v>
          </cell>
          <cell r="J2334" t="str">
            <v>WH FOOD SERVICE CE</v>
          </cell>
          <cell r="K2334" t="str">
            <v>ITAMBÉ</v>
          </cell>
          <cell r="L2334" t="str">
            <v>RODRIGO</v>
          </cell>
          <cell r="M2334" t="str">
            <v>MARIA LOURDES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  <cell r="H2335" t="str">
            <v>DISTRIBUIÇÃO</v>
          </cell>
          <cell r="I2335" t="str">
            <v>FOOD SERVICE</v>
          </cell>
          <cell r="J2335" t="str">
            <v>MARCELO DUARTE</v>
          </cell>
          <cell r="K2335" t="str">
            <v>ITAMBÉ</v>
          </cell>
          <cell r="L2335" t="str">
            <v>RODRIGO</v>
          </cell>
          <cell r="M2335" t="str">
            <v>JESSICA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  <cell r="H2336" t="str">
            <v>DISTRIBUIÇÃO</v>
          </cell>
          <cell r="I2336" t="str">
            <v>FOOD SERVICE</v>
          </cell>
          <cell r="J2336" t="str">
            <v>FLAC 5</v>
          </cell>
          <cell r="K2336" t="str">
            <v>LACTALIS</v>
          </cell>
          <cell r="L2336" t="str">
            <v>RODRIGO</v>
          </cell>
          <cell r="M2336" t="str">
            <v>RAQUEL BARBOSA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  <cell r="H2337" t="str">
            <v>DISTRIBUIÇÃO</v>
          </cell>
          <cell r="I2337" t="str">
            <v>FOOD SERVICE</v>
          </cell>
          <cell r="J2337" t="str">
            <v>CLAUDIO JORGE/LUIZ</v>
          </cell>
          <cell r="K2337" t="str">
            <v>ITAMBÉ</v>
          </cell>
          <cell r="L2337" t="str">
            <v>RODRIGO</v>
          </cell>
          <cell r="M2337" t="str">
            <v>MARIA LOURDES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  <cell r="H2338" t="str">
            <v>INGREDIENTS</v>
          </cell>
          <cell r="I2338" t="str">
            <v>INGREDIENTS</v>
          </cell>
          <cell r="J2338" t="str">
            <v>TATIANA NITTA</v>
          </cell>
          <cell r="K2338" t="str">
            <v>LACTALIS</v>
          </cell>
          <cell r="L2338" t="str">
            <v>MAURICIO</v>
          </cell>
          <cell r="M2338" t="str">
            <v>TATIANA NITTA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  <cell r="H2339" t="str">
            <v>INGREDIENTS</v>
          </cell>
          <cell r="I2339" t="str">
            <v>INGREDIENTS</v>
          </cell>
          <cell r="J2339" t="str">
            <v>HENRIQUE FERREIRA</v>
          </cell>
          <cell r="K2339" t="str">
            <v>ITAMBÉ</v>
          </cell>
          <cell r="L2339" t="str">
            <v>MAURICIO</v>
          </cell>
          <cell r="M2339" t="str">
            <v>JOEL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  <cell r="H2340" t="str">
            <v>DISTRIBUIÇÃO</v>
          </cell>
          <cell r="I2340" t="str">
            <v>FOOD SERVICE</v>
          </cell>
          <cell r="J2340" t="str">
            <v>FLAC 2</v>
          </cell>
          <cell r="K2340" t="str">
            <v>LACTALIS</v>
          </cell>
          <cell r="L2340" t="str">
            <v>RODRIGO</v>
          </cell>
          <cell r="M2340" t="str">
            <v>RAQUEL BARBOSA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  <cell r="H2341" t="str">
            <v>DISTRIBUIÇÃO</v>
          </cell>
          <cell r="I2341" t="str">
            <v>FOOD SERVICE</v>
          </cell>
          <cell r="J2341" t="str">
            <v>FLAC 6</v>
          </cell>
          <cell r="K2341" t="str">
            <v>LACTALIS</v>
          </cell>
          <cell r="L2341" t="str">
            <v>RODRIGO</v>
          </cell>
          <cell r="M2341" t="str">
            <v>RAQUEL BARBOSA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  <cell r="H2342" t="str">
            <v>DISTRIBUIÇÃO</v>
          </cell>
          <cell r="I2342" t="str">
            <v>FOOD SERVICE</v>
          </cell>
          <cell r="J2342" t="str">
            <v>FLAC 5</v>
          </cell>
          <cell r="K2342" t="str">
            <v>LACTALIS</v>
          </cell>
          <cell r="L2342" t="str">
            <v>RODRIGO</v>
          </cell>
          <cell r="M2342" t="str">
            <v>RAQUEL BARBOSA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  <cell r="H2343" t="str">
            <v>INGREDIENTS</v>
          </cell>
          <cell r="I2343" t="str">
            <v>INGREDIENTS</v>
          </cell>
          <cell r="J2343" t="str">
            <v>HENRIQUE FERREIRA</v>
          </cell>
          <cell r="K2343" t="str">
            <v>LACTALIS</v>
          </cell>
          <cell r="L2343" t="str">
            <v>MAURICIO</v>
          </cell>
          <cell r="M2343" t="str">
            <v>JOEL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  <cell r="H2344" t="str">
            <v>DISTRIBUIÇÃO</v>
          </cell>
          <cell r="I2344" t="str">
            <v>FOOD SERVICE</v>
          </cell>
          <cell r="J2344" t="str">
            <v>FLAC 2</v>
          </cell>
          <cell r="K2344" t="str">
            <v>LACTALIS</v>
          </cell>
          <cell r="L2344" t="str">
            <v>RODRIGO</v>
          </cell>
          <cell r="M2344" t="str">
            <v>RAQUEL BARBOSA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  <cell r="H2345" t="str">
            <v>DISTRIBUIÇÃO</v>
          </cell>
          <cell r="I2345" t="str">
            <v>FOOD SERVICE</v>
          </cell>
          <cell r="J2345" t="str">
            <v>FLAC 2</v>
          </cell>
          <cell r="K2345" t="str">
            <v>LACTALIS</v>
          </cell>
          <cell r="L2345" t="str">
            <v>RODRIGO</v>
          </cell>
          <cell r="M2345" t="str">
            <v>RAQUEL BARBOSA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  <cell r="H2346" t="str">
            <v>DISTRIBUIÇÃO</v>
          </cell>
          <cell r="I2346" t="str">
            <v>FOOD SERVICE</v>
          </cell>
          <cell r="J2346" t="str">
            <v>JULIANA CORDEIRO</v>
          </cell>
          <cell r="K2346" t="str">
            <v>ITAMBÉ</v>
          </cell>
          <cell r="L2346" t="str">
            <v>RODRIGO</v>
          </cell>
          <cell r="M2346" t="str">
            <v>JESSICA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  <cell r="H2347" t="str">
            <v>DISTRIBUIÇÃO</v>
          </cell>
          <cell r="I2347" t="str">
            <v>FOOD SERVICE</v>
          </cell>
          <cell r="J2347" t="str">
            <v>FLAC 3</v>
          </cell>
          <cell r="K2347" t="str">
            <v>LACTALIS</v>
          </cell>
          <cell r="L2347" t="str">
            <v>RODRIGO</v>
          </cell>
          <cell r="M2347" t="str">
            <v>RAQUEL BARBOSA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  <cell r="H2348" t="str">
            <v>DISTRIBUIÇÃO</v>
          </cell>
          <cell r="I2348" t="str">
            <v>FOOD SERVICE</v>
          </cell>
          <cell r="J2348" t="str">
            <v>MARCO AURELIO/MARIA LAURA</v>
          </cell>
          <cell r="K2348" t="str">
            <v>LACTALIS</v>
          </cell>
          <cell r="L2348" t="str">
            <v>RODRIGO</v>
          </cell>
          <cell r="M2348" t="str">
            <v>MARCO AURELIO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  <cell r="H2349" t="str">
            <v>INGREDIENTS</v>
          </cell>
          <cell r="I2349" t="str">
            <v>INGREDIENTS</v>
          </cell>
          <cell r="J2349" t="str">
            <v>HENRIQUE FERREIRA</v>
          </cell>
          <cell r="K2349" t="str">
            <v>ITAMBÉ</v>
          </cell>
          <cell r="L2349" t="str">
            <v>MAURICIO</v>
          </cell>
          <cell r="M2349" t="str">
            <v>JOEL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  <cell r="H2350" t="str">
            <v>DISTRIBUIÇÃO</v>
          </cell>
          <cell r="I2350" t="str">
            <v>FOOD SERVICE</v>
          </cell>
          <cell r="J2350" t="str">
            <v>FLAC 4</v>
          </cell>
          <cell r="K2350" t="str">
            <v>LACTALIS</v>
          </cell>
          <cell r="L2350" t="str">
            <v>RODRIGO</v>
          </cell>
          <cell r="M2350" t="str">
            <v>RAQUEL BARBOSA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  <cell r="H2351" t="str">
            <v>DISTRIBUIÇÃO</v>
          </cell>
          <cell r="I2351" t="str">
            <v>FOOD SERVICE</v>
          </cell>
          <cell r="J2351" t="str">
            <v>FLAC 4</v>
          </cell>
          <cell r="K2351" t="str">
            <v>LACTALIS</v>
          </cell>
          <cell r="L2351" t="str">
            <v>RODRIGO</v>
          </cell>
          <cell r="M2351" t="str">
            <v>RAQUEL BARBOSA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  <cell r="H2352" t="str">
            <v>INGREDIENTS</v>
          </cell>
          <cell r="I2352" t="str">
            <v>INGREDIENTS</v>
          </cell>
          <cell r="J2352" t="str">
            <v>HENRIQUE FERREIRA</v>
          </cell>
          <cell r="K2352" t="str">
            <v>ITAMBÉ</v>
          </cell>
          <cell r="L2352" t="str">
            <v>MAURICIO</v>
          </cell>
          <cell r="M2352" t="str">
            <v>JOEL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  <cell r="H2353" t="str">
            <v>DISTRIBUIÇÃO</v>
          </cell>
          <cell r="I2353" t="str">
            <v>FOOD SERVICE</v>
          </cell>
          <cell r="J2353" t="str">
            <v>CLAUDIO JORGE/AMANDA SANDS</v>
          </cell>
          <cell r="K2353" t="str">
            <v>LACTALIS</v>
          </cell>
          <cell r="L2353" t="str">
            <v>RODRIGO</v>
          </cell>
          <cell r="M2353" t="str">
            <v>MARIA LOURDES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  <cell r="H2354" t="str">
            <v>DISTRIBUIÇÃO</v>
          </cell>
          <cell r="I2354" t="str">
            <v>FOOD SERVICE</v>
          </cell>
          <cell r="J2354" t="str">
            <v>FLAC 5</v>
          </cell>
          <cell r="K2354" t="str">
            <v>LACTALIS</v>
          </cell>
          <cell r="L2354" t="str">
            <v>RODRIGO</v>
          </cell>
          <cell r="M2354" t="str">
            <v>RAQUEL BARBOSA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  <cell r="H2355" t="str">
            <v>INGREDIENTS</v>
          </cell>
          <cell r="I2355" t="str">
            <v>INGREDIENTS</v>
          </cell>
          <cell r="J2355" t="str">
            <v>HENRIQUE FERREIRA</v>
          </cell>
          <cell r="K2355" t="str">
            <v>ITAMBÉ</v>
          </cell>
          <cell r="L2355" t="str">
            <v>MAURICIO</v>
          </cell>
          <cell r="M2355" t="str">
            <v>JOEL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  <cell r="H2356" t="str">
            <v>INGREDIENTS</v>
          </cell>
          <cell r="I2356" t="str">
            <v>INGREDIENTS</v>
          </cell>
          <cell r="J2356" t="str">
            <v>MARCELO RODRIGUES</v>
          </cell>
          <cell r="K2356" t="str">
            <v>LACTALIS</v>
          </cell>
          <cell r="L2356" t="str">
            <v>MAURICIO</v>
          </cell>
          <cell r="M2356" t="str">
            <v>MARCELO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  <cell r="H2357" t="str">
            <v>INGREDIENTS</v>
          </cell>
          <cell r="I2357" t="str">
            <v>INGREDIENTS</v>
          </cell>
          <cell r="J2357" t="str">
            <v>MARCELO RODRIGUES</v>
          </cell>
          <cell r="K2357" t="str">
            <v>LACTALIS</v>
          </cell>
          <cell r="L2357" t="str">
            <v>MAURICIO</v>
          </cell>
          <cell r="M2357" t="str">
            <v>MARCELO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  <cell r="H2358" t="str">
            <v>DISTRIBUIÇÃO</v>
          </cell>
          <cell r="I2358" t="str">
            <v>FOOD SERVICE</v>
          </cell>
          <cell r="J2358" t="str">
            <v>FLAC 7</v>
          </cell>
          <cell r="K2358" t="str">
            <v>LACTALIS</v>
          </cell>
          <cell r="L2358" t="str">
            <v>RODRIGO</v>
          </cell>
          <cell r="M2358" t="str">
            <v>RAQUEL BARBOSA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  <cell r="H2359" t="str">
            <v>DISTRIBUIÇÃO</v>
          </cell>
          <cell r="I2359" t="str">
            <v>FOOD SERVICE</v>
          </cell>
          <cell r="J2359" t="str">
            <v>FLAC 5</v>
          </cell>
          <cell r="K2359" t="str">
            <v>LACTALIS</v>
          </cell>
          <cell r="L2359" t="str">
            <v>RODRIGO</v>
          </cell>
          <cell r="M2359" t="str">
            <v>RAQUEL BARBOSA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  <cell r="H2360" t="str">
            <v>DISTRIBUIÇÃO</v>
          </cell>
          <cell r="I2360" t="str">
            <v>FOOD SERVICE</v>
          </cell>
          <cell r="J2360" t="str">
            <v>FLAC 6</v>
          </cell>
          <cell r="K2360" t="str">
            <v>LACTALIS</v>
          </cell>
          <cell r="L2360" t="str">
            <v>RODRIGO</v>
          </cell>
          <cell r="M2360" t="str">
            <v>RAQUEL BARBOSA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  <cell r="H2361" t="str">
            <v>DISTRIBUIÇÃO</v>
          </cell>
          <cell r="I2361" t="str">
            <v>FOOD SERVICE</v>
          </cell>
          <cell r="J2361" t="str">
            <v>FLAC 5</v>
          </cell>
          <cell r="K2361" t="str">
            <v>LACTALIS</v>
          </cell>
          <cell r="L2361" t="str">
            <v>RODRIGO</v>
          </cell>
          <cell r="M2361" t="str">
            <v>RAQUEL BARBOSA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  <cell r="H2362" t="str">
            <v>DISTRIBUIÇÃO</v>
          </cell>
          <cell r="I2362" t="str">
            <v>FOOD SERVICE</v>
          </cell>
          <cell r="J2362" t="str">
            <v>FLAC 6</v>
          </cell>
          <cell r="K2362" t="str">
            <v>LACTALIS</v>
          </cell>
          <cell r="L2362" t="str">
            <v>RODRIGO</v>
          </cell>
          <cell r="M2362" t="str">
            <v>RAQUEL BARBOSA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  <cell r="H2363" t="str">
            <v>INGREDIENTS</v>
          </cell>
          <cell r="I2363" t="str">
            <v>INGREDIENTS</v>
          </cell>
          <cell r="J2363" t="str">
            <v>JOEL ELEOTÉRIO</v>
          </cell>
          <cell r="K2363" t="str">
            <v>LACTALIS</v>
          </cell>
          <cell r="L2363" t="str">
            <v>MAURICIO</v>
          </cell>
          <cell r="M2363" t="str">
            <v>JOEL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  <cell r="H2364" t="str">
            <v>INGREDIENTS</v>
          </cell>
          <cell r="I2364" t="str">
            <v>INGREDIENTS</v>
          </cell>
          <cell r="J2364" t="str">
            <v>JOEL ELEOTÉRIO</v>
          </cell>
          <cell r="K2364" t="str">
            <v>LACTALIS</v>
          </cell>
          <cell r="L2364" t="str">
            <v>MAURICIO</v>
          </cell>
          <cell r="M2364" t="str">
            <v>JOEL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  <cell r="H2365" t="str">
            <v>DISTRIBUIÇÃO</v>
          </cell>
          <cell r="I2365" t="str">
            <v>FOOD SERVICE</v>
          </cell>
          <cell r="J2365" t="str">
            <v>FLAC 5</v>
          </cell>
          <cell r="K2365" t="str">
            <v>LACTALIS</v>
          </cell>
          <cell r="L2365" t="str">
            <v>RODRIGO</v>
          </cell>
          <cell r="M2365" t="str">
            <v>RAQUEL BARBOSA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  <cell r="H2366" t="str">
            <v>INGREDIENTS</v>
          </cell>
          <cell r="I2366" t="str">
            <v>INGREDIENTS</v>
          </cell>
          <cell r="J2366" t="str">
            <v>HENRIQUE FERREIRA</v>
          </cell>
          <cell r="K2366" t="str">
            <v>ITAMBÉ</v>
          </cell>
          <cell r="L2366" t="str">
            <v>MAURICIO</v>
          </cell>
          <cell r="M2366" t="str">
            <v>JOEL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  <cell r="H2367" t="str">
            <v>INGREDIENTS</v>
          </cell>
          <cell r="I2367" t="str">
            <v>INGREDIENTS</v>
          </cell>
          <cell r="J2367" t="str">
            <v>JOEL ELEOTÉRIO</v>
          </cell>
          <cell r="K2367" t="str">
            <v>LACTALIS</v>
          </cell>
          <cell r="L2367" t="str">
            <v>MAURICIO</v>
          </cell>
          <cell r="M2367" t="str">
            <v>JOEL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  <cell r="H2368" t="str">
            <v>INGREDIENTS</v>
          </cell>
          <cell r="I2368" t="str">
            <v>INGREDIENTS</v>
          </cell>
          <cell r="J2368" t="str">
            <v>MARCELO RODRIGUES</v>
          </cell>
          <cell r="K2368" t="str">
            <v>LACTALIS</v>
          </cell>
          <cell r="L2368" t="str">
            <v>MAURICIO</v>
          </cell>
          <cell r="M2368" t="str">
            <v>MARCELO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  <cell r="H2369" t="str">
            <v>QSR</v>
          </cell>
          <cell r="I2369" t="str">
            <v>FOOD SERVICE</v>
          </cell>
          <cell r="J2369" t="str">
            <v>ANA MENIQUETE</v>
          </cell>
          <cell r="K2369" t="str">
            <v>ITAMBÉ</v>
          </cell>
          <cell r="L2369" t="str">
            <v>PEDRO</v>
          </cell>
          <cell r="M2369" t="str">
            <v>ANA MENIQUETE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  <cell r="H2370" t="str">
            <v>DISTRIBUIÇÃO</v>
          </cell>
          <cell r="I2370" t="str">
            <v>FOOD SERVICE</v>
          </cell>
          <cell r="J2370" t="str">
            <v>FLAC 6</v>
          </cell>
          <cell r="K2370" t="str">
            <v>LACTALIS</v>
          </cell>
          <cell r="L2370" t="str">
            <v>RODRIGO</v>
          </cell>
          <cell r="M2370" t="str">
            <v>RAQUEL BARBOSA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  <cell r="H2371" t="str">
            <v>DISTRIBUIÇÃO</v>
          </cell>
          <cell r="I2371" t="str">
            <v>FOOD SERVICE</v>
          </cell>
          <cell r="J2371" t="str">
            <v>FLAC 5</v>
          </cell>
          <cell r="K2371" t="str">
            <v>LACTALIS</v>
          </cell>
          <cell r="L2371" t="str">
            <v>RODRIGO</v>
          </cell>
          <cell r="M2371" t="str">
            <v>RAQUEL BARBOSA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  <cell r="H2372" t="str">
            <v>QSR</v>
          </cell>
          <cell r="I2372" t="str">
            <v>FOOD SERVICE</v>
          </cell>
          <cell r="J2372" t="str">
            <v>ANA MENIQUETE</v>
          </cell>
          <cell r="K2372" t="str">
            <v>LACTALIS</v>
          </cell>
          <cell r="L2372" t="str">
            <v>PEDRO</v>
          </cell>
          <cell r="M2372" t="str">
            <v>ANA MENIQUETE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  <cell r="H2373" t="str">
            <v>INGREDIENTS</v>
          </cell>
          <cell r="I2373" t="str">
            <v>INGREDIENTS</v>
          </cell>
          <cell r="J2373" t="str">
            <v>MARCELO RODRIGUES</v>
          </cell>
          <cell r="K2373" t="str">
            <v>LACTALIS</v>
          </cell>
          <cell r="L2373" t="str">
            <v>MAURICIO</v>
          </cell>
          <cell r="M2373" t="str">
            <v>MARCELO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  <cell r="H2374" t="str">
            <v>INGREDIENTS</v>
          </cell>
          <cell r="I2374" t="str">
            <v>INGREDIENTS</v>
          </cell>
          <cell r="J2374" t="str">
            <v>MARCELO RODRIGUES</v>
          </cell>
          <cell r="K2374" t="str">
            <v>LACTALIS</v>
          </cell>
          <cell r="L2374" t="str">
            <v>MAURICIO</v>
          </cell>
          <cell r="M2374" t="str">
            <v>MARCELO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  <cell r="H2375" t="str">
            <v>DISTRIBUIÇÃO</v>
          </cell>
          <cell r="I2375" t="str">
            <v>FOOD SERVICE</v>
          </cell>
          <cell r="J2375" t="str">
            <v>CLAUDIO JORGE/LUIZ</v>
          </cell>
          <cell r="K2375" t="str">
            <v>ITAMBÉ</v>
          </cell>
          <cell r="L2375" t="str">
            <v>RODRIGO</v>
          </cell>
          <cell r="M2375" t="str">
            <v>MARIA LOURDES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  <cell r="H2376" t="str">
            <v>QSR</v>
          </cell>
          <cell r="I2376" t="str">
            <v>FOOD SERVICE</v>
          </cell>
          <cell r="J2376" t="str">
            <v>VAGO QSR</v>
          </cell>
          <cell r="K2376" t="str">
            <v>ITAMBÉ</v>
          </cell>
          <cell r="L2376" t="str">
            <v>PEDRO</v>
          </cell>
          <cell r="M2376" t="str">
            <v>VAGO QSR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  <cell r="H2377" t="str">
            <v>DISTRIBUIÇÃO</v>
          </cell>
          <cell r="I2377" t="str">
            <v>FOOD SERVICE</v>
          </cell>
          <cell r="J2377" t="str">
            <v>FLAC 5</v>
          </cell>
          <cell r="K2377" t="str">
            <v>LACTALIS</v>
          </cell>
          <cell r="L2377" t="str">
            <v>RODRIGO</v>
          </cell>
          <cell r="M2377" t="str">
            <v>RAQUEL BARBOSA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  <cell r="H2378" t="str">
            <v>DISTRIBUIÇÃO</v>
          </cell>
          <cell r="I2378" t="str">
            <v>FOOD SERVICE</v>
          </cell>
          <cell r="J2378" t="str">
            <v>FLAC 5</v>
          </cell>
          <cell r="K2378" t="str">
            <v>LACTALIS</v>
          </cell>
          <cell r="L2378" t="str">
            <v>RODRIGO</v>
          </cell>
          <cell r="M2378" t="str">
            <v>RAQUEL BARBOSA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  <cell r="H2379" t="str">
            <v>DISTRIBUIÇÃO</v>
          </cell>
          <cell r="I2379" t="str">
            <v>FOOD SERVICE</v>
          </cell>
          <cell r="J2379" t="str">
            <v>FLAC 5</v>
          </cell>
          <cell r="K2379" t="str">
            <v>LACTALIS</v>
          </cell>
          <cell r="L2379" t="str">
            <v>RODRIGO</v>
          </cell>
          <cell r="M2379" t="str">
            <v>RAQUEL BARBOSA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  <cell r="H2380" t="str">
            <v>INGREDIENTS</v>
          </cell>
          <cell r="I2380" t="str">
            <v>INGREDIENTS</v>
          </cell>
          <cell r="J2380" t="str">
            <v>MARCELO RODRIGUES</v>
          </cell>
          <cell r="K2380" t="str">
            <v>ITAMBÉ</v>
          </cell>
          <cell r="L2380" t="str">
            <v>MAURICIO</v>
          </cell>
          <cell r="M2380" t="str">
            <v>MARCELO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  <cell r="H2381" t="str">
            <v>DISTRIBUIÇÃO</v>
          </cell>
          <cell r="I2381" t="str">
            <v>FOOD SERVICE</v>
          </cell>
          <cell r="J2381" t="str">
            <v>MARCELO DUARTE</v>
          </cell>
          <cell r="K2381" t="str">
            <v>ITAMBÉ</v>
          </cell>
          <cell r="L2381" t="str">
            <v>RODRIGO</v>
          </cell>
          <cell r="M2381" t="str">
            <v>JESSICA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  <cell r="H2382" t="str">
            <v>DISTRIBUIÇÃO</v>
          </cell>
          <cell r="I2382" t="str">
            <v>FOOD SERVICE</v>
          </cell>
          <cell r="J2382" t="str">
            <v>MARCELO DUARTE</v>
          </cell>
          <cell r="K2382" t="str">
            <v>ITAMBÉ</v>
          </cell>
          <cell r="L2382" t="str">
            <v>RODRIGO</v>
          </cell>
          <cell r="M2382" t="str">
            <v>JESSICA</v>
          </cell>
        </row>
        <row r="2383">
          <cell r="B2383">
            <v>5069172</v>
          </cell>
          <cell r="C2383" t="str">
            <v>SANNA COMERCIO DE ALIMENTOS LTDA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  <cell r="H2383" t="str">
            <v>DISTRIBUIÇÃO</v>
          </cell>
          <cell r="I2383" t="str">
            <v>FOOD SERVICE</v>
          </cell>
          <cell r="J2383" t="str">
            <v>ALEXANDRE BONANI</v>
          </cell>
          <cell r="K2383" t="str">
            <v>ITAMBÉ</v>
          </cell>
          <cell r="L2383" t="str">
            <v>RODRIGO</v>
          </cell>
          <cell r="M2383" t="str">
            <v>ALEXANDRE BONANI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  <cell r="H2384" t="str">
            <v>DISTRIBUIÇÃO</v>
          </cell>
          <cell r="I2384" t="str">
            <v>FOOD SERVICE</v>
          </cell>
          <cell r="J2384" t="str">
            <v>LUCIANA MARTINS</v>
          </cell>
          <cell r="K2384" t="str">
            <v>ITAMBÉ</v>
          </cell>
          <cell r="L2384" t="str">
            <v>RODRIGO</v>
          </cell>
          <cell r="M2384" t="str">
            <v>JESSICA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  <cell r="H2385" t="str">
            <v>DISTRIBUIÇÃO</v>
          </cell>
          <cell r="I2385" t="str">
            <v>FOOD SERVICE</v>
          </cell>
          <cell r="J2385" t="str">
            <v>SP ITB FS FLAC REP.E COMERCIO</v>
          </cell>
          <cell r="K2385" t="str">
            <v>ITAMBÉ</v>
          </cell>
          <cell r="L2385" t="str">
            <v>RODRIGO</v>
          </cell>
          <cell r="M2385" t="str">
            <v>RAQUEL BARBOSA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  <cell r="H2386" t="str">
            <v>DISTRIBUIÇÃO</v>
          </cell>
          <cell r="I2386" t="str">
            <v>FOOD SERVICE</v>
          </cell>
          <cell r="J2386" t="str">
            <v>CLAUDIO JORGE/LUIZ</v>
          </cell>
          <cell r="K2386" t="str">
            <v>ITAMBÉ</v>
          </cell>
          <cell r="L2386" t="str">
            <v>RODRIGO</v>
          </cell>
          <cell r="M2386" t="str">
            <v>MARIA LOURDES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  <cell r="H2387" t="str">
            <v>DISTRIBUIÇÃO</v>
          </cell>
          <cell r="I2387" t="str">
            <v>FOOD SERVICE</v>
          </cell>
          <cell r="J2387" t="str">
            <v>MARCELO DUARTE</v>
          </cell>
          <cell r="K2387" t="str">
            <v>ITAMBÉ</v>
          </cell>
          <cell r="L2387" t="str">
            <v>RODRIGO</v>
          </cell>
          <cell r="M2387" t="str">
            <v>JESSICA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  <cell r="H2388" t="str">
            <v>INGREDIENTS</v>
          </cell>
          <cell r="I2388" t="str">
            <v>INGREDIENTS</v>
          </cell>
          <cell r="J2388" t="str">
            <v>DUAS RODAS</v>
          </cell>
          <cell r="K2388" t="str">
            <v>ITAMBÉ</v>
          </cell>
          <cell r="L2388" t="str">
            <v>MAURICIO</v>
          </cell>
          <cell r="M2388" t="str">
            <v>TATIANA NITTA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  <cell r="H2389" t="str">
            <v>DISTRIBUIÇÃO</v>
          </cell>
          <cell r="I2389" t="str">
            <v>FOOD SERVICE</v>
          </cell>
          <cell r="J2389" t="str">
            <v>MARCELO DUARTE</v>
          </cell>
          <cell r="K2389" t="str">
            <v>ITAMBÉ</v>
          </cell>
          <cell r="L2389" t="str">
            <v>RODRIGO</v>
          </cell>
          <cell r="M2389" t="str">
            <v>JESSICA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  <cell r="H2390" t="str">
            <v>INGREDIENTS</v>
          </cell>
          <cell r="I2390" t="str">
            <v>INGREDIENTS</v>
          </cell>
          <cell r="J2390" t="str">
            <v>DUAS RODAS</v>
          </cell>
          <cell r="K2390" t="str">
            <v>ITAMBÉ</v>
          </cell>
          <cell r="L2390" t="str">
            <v>MAURICIO</v>
          </cell>
          <cell r="M2390" t="str">
            <v>MARCELO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  <cell r="H2391" t="str">
            <v>INGREDIENTS</v>
          </cell>
          <cell r="I2391" t="str">
            <v>INGREDIENTS</v>
          </cell>
          <cell r="J2391" t="str">
            <v>HENRIQUE FERREIRA</v>
          </cell>
          <cell r="K2391" t="str">
            <v>ITAMBÉ</v>
          </cell>
          <cell r="L2391" t="str">
            <v>MAURICIO</v>
          </cell>
          <cell r="M2391" t="str">
            <v>JOEL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  <cell r="H2392" t="str">
            <v>INGREDIENTS</v>
          </cell>
          <cell r="I2392" t="str">
            <v>INGREDIENTS</v>
          </cell>
          <cell r="J2392" t="str">
            <v>HENRIQUE FERREIRA</v>
          </cell>
          <cell r="K2392" t="str">
            <v>ITAMBÉ</v>
          </cell>
          <cell r="L2392" t="str">
            <v>MAURICIO</v>
          </cell>
          <cell r="M2392" t="str">
            <v>JOEL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  <cell r="H2393" t="str">
            <v>DISTRIBUIÇÃO</v>
          </cell>
          <cell r="I2393" t="str">
            <v>FOOD SERVICE</v>
          </cell>
          <cell r="J2393" t="str">
            <v>WH FOOD SERVICE CE</v>
          </cell>
          <cell r="K2393" t="str">
            <v>ITAMBÉ</v>
          </cell>
          <cell r="L2393" t="str">
            <v>RODRIGO</v>
          </cell>
          <cell r="M2393" t="str">
            <v>MARIA LOURDES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  <cell r="H2394" t="str">
            <v>INGREDIENTS</v>
          </cell>
          <cell r="I2394" t="str">
            <v>INGREDIENTS</v>
          </cell>
          <cell r="J2394" t="str">
            <v>JOEL ELEOTÉRIO</v>
          </cell>
          <cell r="K2394" t="str">
            <v>LACTALIS</v>
          </cell>
          <cell r="L2394" t="str">
            <v>MAURICIO</v>
          </cell>
          <cell r="M2394" t="str">
            <v>JOEL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  <cell r="H2395" t="str">
            <v>DISTRIBUIÇÃO</v>
          </cell>
          <cell r="I2395" t="str">
            <v>FOOD SERVICE</v>
          </cell>
          <cell r="J2395" t="str">
            <v>WH FOOD SERVICE CE</v>
          </cell>
          <cell r="K2395" t="str">
            <v>ITAMBÉ</v>
          </cell>
          <cell r="L2395" t="str">
            <v>RODRIGO</v>
          </cell>
          <cell r="M2395" t="str">
            <v>MARIA LOURDES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  <cell r="H2396" t="str">
            <v>DISTRIBUIÇÃO</v>
          </cell>
          <cell r="I2396" t="str">
            <v>FOOD SERVICE</v>
          </cell>
          <cell r="J2396" t="str">
            <v>MARCELO DUARTE</v>
          </cell>
          <cell r="K2396" t="str">
            <v>ITAMBÉ</v>
          </cell>
          <cell r="L2396" t="str">
            <v>RODRIGO</v>
          </cell>
          <cell r="M2396" t="str">
            <v>JESSICA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  <cell r="H2397" t="str">
            <v>DISTRIBUIÇÃO</v>
          </cell>
          <cell r="I2397" t="str">
            <v>FOOD SERVICE</v>
          </cell>
          <cell r="J2397" t="str">
            <v>MARCELO DUARTE</v>
          </cell>
          <cell r="K2397" t="str">
            <v>ITAMBÉ</v>
          </cell>
          <cell r="L2397" t="str">
            <v>RODRIGO</v>
          </cell>
          <cell r="M2397" t="str">
            <v>JESSICA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  <cell r="H2398" t="str">
            <v>DISTRIBUIÇÃO</v>
          </cell>
          <cell r="I2398" t="str">
            <v>FOOD SERVICE</v>
          </cell>
          <cell r="J2398" t="str">
            <v>MARCO AURELIO</v>
          </cell>
          <cell r="K2398" t="str">
            <v>ITAMBÉ</v>
          </cell>
          <cell r="L2398" t="str">
            <v>RODRIGO</v>
          </cell>
          <cell r="M2398" t="str">
            <v>MARCO AURELIO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  <cell r="H2399" t="str">
            <v>INGREDIENTS</v>
          </cell>
          <cell r="I2399" t="str">
            <v>INGREDIENTS</v>
          </cell>
          <cell r="J2399" t="str">
            <v>MARCELO RODRIGUES</v>
          </cell>
          <cell r="K2399" t="str">
            <v>ITAMBÉ</v>
          </cell>
          <cell r="L2399" t="str">
            <v>MAURICIO</v>
          </cell>
          <cell r="M2399" t="str">
            <v>MARCELO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  <cell r="H2400" t="str">
            <v>INGREDIENTS</v>
          </cell>
          <cell r="I2400" t="str">
            <v>INGREDIENTS</v>
          </cell>
          <cell r="J2400" t="str">
            <v>HENRIQUE FERREIRA</v>
          </cell>
          <cell r="K2400" t="str">
            <v>ITAMBÉ</v>
          </cell>
          <cell r="L2400" t="str">
            <v>MAURICIO</v>
          </cell>
          <cell r="M2400" t="str">
            <v>JOEL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  <cell r="H2401" t="str">
            <v>DISTRIBUIÇÃO</v>
          </cell>
          <cell r="I2401" t="str">
            <v>FOOD SERVICE</v>
          </cell>
          <cell r="J2401" t="str">
            <v>CELIO/MARANATHA</v>
          </cell>
          <cell r="K2401" t="str">
            <v>LACTALIS</v>
          </cell>
          <cell r="L2401" t="str">
            <v>RODRIGO</v>
          </cell>
          <cell r="M2401" t="str">
            <v>CELIO MARTINS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  <cell r="H2402" t="str">
            <v>INGREDIENTS</v>
          </cell>
          <cell r="I2402" t="str">
            <v>INGREDIENTS</v>
          </cell>
          <cell r="J2402" t="str">
            <v>HENRIQUE FERREIRA</v>
          </cell>
          <cell r="K2402" t="str">
            <v>ITAMBÉ</v>
          </cell>
          <cell r="L2402" t="str">
            <v>MAURICIO</v>
          </cell>
          <cell r="M2402" t="str">
            <v>JOEL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  <cell r="H2403" t="str">
            <v>DISTRIBUIÇÃO</v>
          </cell>
          <cell r="I2403" t="str">
            <v>FOOD SERVICE</v>
          </cell>
          <cell r="J2403" t="str">
            <v>JESSICA CARLA</v>
          </cell>
          <cell r="K2403" t="str">
            <v>ITAMBÉ</v>
          </cell>
          <cell r="L2403" t="str">
            <v>RODRIGO</v>
          </cell>
          <cell r="M2403" t="str">
            <v>JESSICA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  <cell r="H2404" t="str">
            <v>INGREDIENTS</v>
          </cell>
          <cell r="I2404" t="str">
            <v>INGREDIENTS</v>
          </cell>
          <cell r="J2404" t="str">
            <v>JOEL ELEOTÉRIO</v>
          </cell>
          <cell r="K2404" t="str">
            <v>ITAMBÉ</v>
          </cell>
          <cell r="L2404" t="str">
            <v>MAURICIO</v>
          </cell>
          <cell r="M2404" t="str">
            <v>JOEL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  <cell r="H2405" t="str">
            <v>DISTRIBUIÇÃO</v>
          </cell>
          <cell r="I2405" t="str">
            <v>FOOD SERVICE</v>
          </cell>
          <cell r="J2405" t="str">
            <v>GUILHERME NASCIMENTO</v>
          </cell>
          <cell r="K2405" t="str">
            <v>ITAMBÉ</v>
          </cell>
          <cell r="L2405" t="str">
            <v>RODRIGO</v>
          </cell>
          <cell r="M2405" t="str">
            <v>ALEXANDRO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  <cell r="H2406" t="str">
            <v>DISTRIBUIÇÃO</v>
          </cell>
          <cell r="I2406" t="str">
            <v>FOOD SERVICE</v>
          </cell>
          <cell r="J2406" t="str">
            <v>CLAUDIO JORGE/LUIZ</v>
          </cell>
          <cell r="K2406" t="str">
            <v>ITAMBÉ</v>
          </cell>
          <cell r="L2406" t="str">
            <v>RODRIGO</v>
          </cell>
          <cell r="M2406" t="str">
            <v>MARIA LOURDES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  <cell r="H2407" t="str">
            <v>DISTRIBUIÇÃO</v>
          </cell>
          <cell r="I2407" t="str">
            <v>FOOD SERVICE</v>
          </cell>
          <cell r="J2407" t="str">
            <v>FLAC 5</v>
          </cell>
          <cell r="K2407" t="str">
            <v>LACTALIS</v>
          </cell>
          <cell r="L2407" t="str">
            <v>RODRIGO</v>
          </cell>
          <cell r="M2407" t="str">
            <v>RAQUEL BARBOSA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  <cell r="H2408" t="str">
            <v>INGREDIENTS</v>
          </cell>
          <cell r="I2408" t="str">
            <v>INGREDIENTS</v>
          </cell>
          <cell r="J2408" t="str">
            <v>JOEL ELEOTÉRIO</v>
          </cell>
          <cell r="K2408" t="str">
            <v>ITAMBÉ</v>
          </cell>
          <cell r="L2408" t="str">
            <v>MAURICIO</v>
          </cell>
          <cell r="M2408" t="str">
            <v>JOEL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  <cell r="H2409" t="str">
            <v>DISTRIBUIÇÃO</v>
          </cell>
          <cell r="I2409" t="str">
            <v>FOOD SERVICE</v>
          </cell>
          <cell r="J2409" t="str">
            <v>FLAC 3</v>
          </cell>
          <cell r="K2409" t="str">
            <v>LACTALIS</v>
          </cell>
          <cell r="L2409" t="str">
            <v>RODRIGO</v>
          </cell>
          <cell r="M2409" t="str">
            <v>RAQUEL BARBOSA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  <cell r="H2410" t="str">
            <v>DISTRIBUIÇÃO</v>
          </cell>
          <cell r="I2410" t="str">
            <v>FOOD SERVICE</v>
          </cell>
          <cell r="J2410" t="str">
            <v>FLAC 2</v>
          </cell>
          <cell r="K2410" t="str">
            <v>LACTALIS</v>
          </cell>
          <cell r="L2410" t="str">
            <v>RODRIGO</v>
          </cell>
          <cell r="M2410" t="str">
            <v>RAQUEL BARBOSA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  <cell r="H2411" t="str">
            <v>DISTRIBUIÇÃO</v>
          </cell>
          <cell r="I2411" t="str">
            <v>FOOD SERVICE</v>
          </cell>
          <cell r="J2411" t="str">
            <v>FLAC 2</v>
          </cell>
          <cell r="K2411" t="str">
            <v>LACTALIS</v>
          </cell>
          <cell r="L2411" t="str">
            <v>RODRIGO</v>
          </cell>
          <cell r="M2411" t="str">
            <v>RAQUEL BARBOSA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  <cell r="H2412" t="str">
            <v>DISTRIBUIÇÃO</v>
          </cell>
          <cell r="I2412" t="str">
            <v>FOOD SERVICE</v>
          </cell>
          <cell r="J2412" t="str">
            <v>LUCIANA MARTINS</v>
          </cell>
          <cell r="K2412" t="str">
            <v>LACTALIS</v>
          </cell>
          <cell r="L2412" t="str">
            <v>RODRIGO</v>
          </cell>
          <cell r="M2412" t="str">
            <v>JESSICA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  <cell r="H2413" t="str">
            <v>INGREDIENTS</v>
          </cell>
          <cell r="I2413" t="str">
            <v>INGREDIENTS</v>
          </cell>
          <cell r="J2413" t="str">
            <v>MARCELO RODRIGUES</v>
          </cell>
          <cell r="K2413" t="str">
            <v>LACTALIS</v>
          </cell>
          <cell r="L2413" t="str">
            <v>MAURICIO</v>
          </cell>
          <cell r="M2413" t="str">
            <v>MARCELO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  <cell r="H2414" t="str">
            <v>DISTRIBUIÇÃO</v>
          </cell>
          <cell r="I2414" t="str">
            <v>FOOD SERVICE</v>
          </cell>
          <cell r="J2414" t="str">
            <v>CLAUDIO JORGE/LUIZ</v>
          </cell>
          <cell r="K2414" t="str">
            <v>ITAMBÉ</v>
          </cell>
          <cell r="L2414" t="str">
            <v>RODRIGO</v>
          </cell>
          <cell r="M2414" t="str">
            <v>MARIA LOURDES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  <cell r="H2415" t="str">
            <v>INGREDIENTS</v>
          </cell>
          <cell r="I2415" t="str">
            <v>INGREDIENTS</v>
          </cell>
          <cell r="J2415" t="str">
            <v>MARCELO RODRIGUES</v>
          </cell>
          <cell r="K2415" t="str">
            <v>ITAMBÉ</v>
          </cell>
          <cell r="L2415" t="str">
            <v>MAURICIO</v>
          </cell>
          <cell r="M2415" t="str">
            <v>MARCELO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  <cell r="H2416" t="str">
            <v>INGREDIENTS</v>
          </cell>
          <cell r="I2416" t="str">
            <v>INGREDIENTS</v>
          </cell>
          <cell r="J2416" t="str">
            <v>JOEL ELEOTÉRIO</v>
          </cell>
          <cell r="K2416" t="str">
            <v>LACTALIS</v>
          </cell>
          <cell r="L2416" t="str">
            <v>MAURICIO</v>
          </cell>
          <cell r="M2416" t="str">
            <v>JOEL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  <cell r="H2417" t="str">
            <v>INGREDIENTS</v>
          </cell>
          <cell r="I2417" t="str">
            <v>INGREDIENTS</v>
          </cell>
          <cell r="J2417" t="str">
            <v>TATIANA NITTA</v>
          </cell>
          <cell r="K2417" t="str">
            <v>ITAMBÉ</v>
          </cell>
          <cell r="L2417" t="str">
            <v>MAURICIO</v>
          </cell>
          <cell r="M2417" t="str">
            <v>TATIANA NITTA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  <cell r="H2418" t="str">
            <v>DISTRIBUIÇÃO</v>
          </cell>
          <cell r="I2418" t="str">
            <v>FOOD SERVICE</v>
          </cell>
          <cell r="J2418" t="str">
            <v>FLAC 2</v>
          </cell>
          <cell r="K2418" t="str">
            <v>LACTALIS</v>
          </cell>
          <cell r="L2418" t="str">
            <v>RODRIGO</v>
          </cell>
          <cell r="M2418" t="str">
            <v>RAQUEL BARBOSA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  <cell r="H2419" t="str">
            <v>DISTRIBUIÇÃO</v>
          </cell>
          <cell r="I2419" t="str">
            <v>FOOD SERVICE</v>
          </cell>
          <cell r="J2419" t="str">
            <v>FLAC 2</v>
          </cell>
          <cell r="K2419" t="str">
            <v>LACTALIS</v>
          </cell>
          <cell r="L2419" t="str">
            <v>RODRIGO</v>
          </cell>
          <cell r="M2419" t="str">
            <v>RAQUEL BARBOSA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  <cell r="H2420" t="str">
            <v>DISTRIBUIÇÃO</v>
          </cell>
          <cell r="I2420" t="str">
            <v>FOOD SERVICE</v>
          </cell>
          <cell r="J2420" t="str">
            <v>FLAC 3</v>
          </cell>
          <cell r="K2420" t="str">
            <v>LACTALIS</v>
          </cell>
          <cell r="L2420" t="str">
            <v>RODRIGO</v>
          </cell>
          <cell r="M2420" t="str">
            <v>RAQUEL BARBOSA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  <cell r="H2421" t="str">
            <v>DISTRIBUIÇÃO</v>
          </cell>
          <cell r="I2421" t="str">
            <v>FOOD SERVICE</v>
          </cell>
          <cell r="J2421" t="str">
            <v>FLAC 5</v>
          </cell>
          <cell r="K2421" t="str">
            <v>LACTALIS</v>
          </cell>
          <cell r="L2421" t="str">
            <v>RODRIGO</v>
          </cell>
          <cell r="M2421" t="str">
            <v>RAQUEL BARBOSA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  <cell r="H2422" t="str">
            <v>DISTRIBUIÇÃO</v>
          </cell>
          <cell r="I2422" t="str">
            <v>FOOD SERVICE</v>
          </cell>
          <cell r="J2422" t="str">
            <v>ANGELICA BATISTELA</v>
          </cell>
          <cell r="K2422" t="str">
            <v>ITAMBÉ</v>
          </cell>
          <cell r="L2422" t="str">
            <v>RODRIGO</v>
          </cell>
          <cell r="M2422" t="str">
            <v>ANGELICA BATISTELA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  <cell r="H2423" t="str">
            <v>DISTRIBUIÇÃO</v>
          </cell>
          <cell r="I2423" t="str">
            <v>FOOD SERVICE</v>
          </cell>
          <cell r="J2423" t="str">
            <v>FLAC 6</v>
          </cell>
          <cell r="K2423" t="str">
            <v>LACTALIS</v>
          </cell>
          <cell r="L2423" t="str">
            <v>RODRIGO</v>
          </cell>
          <cell r="M2423" t="str">
            <v>RAQUEL BARBOSA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  <cell r="H2424" t="str">
            <v>DISTRIBUIÇÃO</v>
          </cell>
          <cell r="I2424" t="str">
            <v>FOOD SERVICE</v>
          </cell>
          <cell r="J2424" t="str">
            <v>FLAC 2</v>
          </cell>
          <cell r="K2424" t="str">
            <v>LACTALIS</v>
          </cell>
          <cell r="L2424" t="str">
            <v>RODRIGO</v>
          </cell>
          <cell r="M2424" t="str">
            <v>RAQUEL BARBOSA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  <cell r="H2425" t="str">
            <v>DISTRIBUIÇÃO</v>
          </cell>
          <cell r="I2425" t="str">
            <v>FOOD SERVICE</v>
          </cell>
          <cell r="J2425" t="str">
            <v>FLAC 5</v>
          </cell>
          <cell r="K2425" t="str">
            <v>LACTALIS</v>
          </cell>
          <cell r="L2425" t="str">
            <v>RODRIGO</v>
          </cell>
          <cell r="M2425" t="str">
            <v>RAQUEL BARBOSA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  <cell r="H2426" t="str">
            <v>QSR</v>
          </cell>
          <cell r="I2426" t="str">
            <v>FOOD SERVICE</v>
          </cell>
          <cell r="J2426" t="str">
            <v>VAGO QSR</v>
          </cell>
          <cell r="K2426" t="str">
            <v>ITAMBÉ</v>
          </cell>
          <cell r="L2426" t="str">
            <v>PEDRO</v>
          </cell>
          <cell r="M2426" t="str">
            <v>VAGO QSR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  <cell r="H2427" t="str">
            <v>INGREDIENTS</v>
          </cell>
          <cell r="I2427" t="str">
            <v>INGREDIENTS</v>
          </cell>
          <cell r="J2427" t="str">
            <v>DUAS RODAS</v>
          </cell>
          <cell r="K2427" t="str">
            <v>ITAMBÉ</v>
          </cell>
          <cell r="L2427" t="str">
            <v>MAURICIO</v>
          </cell>
          <cell r="M2427" t="str">
            <v>MARCELO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  <cell r="H2428" t="str">
            <v>DISTRIBUIÇÃO</v>
          </cell>
          <cell r="I2428" t="str">
            <v>FOOD SERVICE</v>
          </cell>
          <cell r="J2428" t="str">
            <v>FLAC 7</v>
          </cell>
          <cell r="K2428" t="str">
            <v>LACTALIS</v>
          </cell>
          <cell r="L2428" t="str">
            <v>RODRIGO</v>
          </cell>
          <cell r="M2428" t="str">
            <v>RAQUEL BARBOSA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  <cell r="H2429" t="str">
            <v>INGREDIENTS</v>
          </cell>
          <cell r="I2429" t="str">
            <v>INGREDIENTS</v>
          </cell>
          <cell r="J2429" t="str">
            <v>JOEL ELEOTÉRIO</v>
          </cell>
          <cell r="K2429" t="str">
            <v>LACTALIS</v>
          </cell>
          <cell r="L2429" t="str">
            <v>MAURICIO</v>
          </cell>
          <cell r="M2429" t="str">
            <v>JOEL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  <cell r="H2430" t="str">
            <v>DISTRIBUIÇÃO</v>
          </cell>
          <cell r="I2430" t="str">
            <v>FOOD SERVICE</v>
          </cell>
          <cell r="J2430" t="str">
            <v>FLAC 10</v>
          </cell>
          <cell r="K2430" t="str">
            <v>LACTALIS</v>
          </cell>
          <cell r="L2430" t="str">
            <v>RODRIGO</v>
          </cell>
          <cell r="M2430" t="str">
            <v>RAQUEL BARBOSA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  <cell r="H2431" t="str">
            <v>DISTRIBUIÇÃO</v>
          </cell>
          <cell r="I2431" t="str">
            <v>FOOD SERVICE</v>
          </cell>
          <cell r="J2431" t="str">
            <v>FLAC 5</v>
          </cell>
          <cell r="K2431" t="str">
            <v>LACTALIS</v>
          </cell>
          <cell r="L2431" t="str">
            <v>RODRIGO</v>
          </cell>
          <cell r="M2431" t="str">
            <v>RAQUEL BARBOSA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  <cell r="H2432" t="str">
            <v>DISTRIBUIÇÃO</v>
          </cell>
          <cell r="I2432" t="str">
            <v>FOOD SERVICE</v>
          </cell>
          <cell r="J2432" t="str">
            <v>FLAC 3</v>
          </cell>
          <cell r="K2432" t="str">
            <v>LACTALIS</v>
          </cell>
          <cell r="L2432" t="str">
            <v>RODRIGO</v>
          </cell>
          <cell r="M2432" t="str">
            <v>RAQUEL BARBOSA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  <cell r="H2433" t="str">
            <v>DISTRIBUIÇÃO</v>
          </cell>
          <cell r="I2433" t="str">
            <v>FOOD SERVICE</v>
          </cell>
          <cell r="J2433" t="str">
            <v>TC REPRESENTAÇÕES</v>
          </cell>
          <cell r="K2433" t="str">
            <v>ITAMBÉ</v>
          </cell>
          <cell r="L2433" t="str">
            <v>RODRIGO</v>
          </cell>
          <cell r="M2433" t="str">
            <v>MARCO AURELIO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  <cell r="H2434" t="str">
            <v>INGREDIENTS</v>
          </cell>
          <cell r="I2434" t="str">
            <v>INGREDIENTS</v>
          </cell>
          <cell r="J2434" t="str">
            <v>MARCELO RODRIGUES</v>
          </cell>
          <cell r="K2434" t="str">
            <v>LACTALIS</v>
          </cell>
          <cell r="L2434" t="str">
            <v>MAURICIO</v>
          </cell>
          <cell r="M2434" t="str">
            <v>MARCELO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  <cell r="H2435" t="str">
            <v>INGREDIENTS</v>
          </cell>
          <cell r="I2435" t="str">
            <v>INGREDIENTS</v>
          </cell>
          <cell r="J2435" t="str">
            <v>JOEL ELEOTÉRIO</v>
          </cell>
          <cell r="K2435" t="str">
            <v>LACTALIS</v>
          </cell>
          <cell r="L2435" t="str">
            <v>MAURICIO</v>
          </cell>
          <cell r="M2435" t="str">
            <v>JOEL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  <cell r="H2436" t="str">
            <v>DISTRIBUIÇÃO</v>
          </cell>
          <cell r="I2436" t="str">
            <v>FOOD SERVICE</v>
          </cell>
          <cell r="J2436" t="str">
            <v>FLAC 5</v>
          </cell>
          <cell r="K2436" t="str">
            <v>LACTALIS</v>
          </cell>
          <cell r="L2436" t="str">
            <v>RODRIGO</v>
          </cell>
          <cell r="M2436" t="str">
            <v>RAQUEL BARBOSA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  <cell r="H2437" t="str">
            <v>DISTRIBUIÇÃO</v>
          </cell>
          <cell r="I2437" t="str">
            <v>FOOD SERVICE</v>
          </cell>
          <cell r="J2437" t="str">
            <v>FLAC 6</v>
          </cell>
          <cell r="K2437" t="str">
            <v>LACTALIS</v>
          </cell>
          <cell r="L2437" t="str">
            <v>RODRIGO</v>
          </cell>
          <cell r="M2437" t="str">
            <v>RAQUEL BARBOSA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  <cell r="H2438" t="str">
            <v>DISTRIBUIÇÃO</v>
          </cell>
          <cell r="I2438" t="str">
            <v>FOOD SERVICE</v>
          </cell>
          <cell r="J2438" t="str">
            <v>FLAC 5</v>
          </cell>
          <cell r="K2438" t="str">
            <v>LACTALIS</v>
          </cell>
          <cell r="L2438" t="str">
            <v>RODRIGO</v>
          </cell>
          <cell r="M2438" t="str">
            <v>RAQUEL BARBOSA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  <cell r="H2439" t="str">
            <v>DISTRIBUIÇÃO</v>
          </cell>
          <cell r="I2439" t="str">
            <v>FOOD SERVICE</v>
          </cell>
          <cell r="J2439" t="str">
            <v>SP ITB FS FLAC REP.E COMERCIO</v>
          </cell>
          <cell r="K2439" t="str">
            <v>ITAMBÉ</v>
          </cell>
          <cell r="L2439" t="str">
            <v>RODRIGO</v>
          </cell>
          <cell r="M2439" t="str">
            <v>RAQUEL BARBOSA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  <cell r="H2440" t="str">
            <v>INGREDIENTS</v>
          </cell>
          <cell r="I2440" t="str">
            <v>INGREDIENTS</v>
          </cell>
          <cell r="J2440" t="str">
            <v>MARCELO RODRIGUES</v>
          </cell>
          <cell r="K2440" t="str">
            <v>ITAMBÉ</v>
          </cell>
          <cell r="L2440" t="str">
            <v>MAURICIO</v>
          </cell>
          <cell r="M2440" t="str">
            <v>MARCELO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  <cell r="H2441" t="str">
            <v>DISTRIBUIÇÃO</v>
          </cell>
          <cell r="I2441" t="str">
            <v>FOOD SERVICE</v>
          </cell>
          <cell r="J2441" t="str">
            <v>CLAUDIO JORGE</v>
          </cell>
          <cell r="K2441" t="str">
            <v>LACTALIS</v>
          </cell>
          <cell r="L2441" t="str">
            <v>RODRIGO</v>
          </cell>
          <cell r="M2441" t="str">
            <v>MARCO AURELIO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  <cell r="H2442" t="str">
            <v>DISTRIBUIÇÃO</v>
          </cell>
          <cell r="I2442" t="str">
            <v>FOOD SERVICE</v>
          </cell>
          <cell r="J2442" t="str">
            <v>FLAC 2</v>
          </cell>
          <cell r="K2442" t="str">
            <v>LACTALIS</v>
          </cell>
          <cell r="L2442" t="str">
            <v>RODRIGO</v>
          </cell>
          <cell r="M2442" t="str">
            <v>RAQUEL BARBOSA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  <cell r="H2443" t="str">
            <v>INGREDIENTS</v>
          </cell>
          <cell r="I2443" t="str">
            <v>INGREDIENTS</v>
          </cell>
          <cell r="J2443" t="str">
            <v>HENRIQUE FERREIRA</v>
          </cell>
          <cell r="K2443" t="str">
            <v>ITAMBÉ</v>
          </cell>
          <cell r="L2443" t="str">
            <v>MAURICIO</v>
          </cell>
          <cell r="M2443" t="str">
            <v>JOEL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  <cell r="H2444" t="str">
            <v>INGREDIENTS</v>
          </cell>
          <cell r="I2444" t="str">
            <v>INGREDIENTS</v>
          </cell>
          <cell r="J2444" t="str">
            <v>MARCELO RODRIGUES</v>
          </cell>
          <cell r="K2444" t="str">
            <v>LACTALIS</v>
          </cell>
          <cell r="L2444" t="str">
            <v>MAURICIO</v>
          </cell>
          <cell r="M2444" t="str">
            <v>MARCELO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  <cell r="H2445" t="str">
            <v>DISTRIBUIÇÃO</v>
          </cell>
          <cell r="I2445" t="str">
            <v>FOOD SERVICE</v>
          </cell>
          <cell r="J2445" t="str">
            <v>MARCELO SILVA</v>
          </cell>
          <cell r="K2445" t="str">
            <v>ITAMBÉ</v>
          </cell>
          <cell r="L2445" t="str">
            <v>RODRIGO</v>
          </cell>
          <cell r="M2445" t="str">
            <v>CELIO MARTINS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  <cell r="H2446" t="str">
            <v>DISTRIBUIÇÃO</v>
          </cell>
          <cell r="I2446" t="str">
            <v>FOOD SERVICE</v>
          </cell>
          <cell r="J2446" t="str">
            <v>FLAC 3</v>
          </cell>
          <cell r="K2446" t="str">
            <v>LACTALIS</v>
          </cell>
          <cell r="L2446" t="str">
            <v>RODRIGO</v>
          </cell>
          <cell r="M2446" t="str">
            <v>RAQUEL BARBOSA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  <cell r="H2447" t="str">
            <v>DISTRIBUIÇÃO</v>
          </cell>
          <cell r="I2447" t="str">
            <v>FOOD SERVICE</v>
          </cell>
          <cell r="J2447" t="str">
            <v>FLAC 5</v>
          </cell>
          <cell r="K2447" t="str">
            <v>LACTALIS</v>
          </cell>
          <cell r="L2447" t="str">
            <v>RODRIGO</v>
          </cell>
          <cell r="M2447" t="str">
            <v>RAQUEL BARBOSA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  <cell r="H2448" t="str">
            <v>INGREDIENTS</v>
          </cell>
          <cell r="I2448" t="str">
            <v>INGREDIENTS</v>
          </cell>
          <cell r="J2448" t="str">
            <v>MARCELO RODRIGUES</v>
          </cell>
          <cell r="K2448" t="str">
            <v>LACTALIS</v>
          </cell>
          <cell r="L2448" t="str">
            <v>MAURICIO</v>
          </cell>
          <cell r="M2448" t="str">
            <v>MARCELO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  <cell r="H2449" t="str">
            <v>INGREDIENTS</v>
          </cell>
          <cell r="I2449" t="str">
            <v>INGREDIENTS</v>
          </cell>
          <cell r="J2449" t="str">
            <v>MARCELO RODRIGUES</v>
          </cell>
          <cell r="K2449" t="str">
            <v>LACTALIS</v>
          </cell>
          <cell r="L2449" t="str">
            <v>MAURICIO</v>
          </cell>
          <cell r="M2449" t="str">
            <v>MARCELO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  <cell r="H2450" t="str">
            <v>DISTRIBUIÇÃO</v>
          </cell>
          <cell r="I2450" t="str">
            <v>FOOD SERVICE</v>
          </cell>
          <cell r="J2450" t="str">
            <v>FLAC 5</v>
          </cell>
          <cell r="K2450" t="str">
            <v>LACTALIS</v>
          </cell>
          <cell r="L2450" t="str">
            <v>RODRIGO</v>
          </cell>
          <cell r="M2450" t="str">
            <v>RAQUEL BARBOSA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  <cell r="H2451" t="str">
            <v>DISTRIBUIÇÃO</v>
          </cell>
          <cell r="I2451" t="str">
            <v>FOOD SERVICE</v>
          </cell>
          <cell r="J2451" t="str">
            <v>FLAC 5</v>
          </cell>
          <cell r="K2451" t="str">
            <v>LACTALIS</v>
          </cell>
          <cell r="L2451" t="str">
            <v>RODRIGO</v>
          </cell>
          <cell r="M2451" t="str">
            <v>RAQUEL BARBOSA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  <cell r="H2452" t="str">
            <v>DISTRIBUIÇÃO</v>
          </cell>
          <cell r="I2452" t="str">
            <v>FOOD SERVICE</v>
          </cell>
          <cell r="J2452" t="str">
            <v>MARCELO DUARTE</v>
          </cell>
          <cell r="K2452" t="str">
            <v>ITAMBÉ</v>
          </cell>
          <cell r="L2452" t="str">
            <v>RODRIGO</v>
          </cell>
          <cell r="M2452" t="str">
            <v>JESSICA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  <cell r="H2453" t="str">
            <v>DISTRIBUIÇÃO</v>
          </cell>
          <cell r="I2453" t="str">
            <v>FOOD SERVICE</v>
          </cell>
          <cell r="J2453" t="str">
            <v>FLAC 5</v>
          </cell>
          <cell r="K2453" t="str">
            <v>LACTALIS</v>
          </cell>
          <cell r="L2453" t="str">
            <v>RODRIGO</v>
          </cell>
          <cell r="M2453" t="str">
            <v>RAQUEL BARBOSA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  <cell r="H2454" t="str">
            <v>DISTRIBUIÇÃO</v>
          </cell>
          <cell r="I2454" t="str">
            <v>FOOD SERVICE</v>
          </cell>
          <cell r="J2454" t="str">
            <v>VAGO SP</v>
          </cell>
          <cell r="K2454" t="str">
            <v>ITAMBÉ</v>
          </cell>
          <cell r="L2454" t="str">
            <v>RODRIGO</v>
          </cell>
          <cell r="M2454" t="str">
            <v>RAQUEL BARBOSA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  <cell r="H2455" t="str">
            <v>INGREDIENTS</v>
          </cell>
          <cell r="I2455" t="str">
            <v>INGREDIENTS</v>
          </cell>
          <cell r="J2455" t="str">
            <v>MARCELO RODRIGUES</v>
          </cell>
          <cell r="K2455" t="str">
            <v>LACTALIS</v>
          </cell>
          <cell r="L2455" t="str">
            <v>MAURICIO</v>
          </cell>
          <cell r="M2455" t="str">
            <v>MARCELO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  <cell r="H2456" t="str">
            <v>DISTRIBUIÇÃO</v>
          </cell>
          <cell r="I2456" t="str">
            <v>FOOD SERVICE</v>
          </cell>
          <cell r="J2456" t="str">
            <v>FLAC 5</v>
          </cell>
          <cell r="K2456" t="str">
            <v>LACTALIS</v>
          </cell>
          <cell r="L2456" t="str">
            <v>RODRIGO</v>
          </cell>
          <cell r="M2456" t="str">
            <v>RAQUEL BARBOSA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  <cell r="H2457" t="str">
            <v>DISTRIBUIÇÃO</v>
          </cell>
          <cell r="I2457" t="str">
            <v>FOOD SERVICE</v>
          </cell>
          <cell r="J2457" t="str">
            <v>FLAC 2</v>
          </cell>
          <cell r="K2457" t="str">
            <v>LACTALIS</v>
          </cell>
          <cell r="L2457" t="str">
            <v>RODRIGO</v>
          </cell>
          <cell r="M2457" t="str">
            <v>RAQUEL BARBOSA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  <cell r="H2458" t="str">
            <v>DISTRIBUIÇÃO</v>
          </cell>
          <cell r="I2458" t="str">
            <v>FOOD SERVICE</v>
          </cell>
          <cell r="J2458" t="str">
            <v>MARCO AURELIO</v>
          </cell>
          <cell r="K2458" t="str">
            <v>LACTALIS</v>
          </cell>
          <cell r="L2458" t="str">
            <v>RODRIGO</v>
          </cell>
          <cell r="M2458" t="str">
            <v>MARCO AURELIO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  <cell r="H2459" t="str">
            <v>INGREDIENTS</v>
          </cell>
          <cell r="I2459" t="str">
            <v>INGREDIENTS</v>
          </cell>
          <cell r="J2459" t="str">
            <v>HENRIQUE FERREIRA</v>
          </cell>
          <cell r="K2459" t="str">
            <v>ITAMBÉ</v>
          </cell>
          <cell r="L2459" t="str">
            <v>MAURICIO</v>
          </cell>
          <cell r="M2459" t="str">
            <v>JOEL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  <cell r="H2460" t="str">
            <v>INGREDIENTS</v>
          </cell>
          <cell r="I2460" t="str">
            <v>INGREDIENTS</v>
          </cell>
          <cell r="J2460" t="str">
            <v>MARCELO RODRIGUES</v>
          </cell>
          <cell r="K2460" t="str">
            <v>ITAMBÉ</v>
          </cell>
          <cell r="L2460" t="str">
            <v>MAURICIO</v>
          </cell>
          <cell r="M2460" t="str">
            <v>MARCELO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  <cell r="H2461" t="str">
            <v>INGREDIENTS</v>
          </cell>
          <cell r="I2461" t="str">
            <v>INGREDIENTS</v>
          </cell>
          <cell r="J2461" t="str">
            <v>SP ITB FS IKM REPRESENTACOES</v>
          </cell>
          <cell r="K2461" t="str">
            <v>ITAMBÉ</v>
          </cell>
          <cell r="L2461" t="str">
            <v>MAURICIO</v>
          </cell>
          <cell r="M2461" t="str">
            <v>TATIANA NITTA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  <cell r="H2462" t="str">
            <v>DISTRIBUIÇÃO</v>
          </cell>
          <cell r="I2462" t="str">
            <v>FOOD SERVICE</v>
          </cell>
          <cell r="J2462" t="str">
            <v>FLAC 2</v>
          </cell>
          <cell r="K2462" t="str">
            <v>LACTALIS</v>
          </cell>
          <cell r="L2462" t="str">
            <v>RODRIGO</v>
          </cell>
          <cell r="M2462" t="str">
            <v>RAQUEL BARBOSA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  <cell r="H2463" t="str">
            <v>INGREDIENTS</v>
          </cell>
          <cell r="I2463" t="str">
            <v>INGREDIENTS</v>
          </cell>
          <cell r="J2463" t="str">
            <v>HENRIQUE FERREIRA</v>
          </cell>
          <cell r="K2463" t="str">
            <v>ITAMBÉ</v>
          </cell>
          <cell r="L2463" t="str">
            <v>MAURICIO</v>
          </cell>
          <cell r="M2463" t="str">
            <v>JOEL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  <cell r="H2464" t="str">
            <v>QSR</v>
          </cell>
          <cell r="I2464" t="str">
            <v>FOOD SERVICE</v>
          </cell>
          <cell r="J2464" t="str">
            <v>NUTRI</v>
          </cell>
          <cell r="K2464" t="str">
            <v>LACTALIS</v>
          </cell>
          <cell r="L2464" t="str">
            <v>PEDRO</v>
          </cell>
          <cell r="M2464" t="str">
            <v>VAGO QSR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  <cell r="H2465" t="str">
            <v>DISTRIBUIÇÃO</v>
          </cell>
          <cell r="I2465" t="str">
            <v>FOOD SERVICE</v>
          </cell>
          <cell r="J2465" t="str">
            <v>CLAUDIO JORGE/LUIZ</v>
          </cell>
          <cell r="K2465" t="str">
            <v>ITAMBÉ</v>
          </cell>
          <cell r="L2465" t="str">
            <v>RODRIGO</v>
          </cell>
          <cell r="M2465" t="str">
            <v>MARIA LOURDES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  <cell r="H2466" t="str">
            <v>DISTRIBUIÇÃO</v>
          </cell>
          <cell r="I2466" t="str">
            <v>FOOD SERVICE</v>
          </cell>
          <cell r="J2466" t="str">
            <v>ANGELICA BATISTELA</v>
          </cell>
          <cell r="K2466" t="str">
            <v>LACTALIS</v>
          </cell>
          <cell r="L2466" t="str">
            <v>RODRIGO</v>
          </cell>
          <cell r="M2466" t="str">
            <v>ANGELICA BATISTELA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  <cell r="H2467" t="str">
            <v>DISTRIBUIÇÃO</v>
          </cell>
          <cell r="I2467" t="str">
            <v>FOOD SERVICE</v>
          </cell>
          <cell r="J2467" t="str">
            <v>FLAC 6</v>
          </cell>
          <cell r="K2467" t="str">
            <v>LACTALIS</v>
          </cell>
          <cell r="L2467" t="str">
            <v>RODRIGO</v>
          </cell>
          <cell r="M2467" t="str">
            <v>RAQUEL BARBOSA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  <cell r="H2468" t="str">
            <v>DISTRIBUIÇÃO</v>
          </cell>
          <cell r="I2468" t="str">
            <v>FOOD SERVICE</v>
          </cell>
          <cell r="J2468" t="str">
            <v>FLAC 3</v>
          </cell>
          <cell r="K2468" t="str">
            <v>LACTALIS</v>
          </cell>
          <cell r="L2468" t="str">
            <v>RODRIGO</v>
          </cell>
          <cell r="M2468" t="str">
            <v>RAQUEL BARBOSA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  <cell r="H2469" t="str">
            <v>DISTRIBUIÇÃO</v>
          </cell>
          <cell r="I2469" t="str">
            <v>FOOD SERVICE</v>
          </cell>
          <cell r="J2469" t="str">
            <v>FLAC 5</v>
          </cell>
          <cell r="K2469" t="str">
            <v>LACTALIS</v>
          </cell>
          <cell r="L2469" t="str">
            <v>RODRIGO</v>
          </cell>
          <cell r="M2469" t="str">
            <v>RAQUEL BARBOSA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  <cell r="H2470" t="str">
            <v>DISTRIBUIÇÃO</v>
          </cell>
          <cell r="I2470" t="str">
            <v>FOOD SERVICE</v>
          </cell>
          <cell r="J2470" t="str">
            <v>FLAC 3</v>
          </cell>
          <cell r="K2470" t="str">
            <v>LACTALIS</v>
          </cell>
          <cell r="L2470" t="str">
            <v>RODRIGO</v>
          </cell>
          <cell r="M2470" t="str">
            <v>RAQUEL BARBOSA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  <cell r="H2471" t="str">
            <v>DISTRIBUIÇÃO</v>
          </cell>
          <cell r="I2471" t="str">
            <v>FOOD SERVICE</v>
          </cell>
          <cell r="J2471" t="str">
            <v>FLAC 10</v>
          </cell>
          <cell r="K2471" t="str">
            <v>LACTALIS</v>
          </cell>
          <cell r="L2471" t="str">
            <v>RODRIGO</v>
          </cell>
          <cell r="M2471" t="str">
            <v>RAQUEL BARBOSA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  <cell r="H2472" t="str">
            <v>DISTRIBUIÇÃO</v>
          </cell>
          <cell r="I2472" t="str">
            <v>FOOD SERVICE</v>
          </cell>
          <cell r="J2472" t="str">
            <v>FLAC 10</v>
          </cell>
          <cell r="K2472" t="str">
            <v>LACTALIS</v>
          </cell>
          <cell r="L2472" t="str">
            <v>RODRIGO</v>
          </cell>
          <cell r="M2472" t="str">
            <v>RAQUEL BARBOSA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  <cell r="H2473" t="str">
            <v>DISTRIBUIÇÃO</v>
          </cell>
          <cell r="I2473" t="str">
            <v>FOOD SERVICE</v>
          </cell>
          <cell r="J2473" t="str">
            <v>FLAC 4</v>
          </cell>
          <cell r="K2473" t="str">
            <v>LACTALIS</v>
          </cell>
          <cell r="L2473" t="str">
            <v>RODRIGO</v>
          </cell>
          <cell r="M2473" t="str">
            <v>RAQUEL BARBOSA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  <cell r="H2474" t="str">
            <v>DISTRIBUIÇÃO</v>
          </cell>
          <cell r="I2474" t="str">
            <v>FOOD SERVICE</v>
          </cell>
          <cell r="J2474" t="str">
            <v>WH FOOD SERVICE CE</v>
          </cell>
          <cell r="K2474" t="str">
            <v>ITAMBÉ</v>
          </cell>
          <cell r="L2474" t="str">
            <v>RODRIGO</v>
          </cell>
          <cell r="M2474" t="str">
            <v>MARIA LOURDES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  <cell r="H2475" t="str">
            <v>INGREDIENTS</v>
          </cell>
          <cell r="I2475" t="str">
            <v>INGREDIENTS</v>
          </cell>
          <cell r="J2475" t="str">
            <v>HENRIQUE FERREIRA</v>
          </cell>
          <cell r="K2475" t="str">
            <v>ITAMBÉ</v>
          </cell>
          <cell r="L2475" t="str">
            <v>MAURICIO</v>
          </cell>
          <cell r="M2475" t="str">
            <v>JOEL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  <cell r="H2476" t="str">
            <v>DISTRIBUIÇÃO</v>
          </cell>
          <cell r="I2476" t="str">
            <v>FOOD SERVICE</v>
          </cell>
          <cell r="J2476" t="str">
            <v>MARCELO DUARTE</v>
          </cell>
          <cell r="K2476" t="str">
            <v>ITAMBÉ</v>
          </cell>
          <cell r="L2476" t="str">
            <v>RODRIGO</v>
          </cell>
          <cell r="M2476" t="str">
            <v>JESSICA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  <cell r="H2477" t="str">
            <v>DISTRIBUIÇÃO</v>
          </cell>
          <cell r="I2477" t="str">
            <v>FOOD SERVICE</v>
          </cell>
          <cell r="J2477" t="str">
            <v>CLAUDIO JORGE/LUIZ</v>
          </cell>
          <cell r="K2477" t="str">
            <v>ITAMBÉ</v>
          </cell>
          <cell r="L2477" t="str">
            <v>RODRIGO</v>
          </cell>
          <cell r="M2477" t="str">
            <v>MARIA LOURDES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  <cell r="H2478" t="str">
            <v>QSR</v>
          </cell>
          <cell r="I2478" t="str">
            <v>FOOD SERVICE</v>
          </cell>
          <cell r="J2478" t="str">
            <v>NUTRI</v>
          </cell>
          <cell r="K2478" t="str">
            <v>ITAMBÉ</v>
          </cell>
          <cell r="L2478" t="str">
            <v>PEDRO</v>
          </cell>
          <cell r="M2478" t="str">
            <v>VAGO QSR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  <cell r="H2479" t="str">
            <v>DISTRIBUIÇÃO</v>
          </cell>
          <cell r="I2479" t="str">
            <v>FOOD SERVICE</v>
          </cell>
          <cell r="J2479" t="str">
            <v>WH FOOD SERVICE CE</v>
          </cell>
          <cell r="K2479" t="str">
            <v>ITAMBÉ</v>
          </cell>
          <cell r="L2479" t="str">
            <v>RODRIGO</v>
          </cell>
          <cell r="M2479" t="str">
            <v>MARIA LOURDES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  <cell r="H2480" t="str">
            <v>DISTRIBUIÇÃO</v>
          </cell>
          <cell r="I2480" t="str">
            <v>FOOD SERVICE</v>
          </cell>
          <cell r="J2480" t="str">
            <v>CLAUDIO JORGE/LUIZ</v>
          </cell>
          <cell r="K2480" t="str">
            <v>ITAMBÉ</v>
          </cell>
          <cell r="L2480" t="str">
            <v>RODRIGO</v>
          </cell>
          <cell r="M2480" t="str">
            <v>MARIA LOURDES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  <cell r="H2481" t="str">
            <v>DISTRIBUIÇÃO</v>
          </cell>
          <cell r="I2481" t="str">
            <v>FOOD SERVICE</v>
          </cell>
          <cell r="J2481" t="str">
            <v>SP ITB FS FLAC REP.E COMERCIO</v>
          </cell>
          <cell r="K2481" t="str">
            <v>ITAMBÉ</v>
          </cell>
          <cell r="L2481" t="str">
            <v>RODRIGO</v>
          </cell>
          <cell r="M2481" t="str">
            <v>RAQUEL BARBOSA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  <cell r="H2482" t="str">
            <v>DISTRIBUIÇÃO</v>
          </cell>
          <cell r="I2482" t="str">
            <v>FOOD SERVICE</v>
          </cell>
          <cell r="J2482" t="str">
            <v>CLAUDIO JORGE/LUIZ</v>
          </cell>
          <cell r="K2482" t="str">
            <v>ITAMBÉ</v>
          </cell>
          <cell r="L2482" t="str">
            <v>RODRIGO</v>
          </cell>
          <cell r="M2482" t="str">
            <v>MARIA LOURDES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  <cell r="H2483" t="str">
            <v>DISTRIBUIÇÃO</v>
          </cell>
          <cell r="I2483" t="str">
            <v>FOOD SERVICE</v>
          </cell>
          <cell r="J2483" t="str">
            <v>WH FOOD SERVICE CE</v>
          </cell>
          <cell r="K2483" t="str">
            <v>ITAMBÉ</v>
          </cell>
          <cell r="L2483" t="str">
            <v>RODRIGO</v>
          </cell>
          <cell r="M2483" t="str">
            <v>MARIA LOURDES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  <cell r="H2484" t="str">
            <v>QSR</v>
          </cell>
          <cell r="I2484" t="str">
            <v>FOOD SERVICE</v>
          </cell>
          <cell r="J2484" t="str">
            <v>VAGO QSR</v>
          </cell>
          <cell r="K2484" t="str">
            <v>ITAMBÉ</v>
          </cell>
          <cell r="L2484" t="str">
            <v>PEDRO</v>
          </cell>
          <cell r="M2484" t="str">
            <v>VAGO QSR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  <cell r="H2485" t="str">
            <v>DISTRIBUIÇÃO</v>
          </cell>
          <cell r="I2485" t="str">
            <v>FOOD SERVICE</v>
          </cell>
          <cell r="J2485" t="str">
            <v>MARCELO DUARTE</v>
          </cell>
          <cell r="K2485" t="str">
            <v>ITAMBÉ</v>
          </cell>
          <cell r="L2485" t="str">
            <v>RODRIGO</v>
          </cell>
          <cell r="M2485" t="str">
            <v>JESSICA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  <cell r="H2486" t="str">
            <v>DISTRIBUIÇÃO</v>
          </cell>
          <cell r="I2486" t="str">
            <v>FOOD SERVICE</v>
          </cell>
          <cell r="J2486" t="str">
            <v>CLAUDIO JORGE/LUIZ</v>
          </cell>
          <cell r="K2486" t="str">
            <v>ITAMBÉ</v>
          </cell>
          <cell r="L2486" t="str">
            <v>RODRIGO</v>
          </cell>
          <cell r="M2486" t="str">
            <v>MARIA LOURDES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  <cell r="H2487" t="str">
            <v>DISTRIBUIÇÃO</v>
          </cell>
          <cell r="I2487" t="str">
            <v>FOOD SERVICE</v>
          </cell>
          <cell r="J2487" t="str">
            <v>CLAUDIO JORGE/LUIZ</v>
          </cell>
          <cell r="K2487" t="str">
            <v>ITAMBÉ</v>
          </cell>
          <cell r="L2487" t="str">
            <v>RODRIGO</v>
          </cell>
          <cell r="M2487" t="str">
            <v>MARIA LOURDES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  <cell r="H2488" t="str">
            <v>DISTRIBUIÇÃO</v>
          </cell>
          <cell r="I2488" t="str">
            <v>FOOD SERVICE</v>
          </cell>
          <cell r="J2488" t="str">
            <v>WH FOOD SERVICE CE</v>
          </cell>
          <cell r="K2488" t="str">
            <v>ITAMBÉ</v>
          </cell>
          <cell r="L2488" t="str">
            <v>RODRIGO</v>
          </cell>
          <cell r="M2488" t="str">
            <v>MARIA LOURDES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  <cell r="H2489" t="str">
            <v>DISTRIBUIÇÃO</v>
          </cell>
          <cell r="I2489" t="str">
            <v>FOOD SERVICE</v>
          </cell>
          <cell r="J2489" t="str">
            <v>CLAUDIO JORGE/LUIZ</v>
          </cell>
          <cell r="K2489" t="str">
            <v>ITAMBÉ</v>
          </cell>
          <cell r="L2489" t="str">
            <v>RODRIGO</v>
          </cell>
          <cell r="M2489" t="str">
            <v>MARIA LOURDES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  <cell r="H2490" t="str">
            <v>INGREDIENTS</v>
          </cell>
          <cell r="I2490" t="str">
            <v>INGREDIENTS</v>
          </cell>
          <cell r="J2490" t="str">
            <v>DUAS RODAS</v>
          </cell>
          <cell r="K2490" t="str">
            <v>ITAMBÉ</v>
          </cell>
          <cell r="L2490" t="str">
            <v>MAURICIO</v>
          </cell>
          <cell r="M2490" t="str">
            <v>MARCELO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  <cell r="H2491" t="str">
            <v>DISTRIBUIÇÃO</v>
          </cell>
          <cell r="I2491" t="str">
            <v>FOOD SERVICE</v>
          </cell>
          <cell r="J2491" t="str">
            <v>WH FOOD SERVICE CE</v>
          </cell>
          <cell r="K2491" t="str">
            <v>ITAMBÉ</v>
          </cell>
          <cell r="L2491" t="str">
            <v>RODRIGO</v>
          </cell>
          <cell r="M2491" t="str">
            <v>MARIA LOURDES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  <cell r="H2492" t="str">
            <v>INGREDIENTS</v>
          </cell>
          <cell r="I2492" t="str">
            <v>INGREDIENTS</v>
          </cell>
          <cell r="J2492" t="str">
            <v>DUAS RODAS</v>
          </cell>
          <cell r="K2492" t="str">
            <v>ITAMBÉ</v>
          </cell>
          <cell r="L2492" t="str">
            <v>MAURICIO</v>
          </cell>
          <cell r="M2492" t="str">
            <v>MARCELO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  <cell r="H2493" t="str">
            <v>INGREDIENTS</v>
          </cell>
          <cell r="I2493" t="str">
            <v>INGREDIENTS</v>
          </cell>
          <cell r="J2493" t="str">
            <v>MG ITB FS GRAFNÇA REPRES</v>
          </cell>
          <cell r="K2493" t="str">
            <v>ITAMBÉ</v>
          </cell>
          <cell r="L2493" t="str">
            <v>MAURICIO</v>
          </cell>
          <cell r="M2493" t="str">
            <v>TATIANA NITTA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  <cell r="H2494" t="str">
            <v>DISTRIBUIÇÃO</v>
          </cell>
          <cell r="I2494" t="str">
            <v>FOOD SERVICE</v>
          </cell>
          <cell r="J2494" t="str">
            <v>FLAC 2</v>
          </cell>
          <cell r="K2494" t="str">
            <v>LACTALIS</v>
          </cell>
          <cell r="L2494" t="str">
            <v>RODRIGO</v>
          </cell>
          <cell r="M2494" t="str">
            <v>RAQUEL BARBOSA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  <cell r="H2495" t="str">
            <v>QSR</v>
          </cell>
          <cell r="I2495" t="str">
            <v>FOOD SERVICE</v>
          </cell>
          <cell r="J2495" t="str">
            <v>NUTRI</v>
          </cell>
          <cell r="K2495" t="str">
            <v>ITAMBÉ</v>
          </cell>
          <cell r="L2495" t="str">
            <v>PEDRO</v>
          </cell>
          <cell r="M2495" t="str">
            <v>VAGO QSR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  <cell r="H2496" t="str">
            <v>INGREDIENTS</v>
          </cell>
          <cell r="I2496" t="str">
            <v>INGREDIENTS</v>
          </cell>
          <cell r="J2496" t="str">
            <v>MARCELO RODRIGUES</v>
          </cell>
          <cell r="K2496" t="str">
            <v>LACTALIS</v>
          </cell>
          <cell r="L2496" t="str">
            <v>MAURICIO</v>
          </cell>
          <cell r="M2496" t="str">
            <v>MARCELO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  <cell r="H2497" t="str">
            <v>DISTRIBUIÇÃO</v>
          </cell>
          <cell r="I2497" t="str">
            <v>FOOD SERVICE</v>
          </cell>
          <cell r="J2497" t="str">
            <v>FLAC 6</v>
          </cell>
          <cell r="K2497" t="str">
            <v>LACTALIS</v>
          </cell>
          <cell r="L2497" t="str">
            <v>RODRIGO</v>
          </cell>
          <cell r="M2497" t="str">
            <v>RAQUEL BARBOSA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  <cell r="H2498" t="str">
            <v>DISTRIBUIÇÃO</v>
          </cell>
          <cell r="I2498" t="str">
            <v>FOOD SERVICE</v>
          </cell>
          <cell r="J2498" t="str">
            <v>WH FOOD SERVICE CE</v>
          </cell>
          <cell r="K2498" t="str">
            <v>ITAMBÉ</v>
          </cell>
          <cell r="L2498" t="str">
            <v>RODRIGO</v>
          </cell>
          <cell r="M2498" t="str">
            <v>MARIA LOURDES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  <cell r="H2499" t="str">
            <v>DISTRIBUIÇÃO</v>
          </cell>
          <cell r="I2499" t="str">
            <v>FOOD SERVICE</v>
          </cell>
          <cell r="J2499" t="str">
            <v>CLAUDIO JORGE/LUIZ</v>
          </cell>
          <cell r="K2499" t="str">
            <v>ITAMBÉ</v>
          </cell>
          <cell r="L2499" t="str">
            <v>RODRIGO</v>
          </cell>
          <cell r="M2499" t="str">
            <v>MARIA LOURDES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  <cell r="H2500" t="str">
            <v>QSR</v>
          </cell>
          <cell r="I2500" t="str">
            <v>FOOD SERVICE</v>
          </cell>
          <cell r="J2500" t="str">
            <v>NUTRI</v>
          </cell>
          <cell r="K2500" t="str">
            <v>LACTALIS</v>
          </cell>
          <cell r="L2500" t="str">
            <v>PEDRO</v>
          </cell>
          <cell r="M2500" t="str">
            <v>VAGO QSR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  <cell r="H2501" t="str">
            <v>INGREDIENTS</v>
          </cell>
          <cell r="I2501" t="str">
            <v>INGREDIENTS</v>
          </cell>
          <cell r="J2501" t="str">
            <v>MARCELO RODRIGUES</v>
          </cell>
          <cell r="K2501" t="str">
            <v>LACTALIS</v>
          </cell>
          <cell r="L2501" t="str">
            <v>MAURICIO</v>
          </cell>
          <cell r="M2501" t="str">
            <v>MARCELO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  <cell r="H2502" t="str">
            <v>INGREDIENTS</v>
          </cell>
          <cell r="I2502" t="str">
            <v>INGREDIENTS</v>
          </cell>
          <cell r="J2502" t="str">
            <v>JOEL ELEOTÉRIO</v>
          </cell>
          <cell r="K2502" t="str">
            <v>LACTALIS</v>
          </cell>
          <cell r="L2502" t="str">
            <v>MAURICIO</v>
          </cell>
          <cell r="M2502" t="str">
            <v>JOEL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  <cell r="H2503" t="str">
            <v>INGREDIENTS</v>
          </cell>
          <cell r="I2503" t="str">
            <v>INGREDIENTS</v>
          </cell>
          <cell r="J2503" t="str">
            <v>SP ITB FS IKM REPRESENTACOES</v>
          </cell>
          <cell r="K2503" t="str">
            <v>ITAMBÉ</v>
          </cell>
          <cell r="L2503" t="str">
            <v>MAURICIO</v>
          </cell>
          <cell r="M2503" t="str">
            <v>TATIANA NITTA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  <cell r="H2504" t="str">
            <v>INGREDIENTS</v>
          </cell>
          <cell r="I2504" t="str">
            <v>INGREDIENTS</v>
          </cell>
          <cell r="J2504" t="str">
            <v>TATIANA NITTA</v>
          </cell>
          <cell r="K2504" t="str">
            <v>ITAMBÉ</v>
          </cell>
          <cell r="L2504" t="str">
            <v>MAURICIO</v>
          </cell>
          <cell r="M2504" t="str">
            <v>TATIANA NITTA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  <cell r="H2505" t="str">
            <v>QSR</v>
          </cell>
          <cell r="I2505" t="str">
            <v>FOOD SERVICE</v>
          </cell>
          <cell r="J2505" t="str">
            <v>ANA MENIQUETE</v>
          </cell>
          <cell r="K2505" t="str">
            <v>ITAMBÉ</v>
          </cell>
          <cell r="L2505" t="str">
            <v>PEDRO</v>
          </cell>
          <cell r="M2505" t="str">
            <v>ANA MENIQUETE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  <cell r="H2506" t="str">
            <v>QSR</v>
          </cell>
          <cell r="I2506" t="str">
            <v>FOOD SERVICE</v>
          </cell>
          <cell r="J2506" t="str">
            <v>VAGO QSR</v>
          </cell>
          <cell r="K2506" t="str">
            <v>ITAMBÉ</v>
          </cell>
          <cell r="L2506" t="str">
            <v>PEDRO</v>
          </cell>
          <cell r="M2506" t="str">
            <v>VAGO QSR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  <cell r="H2507" t="str">
            <v>DISTRIBUIÇÃO</v>
          </cell>
          <cell r="I2507" t="str">
            <v>FOOD SERVICE</v>
          </cell>
          <cell r="J2507" t="str">
            <v>FLAC 5</v>
          </cell>
          <cell r="K2507" t="str">
            <v>LACTALIS</v>
          </cell>
          <cell r="L2507" t="str">
            <v>RODRIGO</v>
          </cell>
          <cell r="M2507" t="str">
            <v>RAQUEL BARBOSA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  <cell r="H2508" t="str">
            <v>QSR</v>
          </cell>
          <cell r="I2508" t="str">
            <v>FOOD SERVICE</v>
          </cell>
          <cell r="J2508" t="str">
            <v>NUTRI</v>
          </cell>
          <cell r="K2508" t="str">
            <v>ITAMBÉ</v>
          </cell>
          <cell r="L2508" t="str">
            <v>PEDRO</v>
          </cell>
          <cell r="M2508" t="str">
            <v>VAGO QSR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  <cell r="H2509" t="str">
            <v>QSR</v>
          </cell>
          <cell r="I2509" t="str">
            <v>FOOD SERVICE</v>
          </cell>
          <cell r="J2509" t="str">
            <v>NUTRI</v>
          </cell>
          <cell r="K2509" t="str">
            <v>ITAMBÉ</v>
          </cell>
          <cell r="L2509" t="str">
            <v>PEDRO</v>
          </cell>
          <cell r="M2509" t="str">
            <v>VAGO QSR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  <cell r="H2510" t="str">
            <v>DISTRIBUIÇÃO</v>
          </cell>
          <cell r="I2510" t="str">
            <v>FOOD SERVICE</v>
          </cell>
          <cell r="J2510" t="str">
            <v>FLAC 5</v>
          </cell>
          <cell r="K2510" t="str">
            <v>LACTALIS</v>
          </cell>
          <cell r="L2510" t="str">
            <v>RODRIGO</v>
          </cell>
          <cell r="M2510" t="str">
            <v>RAQUEL BARBOSA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  <cell r="H2511" t="str">
            <v>DISTRIBUIÇÃO</v>
          </cell>
          <cell r="I2511" t="str">
            <v>FOOD SERVICE</v>
          </cell>
          <cell r="J2511" t="str">
            <v>CLAUDIO JORGE/LUIZ</v>
          </cell>
          <cell r="K2511" t="str">
            <v>ITAMBÉ</v>
          </cell>
          <cell r="L2511" t="str">
            <v>RODRIGO</v>
          </cell>
          <cell r="M2511" t="str">
            <v>MARIA LOURDES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  <cell r="H2512" t="str">
            <v>INGREDIENTS</v>
          </cell>
          <cell r="I2512" t="str">
            <v>INGREDIENTS</v>
          </cell>
          <cell r="J2512" t="str">
            <v>TATIANA NITTA</v>
          </cell>
          <cell r="K2512" t="str">
            <v>ITAMBÉ</v>
          </cell>
          <cell r="L2512" t="str">
            <v>MAURICIO</v>
          </cell>
          <cell r="M2512" t="str">
            <v>TATIANA NITTA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  <cell r="H2513" t="str">
            <v>DISTRIBUIÇÃO</v>
          </cell>
          <cell r="I2513" t="str">
            <v>FOOD SERVICE</v>
          </cell>
          <cell r="J2513" t="str">
            <v>FLAC 2</v>
          </cell>
          <cell r="K2513" t="str">
            <v>LACTALIS</v>
          </cell>
          <cell r="L2513" t="str">
            <v>RODRIGO</v>
          </cell>
          <cell r="M2513" t="str">
            <v>RAQUEL BARBOSA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  <cell r="H2514" t="str">
            <v>DISTRIBUIÇÃO</v>
          </cell>
          <cell r="I2514" t="str">
            <v>FOOD SERVICE</v>
          </cell>
          <cell r="J2514" t="str">
            <v>MARCELO SILVA</v>
          </cell>
          <cell r="K2514" t="str">
            <v>ITAMBÉ</v>
          </cell>
          <cell r="L2514" t="str">
            <v>RODRIGO</v>
          </cell>
          <cell r="M2514" t="str">
            <v>CELIO MARTINS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  <cell r="H2515" t="str">
            <v>QSR</v>
          </cell>
          <cell r="I2515" t="str">
            <v>FOOD SERVICE</v>
          </cell>
          <cell r="J2515" t="str">
            <v>NUTRI</v>
          </cell>
          <cell r="K2515" t="str">
            <v>ITAMBÉ</v>
          </cell>
          <cell r="L2515" t="str">
            <v>PEDRO</v>
          </cell>
          <cell r="M2515" t="str">
            <v>VAGO QSR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  <cell r="H2516" t="str">
            <v>DISTRIBUIÇÃO</v>
          </cell>
          <cell r="I2516" t="str">
            <v>FOOD SERVICE</v>
          </cell>
          <cell r="J2516" t="str">
            <v>FLAC 5</v>
          </cell>
          <cell r="K2516" t="str">
            <v>LACTALIS</v>
          </cell>
          <cell r="L2516" t="str">
            <v>RODRIGO</v>
          </cell>
          <cell r="M2516" t="str">
            <v>RAQUEL BARBOSA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  <cell r="H2517" t="str">
            <v>INGREDIENTS</v>
          </cell>
          <cell r="I2517" t="str">
            <v>INGREDIENTS</v>
          </cell>
          <cell r="J2517" t="str">
            <v>TATIANA NITTA</v>
          </cell>
          <cell r="K2517" t="str">
            <v>ITAMBÉ</v>
          </cell>
          <cell r="L2517" t="str">
            <v>MAURICIO</v>
          </cell>
          <cell r="M2517" t="str">
            <v>TATIANA NITTA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  <cell r="H2518" t="str">
            <v>DISTRIBUIÇÃO</v>
          </cell>
          <cell r="I2518" t="str">
            <v>FOOD SERVICE</v>
          </cell>
          <cell r="J2518" t="str">
            <v>FLAC 4</v>
          </cell>
          <cell r="K2518" t="str">
            <v>LACTALIS</v>
          </cell>
          <cell r="L2518" t="str">
            <v>RODRIGO</v>
          </cell>
          <cell r="M2518" t="str">
            <v>RAQUEL BARBOSA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  <cell r="H2519" t="str">
            <v>DISTRIBUIÇÃO</v>
          </cell>
          <cell r="I2519" t="str">
            <v>FOOD SERVICE</v>
          </cell>
          <cell r="J2519" t="str">
            <v>VAGO SP</v>
          </cell>
          <cell r="K2519" t="str">
            <v>ITAMBÉ</v>
          </cell>
          <cell r="L2519" t="str">
            <v>RODRIGO</v>
          </cell>
          <cell r="M2519" t="str">
            <v>RAQUEL BARBOSA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  <cell r="H2520" t="str">
            <v>QSR</v>
          </cell>
          <cell r="I2520" t="str">
            <v>FOOD SERVICE</v>
          </cell>
          <cell r="J2520" t="str">
            <v>VAGO QSR</v>
          </cell>
          <cell r="K2520" t="str">
            <v>LACTALIS</v>
          </cell>
          <cell r="L2520" t="str">
            <v>PEDRO</v>
          </cell>
          <cell r="M2520" t="str">
            <v>VAGO QSR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  <cell r="H2521" t="str">
            <v>INGREDIENTS</v>
          </cell>
          <cell r="I2521" t="str">
            <v>INGREDIENTS</v>
          </cell>
          <cell r="J2521" t="str">
            <v>TATIANA NITTA</v>
          </cell>
          <cell r="K2521" t="str">
            <v>ITAMBÉ</v>
          </cell>
          <cell r="L2521" t="str">
            <v>MAURICIO</v>
          </cell>
          <cell r="M2521" t="str">
            <v>TATIANA NITTA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  <cell r="H2522" t="str">
            <v>DISTRIBUIÇÃO</v>
          </cell>
          <cell r="I2522" t="str">
            <v>FOOD SERVICE</v>
          </cell>
          <cell r="J2522" t="str">
            <v>ANGELICA BATISTELA</v>
          </cell>
          <cell r="K2522" t="str">
            <v>LACTALIS</v>
          </cell>
          <cell r="L2522" t="str">
            <v>RODRIGO</v>
          </cell>
          <cell r="M2522" t="str">
            <v>ANGELICA BATISTELA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  <cell r="H2523" t="str">
            <v>DISTRIBUIÇÃO</v>
          </cell>
          <cell r="I2523" t="str">
            <v>FOOD SERVICE</v>
          </cell>
          <cell r="J2523" t="str">
            <v>FLAC 6</v>
          </cell>
          <cell r="K2523" t="str">
            <v>LACTALIS</v>
          </cell>
          <cell r="L2523" t="str">
            <v>RODRIGO</v>
          </cell>
          <cell r="M2523" t="str">
            <v>RAQUEL BARBOSA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  <cell r="H2524" t="str">
            <v>DISTRIBUIÇÃO</v>
          </cell>
          <cell r="I2524" t="str">
            <v>FOOD SERVICE</v>
          </cell>
          <cell r="J2524" t="str">
            <v>ANGELICA BATISTELA</v>
          </cell>
          <cell r="K2524" t="str">
            <v>LACTALIS</v>
          </cell>
          <cell r="L2524" t="str">
            <v>RODRIGO</v>
          </cell>
          <cell r="M2524" t="str">
            <v>ANGELICA BATISTELA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  <cell r="H2525" t="str">
            <v>DISTRIBUIÇÃO</v>
          </cell>
          <cell r="I2525" t="str">
            <v>FOOD SERVICE</v>
          </cell>
          <cell r="J2525" t="str">
            <v>FLAC 6</v>
          </cell>
          <cell r="K2525" t="str">
            <v>LACTALIS</v>
          </cell>
          <cell r="L2525" t="str">
            <v>RODRIGO</v>
          </cell>
          <cell r="M2525" t="str">
            <v>RAQUEL BARBOSA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  <cell r="H2526" t="str">
            <v>DISTRIBUIÇÃO</v>
          </cell>
          <cell r="I2526" t="str">
            <v>FOOD SERVICE</v>
          </cell>
          <cell r="J2526" t="str">
            <v>RAQUEL BARBOSA</v>
          </cell>
          <cell r="K2526" t="str">
            <v>LACTALIS</v>
          </cell>
          <cell r="L2526" t="str">
            <v>RODRIGO</v>
          </cell>
          <cell r="M2526" t="str">
            <v>RAQUEL BARBOSA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  <cell r="H2527" t="str">
            <v>DISTRIBUIÇÃO</v>
          </cell>
          <cell r="I2527" t="str">
            <v>FOOD SERVICE</v>
          </cell>
          <cell r="J2527" t="str">
            <v>FLAC 5</v>
          </cell>
          <cell r="K2527" t="str">
            <v>LACTALIS</v>
          </cell>
          <cell r="L2527" t="str">
            <v>RODRIGO</v>
          </cell>
          <cell r="M2527" t="str">
            <v>RAQUEL BARBOSA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  <cell r="H2528" t="str">
            <v>DISTRIBUIÇÃO</v>
          </cell>
          <cell r="I2528" t="str">
            <v>FOOD SERVICE</v>
          </cell>
          <cell r="J2528" t="str">
            <v>FLAC 6</v>
          </cell>
          <cell r="K2528" t="str">
            <v>LACTALIS</v>
          </cell>
          <cell r="L2528" t="str">
            <v>RODRIGO</v>
          </cell>
          <cell r="M2528" t="str">
            <v>RAQUEL BARBOSA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  <cell r="H2529" t="str">
            <v>DISTRIBUIÇÃO</v>
          </cell>
          <cell r="I2529" t="str">
            <v>FOOD SERVICE</v>
          </cell>
          <cell r="J2529" t="str">
            <v>FLAC 7</v>
          </cell>
          <cell r="K2529" t="str">
            <v>LACTALIS</v>
          </cell>
          <cell r="L2529" t="str">
            <v>RODRIGO</v>
          </cell>
          <cell r="M2529" t="str">
            <v>RAQUEL BARBOSA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  <cell r="H2530" t="str">
            <v>QSR</v>
          </cell>
          <cell r="I2530" t="str">
            <v>FOOD SERVICE</v>
          </cell>
          <cell r="J2530" t="str">
            <v>VAGO QSR</v>
          </cell>
          <cell r="K2530" t="str">
            <v>ITAMBÉ</v>
          </cell>
          <cell r="L2530" t="str">
            <v>PEDRO</v>
          </cell>
          <cell r="M2530" t="str">
            <v>VAGO QSR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  <cell r="H2531" t="str">
            <v>DISTRIBUIÇÃO</v>
          </cell>
          <cell r="I2531" t="str">
            <v>FOOD SERVICE</v>
          </cell>
          <cell r="J2531" t="str">
            <v>SP ITB FS FLAC REP.E COMERCIO</v>
          </cell>
          <cell r="K2531" t="str">
            <v>ITAMBÉ</v>
          </cell>
          <cell r="L2531" t="str">
            <v>RODRIGO</v>
          </cell>
          <cell r="M2531" t="str">
            <v>RAQUEL BARBOSA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  <cell r="H2532" t="str">
            <v>DISTRIBUIÇÃO</v>
          </cell>
          <cell r="I2532" t="str">
            <v>FOOD SERVICE</v>
          </cell>
          <cell r="J2532" t="str">
            <v>CLAUDIO JORGE/LUIZ</v>
          </cell>
          <cell r="K2532" t="str">
            <v>ITAMBÉ</v>
          </cell>
          <cell r="L2532" t="str">
            <v>RODRIGO</v>
          </cell>
          <cell r="M2532" t="str">
            <v>MARIA LOURDES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  <cell r="H2533" t="str">
            <v>DISTRIBUIÇÃO</v>
          </cell>
          <cell r="I2533" t="str">
            <v>FOOD SERVICE</v>
          </cell>
          <cell r="J2533" t="str">
            <v>FLAC 5</v>
          </cell>
          <cell r="K2533" t="str">
            <v>LACTALIS</v>
          </cell>
          <cell r="L2533" t="str">
            <v>RODRIGO</v>
          </cell>
          <cell r="M2533" t="str">
            <v>RAQUEL BARBOSA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  <cell r="H2534" t="str">
            <v>DISTRIBUIÇÃO</v>
          </cell>
          <cell r="I2534" t="str">
            <v>FOOD SERVICE</v>
          </cell>
          <cell r="J2534" t="str">
            <v>FLAC 10</v>
          </cell>
          <cell r="K2534" t="str">
            <v>LACTALIS</v>
          </cell>
          <cell r="L2534" t="str">
            <v>RODRIGO</v>
          </cell>
          <cell r="M2534" t="str">
            <v>RAQUEL BARBOSA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  <cell r="H2535" t="str">
            <v>DISTRIBUIÇÃO</v>
          </cell>
          <cell r="I2535" t="str">
            <v>FOOD SERVICE</v>
          </cell>
          <cell r="J2535" t="str">
            <v>FLAC 6</v>
          </cell>
          <cell r="K2535" t="str">
            <v>LACTALIS</v>
          </cell>
          <cell r="L2535" t="str">
            <v>RODRIGO</v>
          </cell>
          <cell r="M2535" t="str">
            <v>RAQUEL BARBOSA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  <cell r="H2536" t="str">
            <v>INGREDIENTS</v>
          </cell>
          <cell r="I2536" t="str">
            <v>INGREDIENTS</v>
          </cell>
          <cell r="J2536" t="str">
            <v>TATIANA NITTA</v>
          </cell>
          <cell r="K2536" t="str">
            <v>ITAMBÉ</v>
          </cell>
          <cell r="L2536" t="str">
            <v>MAURICIO</v>
          </cell>
          <cell r="M2536" t="str">
            <v>TATIANA NITTA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  <cell r="H2537" t="str">
            <v>INGREDIENTS</v>
          </cell>
          <cell r="I2537" t="str">
            <v>INGREDIENTS</v>
          </cell>
          <cell r="J2537" t="str">
            <v>HENRIQUE FERREIRA</v>
          </cell>
          <cell r="K2537" t="str">
            <v>ITAMBÉ</v>
          </cell>
          <cell r="L2537" t="str">
            <v>MAURICIO</v>
          </cell>
          <cell r="M2537" t="str">
            <v>JOEL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  <cell r="H2538" t="str">
            <v>DISTRIBUIÇÃO</v>
          </cell>
          <cell r="I2538" t="str">
            <v>FOOD SERVICE</v>
          </cell>
          <cell r="J2538" t="str">
            <v>MARCELO DUARTE</v>
          </cell>
          <cell r="K2538" t="str">
            <v>LACTALIS</v>
          </cell>
          <cell r="L2538" t="str">
            <v>RODRIGO</v>
          </cell>
          <cell r="M2538" t="str">
            <v>JESSICA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  <cell r="H2539" t="str">
            <v>DISTRIBUIÇÃO</v>
          </cell>
          <cell r="I2539" t="str">
            <v>FOOD SERVICE</v>
          </cell>
          <cell r="J2539" t="str">
            <v>SP ITB FS FLAC REP.E COMERCIO</v>
          </cell>
          <cell r="K2539" t="str">
            <v>ITAMBÉ</v>
          </cell>
          <cell r="L2539" t="str">
            <v>RODRIGO</v>
          </cell>
          <cell r="M2539" t="str">
            <v>RAQUEL BARBOSA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  <cell r="H2540" t="str">
            <v>DISTRIBUIÇÃO</v>
          </cell>
          <cell r="I2540" t="str">
            <v>FOOD SERVICE</v>
          </cell>
          <cell r="J2540" t="str">
            <v>FLAC 2</v>
          </cell>
          <cell r="K2540" t="str">
            <v>LACTALIS</v>
          </cell>
          <cell r="L2540" t="str">
            <v>RODRIGO</v>
          </cell>
          <cell r="M2540" t="str">
            <v>RAQUEL BARBOSA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  <cell r="H2541" t="str">
            <v>INGREDIENTS</v>
          </cell>
          <cell r="I2541" t="str">
            <v>INGREDIENTS</v>
          </cell>
          <cell r="J2541" t="str">
            <v>MARCELO RODRIGUES</v>
          </cell>
          <cell r="K2541" t="str">
            <v>ITAMBÉ</v>
          </cell>
          <cell r="L2541" t="str">
            <v>MAURICIO</v>
          </cell>
          <cell r="M2541" t="str">
            <v>MARCELO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  <cell r="H2542" t="str">
            <v>DISTRIBUIÇÃO</v>
          </cell>
          <cell r="I2542" t="str">
            <v>FOOD SERVICE</v>
          </cell>
          <cell r="J2542" t="str">
            <v>FLAC 5</v>
          </cell>
          <cell r="K2542" t="str">
            <v>LACTALIS</v>
          </cell>
          <cell r="L2542" t="str">
            <v>RODRIGO</v>
          </cell>
          <cell r="M2542" t="str">
            <v>RAQUEL BARBOSA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  <cell r="H2543" t="str">
            <v>INGREDIENTS</v>
          </cell>
          <cell r="I2543" t="str">
            <v>INGREDIENTS</v>
          </cell>
          <cell r="J2543" t="str">
            <v>JOEL ELEOTÉRIO</v>
          </cell>
          <cell r="K2543" t="str">
            <v>ITAMBÉ</v>
          </cell>
          <cell r="L2543" t="str">
            <v>MAURICIO</v>
          </cell>
          <cell r="M2543" t="str">
            <v>JOEL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  <cell r="H2544" t="str">
            <v>INGREDIENTS</v>
          </cell>
          <cell r="I2544" t="str">
            <v>INGREDIENTS</v>
          </cell>
          <cell r="J2544" t="str">
            <v>DUAS RODAS</v>
          </cell>
          <cell r="K2544" t="str">
            <v>ITAMBÉ</v>
          </cell>
          <cell r="L2544" t="str">
            <v>MAURICIO</v>
          </cell>
          <cell r="M2544" t="str">
            <v>MARCELO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  <cell r="H2545" t="str">
            <v>DISTRIBUIÇÃO</v>
          </cell>
          <cell r="I2545" t="str">
            <v>FOOD SERVICE</v>
          </cell>
          <cell r="J2545" t="str">
            <v>ANGELICA BATISTELA</v>
          </cell>
          <cell r="K2545" t="str">
            <v>LACTALIS</v>
          </cell>
          <cell r="L2545" t="str">
            <v>RODRIGO</v>
          </cell>
          <cell r="M2545" t="str">
            <v>ANGELICA BATISTELA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  <cell r="H2546" t="str">
            <v>DISTRIBUIÇÃO</v>
          </cell>
          <cell r="I2546" t="str">
            <v>FOOD SERVICE</v>
          </cell>
          <cell r="J2546" t="str">
            <v>FLAC 5</v>
          </cell>
          <cell r="K2546" t="str">
            <v>LACTALIS</v>
          </cell>
          <cell r="L2546" t="str">
            <v>RODRIGO</v>
          </cell>
          <cell r="M2546" t="str">
            <v>RAQUEL BARBOSA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  <cell r="H2547" t="str">
            <v>INGREDIENTS</v>
          </cell>
          <cell r="I2547" t="str">
            <v>INGREDIENTS</v>
          </cell>
          <cell r="J2547" t="str">
            <v>JOEL ELEOTÉRIO</v>
          </cell>
          <cell r="K2547" t="str">
            <v>LACTALIS</v>
          </cell>
          <cell r="L2547" t="str">
            <v>MAURICIO</v>
          </cell>
          <cell r="M2547" t="str">
            <v>JOEL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  <cell r="H2548" t="str">
            <v>DISTRIBUIÇÃO</v>
          </cell>
          <cell r="I2548" t="str">
            <v>FOOD SERVICE</v>
          </cell>
          <cell r="J2548" t="str">
            <v>FLAC 10</v>
          </cell>
          <cell r="K2548" t="str">
            <v>LACTALIS</v>
          </cell>
          <cell r="L2548" t="str">
            <v>RODRIGO</v>
          </cell>
          <cell r="M2548" t="str">
            <v>RAQUEL BARBOSA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  <cell r="H2549" t="str">
            <v>DISTRIBUIÇÃO</v>
          </cell>
          <cell r="I2549" t="str">
            <v>FOOD SERVICE</v>
          </cell>
          <cell r="J2549" t="str">
            <v>FLAC 6</v>
          </cell>
          <cell r="K2549" t="str">
            <v>LACTALIS</v>
          </cell>
          <cell r="L2549" t="str">
            <v>RODRIGO</v>
          </cell>
          <cell r="M2549" t="str">
            <v>RAQUEL BARBOSA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  <cell r="H2550" t="str">
            <v>DISTRIBUIÇÃO</v>
          </cell>
          <cell r="I2550" t="str">
            <v>FOOD SERVICE</v>
          </cell>
          <cell r="J2550" t="str">
            <v>MARCELO SILVA</v>
          </cell>
          <cell r="K2550" t="str">
            <v>ITAMBÉ</v>
          </cell>
          <cell r="L2550" t="str">
            <v>RODRIGO</v>
          </cell>
          <cell r="M2550" t="str">
            <v>CELIO MARTINS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  <cell r="H2551" t="str">
            <v>DISTRIBUIÇÃO</v>
          </cell>
          <cell r="I2551" t="str">
            <v>FOOD SERVICE</v>
          </cell>
          <cell r="J2551" t="str">
            <v>CLAUDIO JORGE</v>
          </cell>
          <cell r="K2551" t="str">
            <v>LACTALIS</v>
          </cell>
          <cell r="L2551" t="str">
            <v>RODRIGO</v>
          </cell>
          <cell r="M2551" t="str">
            <v>MARIA LOURDES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  <cell r="H2552" t="str">
            <v>DISTRIBUIÇÃO</v>
          </cell>
          <cell r="I2552" t="str">
            <v>FOOD SERVICE</v>
          </cell>
          <cell r="J2552" t="str">
            <v>FLAC 5</v>
          </cell>
          <cell r="K2552" t="str">
            <v>ITAMBÉ</v>
          </cell>
          <cell r="L2552" t="str">
            <v>RODRIGO</v>
          </cell>
          <cell r="M2552" t="str">
            <v>RAQUEL BARBOSA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  <cell r="H2553" t="str">
            <v>DISTRIBUIÇÃO</v>
          </cell>
          <cell r="I2553" t="str">
            <v>FOOD SERVICE</v>
          </cell>
          <cell r="J2553" t="str">
            <v>FLAC 5</v>
          </cell>
          <cell r="K2553" t="str">
            <v>LACTALIS</v>
          </cell>
          <cell r="L2553" t="str">
            <v>RODRIGO</v>
          </cell>
          <cell r="M2553" t="str">
            <v>RAQUEL BARBOSA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  <cell r="H2554" t="str">
            <v>OUTROS</v>
          </cell>
          <cell r="I2554" t="str">
            <v>OUTROS</v>
          </cell>
          <cell r="J2554" t="str">
            <v>OUTROS</v>
          </cell>
          <cell r="K2554" t="str">
            <v>OUTROS</v>
          </cell>
          <cell r="L2554" t="str">
            <v>OUTROS</v>
          </cell>
          <cell r="M2554" t="str">
            <v>OUTROS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  <cell r="H2555" t="str">
            <v>DISTRIBUIÇÃO</v>
          </cell>
          <cell r="I2555" t="str">
            <v>FOOD SERVICE</v>
          </cell>
          <cell r="J2555" t="str">
            <v>FLAC 3</v>
          </cell>
          <cell r="K2555" t="str">
            <v>LACTALIS</v>
          </cell>
          <cell r="L2555" t="str">
            <v>RODRIGO</v>
          </cell>
          <cell r="M2555" t="str">
            <v>RAQUEL BARBOSA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  <cell r="H2556" t="str">
            <v>DISTRIBUIÇÃO</v>
          </cell>
          <cell r="I2556" t="str">
            <v>FOOD SERVICE</v>
          </cell>
          <cell r="J2556" t="str">
            <v>FLAC 10</v>
          </cell>
          <cell r="K2556" t="str">
            <v>LACTALIS</v>
          </cell>
          <cell r="L2556" t="str">
            <v>RODRIGO</v>
          </cell>
          <cell r="M2556" t="str">
            <v>RAQUEL BARBOSA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  <cell r="H2557" t="str">
            <v>DISTRIBUIÇÃO</v>
          </cell>
          <cell r="I2557" t="str">
            <v>FOOD SERVICE</v>
          </cell>
          <cell r="J2557" t="str">
            <v>FLAC 2</v>
          </cell>
          <cell r="K2557" t="str">
            <v>LACTALIS</v>
          </cell>
          <cell r="L2557" t="str">
            <v>RODRIGO</v>
          </cell>
          <cell r="M2557" t="str">
            <v>RAQUEL BARBOSA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  <cell r="H2558" t="str">
            <v>INGREDIENTS</v>
          </cell>
          <cell r="I2558" t="str">
            <v>INGREDIENTS</v>
          </cell>
          <cell r="J2558" t="str">
            <v>JOEL ELEOTÉRIO</v>
          </cell>
          <cell r="K2558" t="str">
            <v>LACTALIS</v>
          </cell>
          <cell r="L2558" t="str">
            <v>MAURICIO</v>
          </cell>
          <cell r="M2558" t="str">
            <v>JOEL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  <cell r="H2559" t="str">
            <v>INGREDIENTS</v>
          </cell>
          <cell r="I2559" t="str">
            <v>INGREDIENTS</v>
          </cell>
          <cell r="J2559" t="str">
            <v>MARCELO RODRIGUES</v>
          </cell>
          <cell r="K2559" t="str">
            <v>LACTALIS</v>
          </cell>
          <cell r="L2559" t="str">
            <v>MAURICIO</v>
          </cell>
          <cell r="M2559" t="str">
            <v>MARCELO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  <cell r="H2560" t="str">
            <v>INGREDIENTS</v>
          </cell>
          <cell r="I2560" t="str">
            <v>INGREDIENTS</v>
          </cell>
          <cell r="J2560" t="str">
            <v>MARCELO RODRIGUES</v>
          </cell>
          <cell r="K2560" t="str">
            <v>LACTALIS</v>
          </cell>
          <cell r="L2560" t="str">
            <v>MAURICIO</v>
          </cell>
          <cell r="M2560" t="str">
            <v>MARCELO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  <cell r="H2561" t="str">
            <v>INGREDIENTS</v>
          </cell>
          <cell r="I2561" t="str">
            <v>INGREDIENTS</v>
          </cell>
          <cell r="J2561" t="str">
            <v>HENRIQUE FERREIRA</v>
          </cell>
          <cell r="K2561" t="str">
            <v>LACTALIS</v>
          </cell>
          <cell r="L2561" t="str">
            <v>MAURICIO</v>
          </cell>
          <cell r="M2561" t="str">
            <v>JOEL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  <cell r="H2562" t="str">
            <v>DISTRIBUIÇÃO</v>
          </cell>
          <cell r="I2562" t="str">
            <v>FOOD SERVICE</v>
          </cell>
          <cell r="J2562" t="str">
            <v>FLAC 6</v>
          </cell>
          <cell r="K2562" t="str">
            <v>LACTALIS</v>
          </cell>
          <cell r="L2562" t="str">
            <v>RODRIGO</v>
          </cell>
          <cell r="M2562" t="str">
            <v>RAQUEL BARBOSA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  <cell r="H2563" t="str">
            <v>DISTRIBUIÇÃO</v>
          </cell>
          <cell r="I2563" t="str">
            <v>FOOD SERVICE</v>
          </cell>
          <cell r="J2563" t="str">
            <v>FLAC 10</v>
          </cell>
          <cell r="K2563" t="str">
            <v>LACTALIS</v>
          </cell>
          <cell r="L2563" t="str">
            <v>RODRIGO</v>
          </cell>
          <cell r="M2563" t="str">
            <v>RAQUEL BARBOSA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  <cell r="H2564" t="str">
            <v>QSR</v>
          </cell>
          <cell r="I2564" t="str">
            <v>FOOD SERVICE</v>
          </cell>
          <cell r="J2564" t="str">
            <v>ANA MENIQUETE</v>
          </cell>
          <cell r="K2564" t="str">
            <v>ITAMBÉ</v>
          </cell>
          <cell r="L2564" t="str">
            <v>PEDRO</v>
          </cell>
          <cell r="M2564" t="str">
            <v>ANA MENIQUETE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  <cell r="H2565" t="str">
            <v>DISTRIBUIÇÃO</v>
          </cell>
          <cell r="I2565" t="str">
            <v>FOOD SERVICE</v>
          </cell>
          <cell r="J2565" t="str">
            <v>WH FOOD SERVICE CE</v>
          </cell>
          <cell r="K2565" t="str">
            <v>ITAMBÉ</v>
          </cell>
          <cell r="L2565" t="str">
            <v>RODRIGO</v>
          </cell>
          <cell r="M2565" t="str">
            <v>MARIA LOURDES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  <cell r="H2566" t="str">
            <v>DISTRIBUIÇÃO</v>
          </cell>
          <cell r="I2566" t="str">
            <v>FOOD SERVICE</v>
          </cell>
          <cell r="J2566" t="str">
            <v>CLAUDIO JORGE/LUIZ</v>
          </cell>
          <cell r="K2566" t="str">
            <v>ITAMBÉ</v>
          </cell>
          <cell r="L2566" t="str">
            <v>RODRIGO</v>
          </cell>
          <cell r="M2566" t="str">
            <v>MARIA LOURDES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  <cell r="H2567" t="str">
            <v>INGREDIENTS</v>
          </cell>
          <cell r="I2567" t="str">
            <v>INGREDIENTS</v>
          </cell>
          <cell r="J2567" t="str">
            <v>JOEL ELEOTÉRIO</v>
          </cell>
          <cell r="K2567" t="str">
            <v>LACTALIS</v>
          </cell>
          <cell r="L2567" t="str">
            <v>MAURICIO</v>
          </cell>
          <cell r="M2567" t="str">
            <v>JOEL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  <cell r="H2568" t="str">
            <v>QSR</v>
          </cell>
          <cell r="I2568" t="str">
            <v>FOOD SERVICE</v>
          </cell>
          <cell r="J2568" t="str">
            <v>VAGO QSR</v>
          </cell>
          <cell r="K2568" t="str">
            <v>ITAMBÉ</v>
          </cell>
          <cell r="L2568" t="str">
            <v>PEDRO</v>
          </cell>
          <cell r="M2568" t="str">
            <v>VAGO QSR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  <cell r="H2569" t="str">
            <v>INGREDIENTS</v>
          </cell>
          <cell r="I2569" t="str">
            <v>INGREDIENTS</v>
          </cell>
          <cell r="J2569" t="str">
            <v>DUAS RODAS</v>
          </cell>
          <cell r="K2569" t="str">
            <v>ITAMBÉ</v>
          </cell>
          <cell r="L2569" t="str">
            <v>MAURICIO</v>
          </cell>
          <cell r="M2569" t="str">
            <v>MARCELO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  <cell r="H2570" t="str">
            <v>DISTRIBUIÇÃO</v>
          </cell>
          <cell r="I2570" t="str">
            <v>FOOD SERVICE</v>
          </cell>
          <cell r="J2570" t="str">
            <v>CLAUDIO JORGE/LUIZ</v>
          </cell>
          <cell r="K2570" t="str">
            <v>ITAMBÉ</v>
          </cell>
          <cell r="L2570" t="str">
            <v>RODRIGO</v>
          </cell>
          <cell r="M2570" t="str">
            <v>MARIA LOURDES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  <cell r="H2571" t="str">
            <v>DISTRIBUIÇÃO</v>
          </cell>
          <cell r="I2571" t="str">
            <v>FOOD SERVICE</v>
          </cell>
          <cell r="J2571" t="str">
            <v>JULIANA CORDEIRO</v>
          </cell>
          <cell r="K2571" t="str">
            <v>ITAMBÉ</v>
          </cell>
          <cell r="L2571" t="str">
            <v>RODRIGO</v>
          </cell>
          <cell r="M2571" t="str">
            <v>JESSICA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  <cell r="H2572" t="str">
            <v>INGREDIENTS</v>
          </cell>
          <cell r="I2572" t="str">
            <v>INGREDIENTS</v>
          </cell>
          <cell r="J2572" t="str">
            <v>SP ITB FS IKM REPRESENTACOES</v>
          </cell>
          <cell r="K2572" t="str">
            <v>ITAMBÉ</v>
          </cell>
          <cell r="L2572" t="str">
            <v>MAURICIO</v>
          </cell>
          <cell r="M2572" t="str">
            <v>TATIANA NITTA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  <cell r="H2573" t="str">
            <v>DISTRIBUIÇÃO</v>
          </cell>
          <cell r="I2573" t="str">
            <v>FOOD SERVICE</v>
          </cell>
          <cell r="J2573" t="str">
            <v>CLAUDIO JORGE/LUIZ</v>
          </cell>
          <cell r="K2573" t="str">
            <v>ITAMBÉ</v>
          </cell>
          <cell r="L2573" t="str">
            <v>RODRIGO</v>
          </cell>
          <cell r="M2573" t="str">
            <v>MARIA LOURDES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  <cell r="H2574" t="str">
            <v>DISTRIBUIÇÃO</v>
          </cell>
          <cell r="I2574" t="str">
            <v>FOOD SERVICE</v>
          </cell>
          <cell r="J2574" t="str">
            <v>CLAUDIO JORGE/LUIZ</v>
          </cell>
          <cell r="K2574" t="str">
            <v>ITAMBÉ</v>
          </cell>
          <cell r="L2574" t="str">
            <v>RODRIGO</v>
          </cell>
          <cell r="M2574" t="str">
            <v>MARIA LOURDES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  <cell r="H2575" t="str">
            <v>INGREDIENTS</v>
          </cell>
          <cell r="I2575" t="str">
            <v>INGREDIENTS</v>
          </cell>
          <cell r="J2575" t="str">
            <v>TATIANA NITTA</v>
          </cell>
          <cell r="K2575" t="str">
            <v>ITAMBÉ</v>
          </cell>
          <cell r="L2575" t="str">
            <v>MAURICIO</v>
          </cell>
          <cell r="M2575" t="str">
            <v>TATIANA NITTA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  <cell r="H2576" t="str">
            <v>INGREDIENTS</v>
          </cell>
          <cell r="I2576" t="str">
            <v>INGREDIENTS</v>
          </cell>
          <cell r="J2576" t="str">
            <v>TATIANA NITTA</v>
          </cell>
          <cell r="K2576" t="str">
            <v>ITAMBÉ</v>
          </cell>
          <cell r="L2576" t="str">
            <v>MAURICIO</v>
          </cell>
          <cell r="M2576" t="str">
            <v>TATIANA NITTA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  <cell r="H2577" t="str">
            <v>INGREDIENTS</v>
          </cell>
          <cell r="I2577" t="str">
            <v>INGREDIENTS</v>
          </cell>
          <cell r="J2577" t="str">
            <v>DLUM</v>
          </cell>
          <cell r="K2577" t="str">
            <v>LACTALIS</v>
          </cell>
          <cell r="L2577" t="str">
            <v>MAURICIO</v>
          </cell>
          <cell r="M2577" t="str">
            <v>JOEL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  <cell r="H2578" t="str">
            <v>DISTRIBUIÇÃO</v>
          </cell>
          <cell r="I2578" t="str">
            <v>FOOD SERVICE</v>
          </cell>
          <cell r="J2578" t="str">
            <v>FLAC 10</v>
          </cell>
          <cell r="K2578" t="str">
            <v>LACTALIS</v>
          </cell>
          <cell r="L2578" t="str">
            <v>RODRIGO</v>
          </cell>
          <cell r="M2578" t="str">
            <v>RAQUEL BARBOSA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  <cell r="H2579" t="str">
            <v>DISTRIBUIÇÃO</v>
          </cell>
          <cell r="I2579" t="str">
            <v>FOOD SERVICE</v>
          </cell>
          <cell r="J2579" t="str">
            <v>FLAC 6</v>
          </cell>
          <cell r="K2579" t="str">
            <v>LACTALIS</v>
          </cell>
          <cell r="L2579" t="str">
            <v>RODRIGO</v>
          </cell>
          <cell r="M2579" t="str">
            <v>RAQUEL BARBOSA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  <cell r="H2580" t="str">
            <v>DISTRIBUIÇÃO</v>
          </cell>
          <cell r="I2580" t="str">
            <v>FOOD SERVICE</v>
          </cell>
          <cell r="J2580" t="str">
            <v>CLAUDIO JORGE/LUIZ</v>
          </cell>
          <cell r="K2580" t="str">
            <v>ITAMBÉ</v>
          </cell>
          <cell r="L2580" t="str">
            <v>RODRIGO</v>
          </cell>
          <cell r="M2580" t="str">
            <v>MARIA LOURDES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  <cell r="H2581" t="str">
            <v>DISTRIBUIÇÃO</v>
          </cell>
          <cell r="I2581" t="str">
            <v>FOOD SERVICE</v>
          </cell>
          <cell r="J2581" t="str">
            <v>ANGELICA BATISTELA</v>
          </cell>
          <cell r="K2581" t="str">
            <v>LACTALIS</v>
          </cell>
          <cell r="L2581" t="str">
            <v>RODRIGO</v>
          </cell>
          <cell r="M2581" t="str">
            <v>ANGELICA BATISTELA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  <cell r="H2582" t="str">
            <v>INGREDIENTS</v>
          </cell>
          <cell r="I2582" t="str">
            <v>INGREDIENTS</v>
          </cell>
          <cell r="J2582" t="str">
            <v>TATIANA NITTA</v>
          </cell>
          <cell r="K2582" t="str">
            <v>ITAMBÉ</v>
          </cell>
          <cell r="L2582" t="str">
            <v>MAURICIO</v>
          </cell>
          <cell r="M2582" t="str">
            <v>TATIANA NITTA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  <cell r="H2583" t="str">
            <v>DISTRIBUIÇÃO</v>
          </cell>
          <cell r="I2583" t="str">
            <v>FOOD SERVICE</v>
          </cell>
          <cell r="J2583" t="str">
            <v>FLAC 7</v>
          </cell>
          <cell r="K2583" t="str">
            <v>LACTALIS</v>
          </cell>
          <cell r="L2583" t="str">
            <v>RODRIGO</v>
          </cell>
          <cell r="M2583" t="str">
            <v>RAQUEL BARBOSA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  <cell r="H2584" t="str">
            <v>DISTRIBUIÇÃO</v>
          </cell>
          <cell r="I2584" t="str">
            <v>FOOD SERVICE</v>
          </cell>
          <cell r="J2584" t="str">
            <v>FLAC 3</v>
          </cell>
          <cell r="K2584" t="str">
            <v>LACTALIS</v>
          </cell>
          <cell r="L2584" t="str">
            <v>RODRIGO</v>
          </cell>
          <cell r="M2584" t="str">
            <v>RAQUEL BARBOSA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  <cell r="H2585" t="str">
            <v>DISTRIBUIÇÃO</v>
          </cell>
          <cell r="I2585" t="str">
            <v>FOOD SERVICE</v>
          </cell>
          <cell r="J2585" t="str">
            <v>ANGELICA BATISTELA</v>
          </cell>
          <cell r="K2585" t="str">
            <v>LACTALIS</v>
          </cell>
          <cell r="L2585" t="str">
            <v>RODRIGO</v>
          </cell>
          <cell r="M2585" t="str">
            <v>ANGELICA BATISTELA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  <cell r="H2586" t="str">
            <v>INGREDIENTS</v>
          </cell>
          <cell r="I2586" t="str">
            <v>INGREDIENTS</v>
          </cell>
          <cell r="J2586" t="str">
            <v>TATIANA NITTA</v>
          </cell>
          <cell r="K2586" t="str">
            <v>ITAMBÉ</v>
          </cell>
          <cell r="L2586" t="str">
            <v>MAURICIO</v>
          </cell>
          <cell r="M2586" t="str">
            <v>TATIANA NITTA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  <cell r="H2587" t="str">
            <v>DISTRIBUIÇÃO</v>
          </cell>
          <cell r="I2587" t="str">
            <v>FOOD SERVICE</v>
          </cell>
          <cell r="J2587" t="str">
            <v>FLAC 5</v>
          </cell>
          <cell r="K2587" t="str">
            <v>LACTALIS</v>
          </cell>
          <cell r="L2587" t="str">
            <v>RODRIGO</v>
          </cell>
          <cell r="M2587" t="str">
            <v>RAQUEL BARBOSA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  <cell r="H2588" t="str">
            <v>DISTRIBUIÇÃO</v>
          </cell>
          <cell r="I2588" t="str">
            <v>FOOD SERVICE</v>
          </cell>
          <cell r="J2588" t="str">
            <v>FLAC 1</v>
          </cell>
          <cell r="K2588" t="str">
            <v>LACTALIS</v>
          </cell>
          <cell r="L2588" t="str">
            <v>RODRIGO</v>
          </cell>
          <cell r="M2588" t="str">
            <v>RAQUEL BARBOSA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  <cell r="H2589" t="str">
            <v>DISTRIBUIÇÃO</v>
          </cell>
          <cell r="I2589" t="str">
            <v>FOOD SERVICE</v>
          </cell>
          <cell r="J2589" t="str">
            <v>MARCELO SILVA</v>
          </cell>
          <cell r="K2589" t="str">
            <v>ITAMBÉ</v>
          </cell>
          <cell r="L2589" t="str">
            <v>RODRIGO</v>
          </cell>
          <cell r="M2589" t="str">
            <v>CELIO MARTINS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  <cell r="H2590" t="str">
            <v>DISTRIBUIÇÃO</v>
          </cell>
          <cell r="I2590" t="str">
            <v>FOOD SERVICE</v>
          </cell>
          <cell r="J2590" t="str">
            <v>FLAC 6</v>
          </cell>
          <cell r="K2590" t="str">
            <v>LACTALIS</v>
          </cell>
          <cell r="L2590" t="str">
            <v>RODRIGO</v>
          </cell>
          <cell r="M2590" t="str">
            <v>RAQUEL BARBOSA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  <cell r="H2591" t="str">
            <v>INGREDIENTS</v>
          </cell>
          <cell r="I2591" t="str">
            <v>INGREDIENTS</v>
          </cell>
          <cell r="J2591" t="str">
            <v>TATIANA NITTA</v>
          </cell>
          <cell r="K2591" t="str">
            <v>ITAMBÉ</v>
          </cell>
          <cell r="L2591" t="str">
            <v>MAURICIO</v>
          </cell>
          <cell r="M2591" t="str">
            <v>TATIANA NITTA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  <cell r="H2592" t="str">
            <v>DISTRIBUIÇÃO</v>
          </cell>
          <cell r="I2592" t="str">
            <v>FOOD SERVICE</v>
          </cell>
          <cell r="J2592" t="str">
            <v>FLAC 10</v>
          </cell>
          <cell r="K2592" t="str">
            <v>LACTALIS</v>
          </cell>
          <cell r="L2592" t="str">
            <v>RODRIGO</v>
          </cell>
          <cell r="M2592" t="str">
            <v>RAQUEL BARBOSA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  <cell r="H2593" t="str">
            <v>INGREDIENTS</v>
          </cell>
          <cell r="I2593" t="str">
            <v>INGREDIENTS</v>
          </cell>
          <cell r="J2593" t="str">
            <v>MARCELO RODRIGUES</v>
          </cell>
          <cell r="K2593" t="str">
            <v>LACTALIS</v>
          </cell>
          <cell r="L2593" t="str">
            <v>MAURICIO</v>
          </cell>
          <cell r="M2593" t="str">
            <v>MARCELO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  <cell r="H2594" t="str">
            <v>INGREDIENTS</v>
          </cell>
          <cell r="I2594" t="str">
            <v>INGREDIENTS</v>
          </cell>
          <cell r="J2594" t="str">
            <v>HENRIQUE FERREIRA</v>
          </cell>
          <cell r="K2594" t="str">
            <v>ITAMBÉ</v>
          </cell>
          <cell r="L2594" t="str">
            <v>MAURICIO</v>
          </cell>
          <cell r="M2594" t="str">
            <v>JOEL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  <cell r="H2595" t="str">
            <v>DISTRIBUIÇÃO</v>
          </cell>
          <cell r="I2595" t="str">
            <v>FOOD SERVICE</v>
          </cell>
          <cell r="J2595" t="str">
            <v>FLAC 10</v>
          </cell>
          <cell r="K2595" t="str">
            <v>LACTALIS</v>
          </cell>
          <cell r="L2595" t="str">
            <v>RODRIGO</v>
          </cell>
          <cell r="M2595" t="str">
            <v>RAQUEL BARBOSA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  <cell r="H2596" t="str">
            <v>DISTRIBUIÇÃO</v>
          </cell>
          <cell r="I2596" t="str">
            <v>FOOD SERVICE</v>
          </cell>
          <cell r="J2596" t="str">
            <v>FLAC 10</v>
          </cell>
          <cell r="K2596" t="str">
            <v>LACTALIS</v>
          </cell>
          <cell r="L2596" t="str">
            <v>RODRIGO</v>
          </cell>
          <cell r="M2596" t="str">
            <v>RAQUEL BARBOSA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  <cell r="H2597" t="str">
            <v>DISTRIBUIÇÃO</v>
          </cell>
          <cell r="I2597" t="str">
            <v>FOOD SERVICE</v>
          </cell>
          <cell r="J2597" t="str">
            <v>FLAC 6</v>
          </cell>
          <cell r="K2597" t="str">
            <v>LACTALIS</v>
          </cell>
          <cell r="L2597" t="str">
            <v>RODRIGO</v>
          </cell>
          <cell r="M2597" t="str">
            <v>RAQUEL BARBOSA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  <cell r="H2598" t="str">
            <v>INGREDIENTS</v>
          </cell>
          <cell r="I2598" t="str">
            <v>INGREDIENTS</v>
          </cell>
          <cell r="J2598" t="str">
            <v>MARCELO RODRIGUES</v>
          </cell>
          <cell r="K2598" t="str">
            <v>ITAMBÉ</v>
          </cell>
          <cell r="L2598" t="str">
            <v>MAURICIO</v>
          </cell>
          <cell r="M2598" t="str">
            <v>MARCELO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  <cell r="H2599" t="str">
            <v>DISTRIBUIÇÃO</v>
          </cell>
          <cell r="I2599" t="str">
            <v>FOOD SERVICE</v>
          </cell>
          <cell r="J2599" t="str">
            <v>FLAC 6</v>
          </cell>
          <cell r="K2599" t="str">
            <v>LACTALIS</v>
          </cell>
          <cell r="L2599" t="str">
            <v>RODRIGO</v>
          </cell>
          <cell r="M2599" t="str">
            <v>RAQUEL BARBOSA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  <cell r="H2600" t="str">
            <v>DISTRIBUIÇÃO</v>
          </cell>
          <cell r="I2600" t="str">
            <v>FOOD SERVICE</v>
          </cell>
          <cell r="J2600" t="str">
            <v>MARCELO SILVA</v>
          </cell>
          <cell r="K2600" t="str">
            <v>ITAMBÉ</v>
          </cell>
          <cell r="L2600" t="str">
            <v>RODRIGO</v>
          </cell>
          <cell r="M2600" t="str">
            <v>CELIO MARTINS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  <cell r="H2601" t="str">
            <v>INGREDIENTS</v>
          </cell>
          <cell r="I2601" t="str">
            <v>INGREDIENTS</v>
          </cell>
          <cell r="J2601" t="str">
            <v>HENRIQUE FERREIRA</v>
          </cell>
          <cell r="K2601" t="str">
            <v>LACTALIS</v>
          </cell>
          <cell r="L2601" t="str">
            <v>MAURICIO</v>
          </cell>
          <cell r="M2601" t="str">
            <v>JOEL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  <cell r="H2602" t="str">
            <v>INGREDIENTS</v>
          </cell>
          <cell r="I2602" t="str">
            <v>INGREDIENTS</v>
          </cell>
          <cell r="J2602" t="str">
            <v>JOEL ELEOTÉRIO</v>
          </cell>
          <cell r="K2602" t="str">
            <v>ITAMBÉ</v>
          </cell>
          <cell r="L2602" t="str">
            <v>MAURICIO</v>
          </cell>
          <cell r="M2602" t="str">
            <v>JOEL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  <cell r="H2603" t="str">
            <v>DISTRIBUIÇÃO</v>
          </cell>
          <cell r="I2603" t="str">
            <v>FOOD SERVICE</v>
          </cell>
          <cell r="J2603" t="str">
            <v>FLAC 5</v>
          </cell>
          <cell r="K2603" t="str">
            <v>LACTALIS</v>
          </cell>
          <cell r="L2603" t="str">
            <v>RODRIGO</v>
          </cell>
          <cell r="M2603" t="str">
            <v>RAQUEL BARBOSA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  <cell r="H2604" t="str">
            <v>INGREDIENTS</v>
          </cell>
          <cell r="I2604" t="str">
            <v>INGREDIENTS</v>
          </cell>
          <cell r="J2604" t="str">
            <v>JOEL ELEOTÉRIO</v>
          </cell>
          <cell r="K2604" t="str">
            <v>ITAMBÉ</v>
          </cell>
          <cell r="L2604" t="str">
            <v>MAURICIO</v>
          </cell>
          <cell r="M2604" t="str">
            <v>JOEL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  <cell r="H2605" t="str">
            <v>DISTRIBUIÇÃO</v>
          </cell>
          <cell r="I2605" t="str">
            <v>FOOD SERVICE</v>
          </cell>
          <cell r="J2605" t="str">
            <v>FLAC 5</v>
          </cell>
          <cell r="K2605" t="str">
            <v>LACTALIS</v>
          </cell>
          <cell r="L2605" t="str">
            <v>RODRIGO</v>
          </cell>
          <cell r="M2605" t="str">
            <v>RAQUEL BARBOSA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  <cell r="H2606" t="str">
            <v>DISTRIBUIÇÃO</v>
          </cell>
          <cell r="I2606" t="str">
            <v>FOOD SERVICE</v>
          </cell>
          <cell r="J2606" t="str">
            <v>FLAC 5</v>
          </cell>
          <cell r="K2606" t="str">
            <v>LACTALIS</v>
          </cell>
          <cell r="L2606" t="str">
            <v>RODRIGO</v>
          </cell>
          <cell r="M2606" t="str">
            <v>RAQUEL BARBOSA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  <cell r="H2607" t="str">
            <v>DISTRIBUIÇÃO</v>
          </cell>
          <cell r="I2607" t="str">
            <v>FOOD SERVICE</v>
          </cell>
          <cell r="J2607" t="str">
            <v>FLAC 2</v>
          </cell>
          <cell r="K2607" t="str">
            <v>LACTALIS</v>
          </cell>
          <cell r="L2607" t="str">
            <v>RODRIGO</v>
          </cell>
          <cell r="M2607" t="str">
            <v>RAQUEL BARBOSA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  <cell r="H2608" t="str">
            <v>INGREDIENTS</v>
          </cell>
          <cell r="I2608" t="str">
            <v>INGREDIENTS</v>
          </cell>
          <cell r="J2608" t="str">
            <v>JOEL ELEOTÉRIO</v>
          </cell>
          <cell r="K2608" t="str">
            <v>ITAMBÉ</v>
          </cell>
          <cell r="L2608" t="str">
            <v>MAURICIO</v>
          </cell>
          <cell r="M2608" t="str">
            <v>JOEL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  <cell r="H2609" t="str">
            <v>DISTRIBUIÇÃO</v>
          </cell>
          <cell r="I2609" t="str">
            <v>FOOD SERVICE</v>
          </cell>
          <cell r="J2609" t="str">
            <v>FLAC 2</v>
          </cell>
          <cell r="K2609" t="str">
            <v>LACTALIS</v>
          </cell>
          <cell r="L2609" t="str">
            <v>RODRIGO</v>
          </cell>
          <cell r="M2609" t="str">
            <v>RAQUEL BARBOSA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  <cell r="H2610" t="str">
            <v>DISTRIBUIÇÃO</v>
          </cell>
          <cell r="I2610" t="str">
            <v>FOOD SERVICE</v>
          </cell>
          <cell r="J2610" t="str">
            <v>FLAC 6</v>
          </cell>
          <cell r="K2610" t="str">
            <v>LACTALIS</v>
          </cell>
          <cell r="L2610" t="str">
            <v>RODRIGO</v>
          </cell>
          <cell r="M2610" t="str">
            <v>RAQUEL BARBOSA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  <cell r="H2611" t="str">
            <v>DISTRIBUIÇÃO</v>
          </cell>
          <cell r="I2611" t="str">
            <v>FOOD SERVICE</v>
          </cell>
          <cell r="J2611" t="str">
            <v>FLAC 10</v>
          </cell>
          <cell r="K2611" t="str">
            <v>LACTALIS</v>
          </cell>
          <cell r="L2611" t="str">
            <v>RODRIGO</v>
          </cell>
          <cell r="M2611" t="str">
            <v>RAQUEL BARBOSA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  <cell r="H2612" t="str">
            <v>DISTRIBUIÇÃO</v>
          </cell>
          <cell r="I2612" t="str">
            <v>FOOD SERVICE</v>
          </cell>
          <cell r="J2612" t="str">
            <v>JULIANA CORDEIRO</v>
          </cell>
          <cell r="K2612" t="str">
            <v>LACTALIS</v>
          </cell>
          <cell r="L2612" t="str">
            <v>RODRIGO</v>
          </cell>
          <cell r="M2612" t="str">
            <v>JESSICA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  <cell r="H2613" t="str">
            <v>QSR</v>
          </cell>
          <cell r="I2613" t="str">
            <v>FOOD SERVICE</v>
          </cell>
          <cell r="J2613" t="str">
            <v>ANA MENIQUETE</v>
          </cell>
          <cell r="K2613" t="str">
            <v>LACTALIS</v>
          </cell>
          <cell r="L2613" t="str">
            <v>PEDRO</v>
          </cell>
          <cell r="M2613" t="str">
            <v>ANA MENIQUETE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  <cell r="H2614" t="str">
            <v>DISTRIBUIÇÃO</v>
          </cell>
          <cell r="I2614" t="str">
            <v>FOOD SERVICE</v>
          </cell>
          <cell r="J2614" t="str">
            <v>FLAC 5</v>
          </cell>
          <cell r="K2614" t="str">
            <v>LACTALIS</v>
          </cell>
          <cell r="L2614" t="str">
            <v>RODRIGO</v>
          </cell>
          <cell r="M2614" t="str">
            <v>RAQUEL BARBOSA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  <cell r="H2615" t="str">
            <v>DISTRIBUIÇÃO</v>
          </cell>
          <cell r="I2615" t="str">
            <v>FOOD SERVICE</v>
          </cell>
          <cell r="J2615" t="str">
            <v>MARCELO SILVA</v>
          </cell>
          <cell r="K2615" t="str">
            <v>ITAMBÉ</v>
          </cell>
          <cell r="L2615" t="str">
            <v>RODRIGO</v>
          </cell>
          <cell r="M2615" t="str">
            <v>CELIO MARTINS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  <cell r="H2616" t="str">
            <v>INGREDIENTS</v>
          </cell>
          <cell r="I2616" t="str">
            <v>INGREDIENTS</v>
          </cell>
          <cell r="J2616" t="str">
            <v>DUAS RODAS</v>
          </cell>
          <cell r="K2616" t="str">
            <v>ITAMBÉ</v>
          </cell>
          <cell r="L2616" t="str">
            <v>MAURICIO</v>
          </cell>
          <cell r="M2616" t="str">
            <v>TATIANA NITTA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  <cell r="H2617" t="str">
            <v>QSR</v>
          </cell>
          <cell r="I2617" t="str">
            <v>FOOD SERVICE</v>
          </cell>
          <cell r="J2617" t="str">
            <v>ANA MENIQUETE</v>
          </cell>
          <cell r="K2617" t="str">
            <v>LACTALIS</v>
          </cell>
          <cell r="L2617" t="str">
            <v>PEDRO</v>
          </cell>
          <cell r="M2617" t="str">
            <v>ANA MENIQUETE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  <cell r="H2618" t="str">
            <v>DISTRIBUIÇÃO</v>
          </cell>
          <cell r="I2618" t="str">
            <v>FOOD SERVICE</v>
          </cell>
          <cell r="J2618" t="str">
            <v>FLAC 8</v>
          </cell>
          <cell r="K2618" t="str">
            <v>LACTALIS</v>
          </cell>
          <cell r="L2618" t="str">
            <v>RODRIGO</v>
          </cell>
          <cell r="M2618" t="str">
            <v>RAQUEL BARBOSA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  <cell r="H2619" t="str">
            <v>DISTRIBUIÇÃO</v>
          </cell>
          <cell r="I2619" t="str">
            <v>FOOD SERVICE</v>
          </cell>
          <cell r="J2619" t="str">
            <v>FLAC 2</v>
          </cell>
          <cell r="K2619" t="str">
            <v>LACTALIS</v>
          </cell>
          <cell r="L2619" t="str">
            <v>RODRIGO</v>
          </cell>
          <cell r="M2619" t="str">
            <v>RAQUEL BARBOSA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  <cell r="H2620" t="str">
            <v>DISTRIBUIÇÃO</v>
          </cell>
          <cell r="I2620" t="str">
            <v>FOOD SERVICE</v>
          </cell>
          <cell r="J2620" t="str">
            <v>CLAUDIO JORGE</v>
          </cell>
          <cell r="K2620" t="str">
            <v>ITAMBÉ</v>
          </cell>
          <cell r="L2620" t="str">
            <v>RODRIGO</v>
          </cell>
          <cell r="M2620" t="str">
            <v>MARCO AURELIO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  <cell r="H2621" t="str">
            <v>DISTRIBUIÇÃO</v>
          </cell>
          <cell r="I2621" t="str">
            <v>FOOD SERVICE</v>
          </cell>
          <cell r="J2621" t="str">
            <v>FLAC 10</v>
          </cell>
          <cell r="K2621" t="str">
            <v>LACTALIS</v>
          </cell>
          <cell r="L2621" t="str">
            <v>RODRIGO</v>
          </cell>
          <cell r="M2621" t="str">
            <v>RAQUEL BARBOSA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  <cell r="H2622" t="str">
            <v>DISTRIBUIÇÃO</v>
          </cell>
          <cell r="I2622" t="str">
            <v>FOOD SERVICE</v>
          </cell>
          <cell r="J2622" t="str">
            <v>CLAUDIO JORGE</v>
          </cell>
          <cell r="K2622" t="str">
            <v>ITAMBÉ</v>
          </cell>
          <cell r="L2622" t="str">
            <v>RODRIGO</v>
          </cell>
          <cell r="M2622" t="str">
            <v>MARCO AURELIO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  <cell r="H2623" t="str">
            <v>DISTRIBUIÇÃO</v>
          </cell>
          <cell r="I2623" t="str">
            <v>FOOD SERVICE</v>
          </cell>
          <cell r="J2623" t="str">
            <v>ANGELICA BATISTELA</v>
          </cell>
          <cell r="K2623" t="str">
            <v>ITAMBÉ</v>
          </cell>
          <cell r="L2623" t="str">
            <v>RODRIGO</v>
          </cell>
          <cell r="M2623" t="str">
            <v>ANGELICA BATISTELA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  <cell r="H2624" t="str">
            <v>INGREDIENTS</v>
          </cell>
          <cell r="I2624" t="str">
            <v>INGREDIENTS</v>
          </cell>
          <cell r="J2624" t="str">
            <v>HENRIQUE FERREIRA</v>
          </cell>
          <cell r="K2624" t="str">
            <v>ITAMBÉ</v>
          </cell>
          <cell r="L2624" t="str">
            <v>MAURICIO</v>
          </cell>
          <cell r="M2624" t="str">
            <v>JOEL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  <cell r="H2625" t="str">
            <v>INGREDIENTS</v>
          </cell>
          <cell r="I2625" t="str">
            <v>INGREDIENTS</v>
          </cell>
          <cell r="J2625" t="str">
            <v>HENRIQUE FERREIRA</v>
          </cell>
          <cell r="K2625" t="str">
            <v>LACTALIS</v>
          </cell>
          <cell r="L2625" t="str">
            <v>MAURICIO</v>
          </cell>
          <cell r="M2625" t="str">
            <v>JOEL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  <cell r="H2626" t="str">
            <v>DISTRIBUIÇÃO</v>
          </cell>
          <cell r="I2626" t="str">
            <v>FOOD SERVICE</v>
          </cell>
          <cell r="J2626" t="str">
            <v>FLAC 5</v>
          </cell>
          <cell r="K2626" t="str">
            <v>LACTALIS</v>
          </cell>
          <cell r="L2626" t="str">
            <v>RODRIGO</v>
          </cell>
          <cell r="M2626" t="str">
            <v>RAQUEL BARBOSA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  <cell r="H2627" t="str">
            <v>DISTRIBUIÇÃO</v>
          </cell>
          <cell r="I2627" t="str">
            <v>FOOD SERVICE</v>
          </cell>
          <cell r="J2627" t="str">
            <v>FLAC 10</v>
          </cell>
          <cell r="K2627" t="str">
            <v>LACTALIS</v>
          </cell>
          <cell r="L2627" t="str">
            <v>RODRIGO</v>
          </cell>
          <cell r="M2627" t="str">
            <v>RAQUEL BARBOSA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  <cell r="H2628" t="str">
            <v>DISTRIBUIÇÃO</v>
          </cell>
          <cell r="I2628" t="str">
            <v>FOOD SERVICE</v>
          </cell>
          <cell r="J2628" t="str">
            <v>FLAC 1</v>
          </cell>
          <cell r="K2628" t="str">
            <v>LACTALIS</v>
          </cell>
          <cell r="L2628" t="str">
            <v>RODRIGO</v>
          </cell>
          <cell r="M2628" t="str">
            <v>RAQUEL BARBOSA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  <cell r="H2629" t="str">
            <v>INGREDIENTS</v>
          </cell>
          <cell r="I2629" t="str">
            <v>INGREDIENTS</v>
          </cell>
          <cell r="J2629" t="str">
            <v>MARCELO RODRIGUES</v>
          </cell>
          <cell r="K2629" t="str">
            <v>LACTALIS</v>
          </cell>
          <cell r="L2629" t="str">
            <v>MAURICIO</v>
          </cell>
          <cell r="M2629" t="str">
            <v>MARCELO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  <cell r="H2630" t="str">
            <v>DISTRIBUIÇÃO</v>
          </cell>
          <cell r="I2630" t="str">
            <v>FOOD SERVICE</v>
          </cell>
          <cell r="J2630" t="str">
            <v>FLAC 8</v>
          </cell>
          <cell r="K2630" t="str">
            <v>LACTALIS</v>
          </cell>
          <cell r="L2630" t="str">
            <v>RODRIGO</v>
          </cell>
          <cell r="M2630" t="str">
            <v>RAQUEL BARBOSA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  <cell r="H2631" t="str">
            <v>INGREDIENTS</v>
          </cell>
          <cell r="I2631" t="str">
            <v>INGREDIENTS</v>
          </cell>
          <cell r="J2631" t="str">
            <v>JOEL ELEOTÉRIO</v>
          </cell>
          <cell r="K2631" t="str">
            <v>ITAMBÉ</v>
          </cell>
          <cell r="L2631" t="str">
            <v>MAURICIO</v>
          </cell>
          <cell r="M2631" t="str">
            <v>JOEL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  <cell r="H2632" t="str">
            <v>DISTRIBUIÇÃO</v>
          </cell>
          <cell r="I2632" t="str">
            <v>FOOD SERVICE</v>
          </cell>
          <cell r="J2632" t="str">
            <v>CLAUDIO JORGE/LUIZ</v>
          </cell>
          <cell r="K2632" t="str">
            <v>ITAMBÉ</v>
          </cell>
          <cell r="L2632" t="str">
            <v>RODRIGO</v>
          </cell>
          <cell r="M2632" t="str">
            <v>MARIA LOURDES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  <cell r="H2633" t="str">
            <v>DISTRIBUIÇÃO</v>
          </cell>
          <cell r="I2633" t="str">
            <v>FOOD SERVICE</v>
          </cell>
          <cell r="J2633" t="str">
            <v>ANGELICA BATISTELA</v>
          </cell>
          <cell r="K2633" t="str">
            <v>LACTALIS</v>
          </cell>
          <cell r="L2633" t="str">
            <v>RODRIGO</v>
          </cell>
          <cell r="M2633" t="str">
            <v>ANGELICA BATISTELA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  <cell r="H2634" t="str">
            <v>QSR</v>
          </cell>
          <cell r="I2634" t="str">
            <v>FOOD SERVICE</v>
          </cell>
          <cell r="J2634" t="str">
            <v>ANA MENIQUETE</v>
          </cell>
          <cell r="K2634" t="str">
            <v>LACTALIS</v>
          </cell>
          <cell r="L2634" t="str">
            <v>PEDRO</v>
          </cell>
          <cell r="M2634" t="str">
            <v>ANA MENIQUETE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  <cell r="H2635" t="str">
            <v>QSR</v>
          </cell>
          <cell r="I2635" t="str">
            <v>FOOD SERVICE</v>
          </cell>
          <cell r="J2635" t="str">
            <v>NUTRI</v>
          </cell>
          <cell r="K2635" t="str">
            <v>ITAMBÉ</v>
          </cell>
          <cell r="L2635" t="str">
            <v>PEDRO</v>
          </cell>
          <cell r="M2635" t="str">
            <v>VAGO QSR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  <cell r="H2636" t="str">
            <v>INGREDIENTS</v>
          </cell>
          <cell r="I2636" t="str">
            <v>INGREDIENTS</v>
          </cell>
          <cell r="J2636" t="str">
            <v>JOEL ELEOTÉRIO</v>
          </cell>
          <cell r="K2636" t="str">
            <v>LACTALIS</v>
          </cell>
          <cell r="L2636" t="str">
            <v>MAURICIO</v>
          </cell>
          <cell r="M2636" t="str">
            <v>JOEL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  <cell r="H2637" t="str">
            <v>DISTRIBUIÇÃO</v>
          </cell>
          <cell r="I2637" t="str">
            <v>FOOD SERVICE</v>
          </cell>
          <cell r="J2637" t="str">
            <v>FLAC 2</v>
          </cell>
          <cell r="K2637" t="str">
            <v>LACTALIS</v>
          </cell>
          <cell r="L2637" t="str">
            <v>RODRIGO</v>
          </cell>
          <cell r="M2637" t="str">
            <v>RAQUEL BARBOSA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  <cell r="H2638" t="str">
            <v>DISTRIBUIÇÃO</v>
          </cell>
          <cell r="I2638" t="str">
            <v>FOOD SERVICE</v>
          </cell>
          <cell r="J2638" t="str">
            <v>MARCELO DUARTE</v>
          </cell>
          <cell r="K2638" t="str">
            <v>ITAMBÉ</v>
          </cell>
          <cell r="L2638" t="str">
            <v>RODRIGO</v>
          </cell>
          <cell r="M2638" t="str">
            <v>JESSICA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  <cell r="H2639" t="str">
            <v>DISTRIBUIÇÃO</v>
          </cell>
          <cell r="I2639" t="str">
            <v>FOOD SERVICE</v>
          </cell>
          <cell r="J2639" t="str">
            <v>FLAC 5</v>
          </cell>
          <cell r="K2639" t="str">
            <v>LACTALIS</v>
          </cell>
          <cell r="L2639" t="str">
            <v>RODRIGO</v>
          </cell>
          <cell r="M2639" t="str">
            <v>RAQUEL BARBOSA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  <cell r="H2640" t="str">
            <v>DISTRIBUIÇÃO</v>
          </cell>
          <cell r="I2640" t="str">
            <v>FOOD SERVICE</v>
          </cell>
          <cell r="J2640" t="str">
            <v>FLAC 1</v>
          </cell>
          <cell r="K2640" t="str">
            <v>LACTALIS</v>
          </cell>
          <cell r="L2640" t="str">
            <v>RODRIGO</v>
          </cell>
          <cell r="M2640" t="str">
            <v>RAQUEL BARBOSA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  <cell r="H2641" t="str">
            <v>DISTRIBUIÇÃO</v>
          </cell>
          <cell r="I2641" t="str">
            <v>FOOD SERVICE</v>
          </cell>
          <cell r="J2641" t="str">
            <v>FLAC 6</v>
          </cell>
          <cell r="K2641" t="str">
            <v>LACTALIS</v>
          </cell>
          <cell r="L2641" t="str">
            <v>RODRIGO</v>
          </cell>
          <cell r="M2641" t="str">
            <v>RAQUEL BARBOSA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  <cell r="H2642" t="str">
            <v>DISTRIBUIÇÃO</v>
          </cell>
          <cell r="I2642" t="str">
            <v>FOOD SERVICE</v>
          </cell>
          <cell r="J2642" t="str">
            <v>FLAC 2</v>
          </cell>
          <cell r="K2642" t="str">
            <v>LACTALIS</v>
          </cell>
          <cell r="L2642" t="str">
            <v>RODRIGO</v>
          </cell>
          <cell r="M2642" t="str">
            <v>RAQUEL BARBOSA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  <cell r="H2643" t="str">
            <v>DISTRIBUIÇÃO</v>
          </cell>
          <cell r="I2643" t="str">
            <v>FOOD SERVICE</v>
          </cell>
          <cell r="J2643" t="str">
            <v>FLAC 2</v>
          </cell>
          <cell r="K2643" t="str">
            <v>LACTALIS</v>
          </cell>
          <cell r="L2643" t="str">
            <v>RODRIGO</v>
          </cell>
          <cell r="M2643" t="str">
            <v>RAQUEL BARBOSA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  <cell r="H2644" t="str">
            <v>DISTRIBUIÇÃO</v>
          </cell>
          <cell r="I2644" t="str">
            <v>FOOD SERVICE</v>
          </cell>
          <cell r="J2644" t="str">
            <v>FLAC 2</v>
          </cell>
          <cell r="K2644" t="str">
            <v>LACTALIS</v>
          </cell>
          <cell r="L2644" t="str">
            <v>RODRIGO</v>
          </cell>
          <cell r="M2644" t="str">
            <v>RAQUEL BARBOSA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  <cell r="H2645" t="str">
            <v>DISTRIBUIÇÃO</v>
          </cell>
          <cell r="I2645" t="str">
            <v>FOOD SERVICE</v>
          </cell>
          <cell r="J2645" t="str">
            <v>FLAC 3</v>
          </cell>
          <cell r="K2645" t="str">
            <v>LACTALIS</v>
          </cell>
          <cell r="L2645" t="str">
            <v>RODRIGO</v>
          </cell>
          <cell r="M2645" t="str">
            <v>RAQUEL BARBOSA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  <cell r="H2646" t="str">
            <v>QSR</v>
          </cell>
          <cell r="I2646" t="str">
            <v>FOOD SERVICE</v>
          </cell>
          <cell r="J2646" t="str">
            <v>NUTRI</v>
          </cell>
          <cell r="K2646" t="str">
            <v>ITAMBÉ</v>
          </cell>
          <cell r="L2646" t="str">
            <v>PEDRO</v>
          </cell>
          <cell r="M2646" t="str">
            <v>VAGO QSR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  <cell r="H2647" t="str">
            <v>DISTRIBUIÇÃO</v>
          </cell>
          <cell r="I2647" t="str">
            <v>FOOD SERVICE</v>
          </cell>
          <cell r="J2647" t="str">
            <v>FLAC 8</v>
          </cell>
          <cell r="K2647" t="str">
            <v>LACTALIS</v>
          </cell>
          <cell r="L2647" t="str">
            <v>RODRIGO</v>
          </cell>
          <cell r="M2647" t="str">
            <v>RAQUEL BARBOSA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  <cell r="H2648" t="str">
            <v>QSR</v>
          </cell>
          <cell r="I2648" t="str">
            <v>FOOD SERVICE</v>
          </cell>
          <cell r="J2648" t="str">
            <v>NUTRI</v>
          </cell>
          <cell r="K2648" t="str">
            <v>ITAMBÉ</v>
          </cell>
          <cell r="L2648" t="str">
            <v>PEDRO</v>
          </cell>
          <cell r="M2648" t="str">
            <v>VAGO QSR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  <cell r="H2649" t="str">
            <v>INGREDIENTS</v>
          </cell>
          <cell r="I2649" t="str">
            <v>INGREDIENTS</v>
          </cell>
          <cell r="J2649" t="str">
            <v>HENRIQUE FERREIRA</v>
          </cell>
          <cell r="K2649" t="str">
            <v>ITAMBÉ</v>
          </cell>
          <cell r="L2649" t="str">
            <v>MAURICIO</v>
          </cell>
          <cell r="M2649" t="str">
            <v>JOEL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  <cell r="H2650" t="str">
            <v>DISTRIBUIÇÃO</v>
          </cell>
          <cell r="I2650" t="str">
            <v>FOOD SERVICE</v>
          </cell>
          <cell r="J2650" t="str">
            <v>FLAC 2</v>
          </cell>
          <cell r="K2650" t="str">
            <v>LACTALIS</v>
          </cell>
          <cell r="L2650" t="str">
            <v>RODRIGO</v>
          </cell>
          <cell r="M2650" t="str">
            <v>RAQUEL BARBOSA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  <cell r="H2651" t="str">
            <v>DISTRIBUIÇÃO</v>
          </cell>
          <cell r="I2651" t="str">
            <v>FOOD SERVICE</v>
          </cell>
          <cell r="J2651" t="str">
            <v>MARCELO DUARTE</v>
          </cell>
          <cell r="K2651" t="str">
            <v>ITAMBÉ</v>
          </cell>
          <cell r="L2651" t="str">
            <v>RODRIGO</v>
          </cell>
          <cell r="M2651" t="str">
            <v>JESSICA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  <cell r="H2652" t="str">
            <v>DISTRIBUIÇÃO</v>
          </cell>
          <cell r="I2652" t="str">
            <v>FOOD SERVICE</v>
          </cell>
          <cell r="J2652" t="str">
            <v>DIGMA REPR LTDA</v>
          </cell>
          <cell r="K2652" t="str">
            <v>ITAMBÉ</v>
          </cell>
          <cell r="L2652" t="str">
            <v>RODRIGO</v>
          </cell>
          <cell r="M2652" t="str">
            <v>MARIA LOURDES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  <cell r="H2653" t="str">
            <v>DISTRIBUIÇÃO</v>
          </cell>
          <cell r="I2653" t="str">
            <v>FOOD SERVICE</v>
          </cell>
          <cell r="J2653" t="str">
            <v>FLAC 1</v>
          </cell>
          <cell r="K2653" t="str">
            <v>LACTALIS</v>
          </cell>
          <cell r="L2653" t="str">
            <v>RODRIGO</v>
          </cell>
          <cell r="M2653" t="str">
            <v>RAQUEL BARBOSA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  <cell r="H2654" t="str">
            <v>QSR</v>
          </cell>
          <cell r="I2654" t="str">
            <v>FOOD SERVICE</v>
          </cell>
          <cell r="J2654" t="str">
            <v>NUTRI</v>
          </cell>
          <cell r="K2654" t="str">
            <v>ITAMBÉ</v>
          </cell>
          <cell r="L2654" t="str">
            <v>PEDRO</v>
          </cell>
          <cell r="M2654" t="str">
            <v>VAGO QSR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  <cell r="H2655" t="str">
            <v>INGREDIENTS</v>
          </cell>
          <cell r="I2655" t="str">
            <v>INGREDIENTS</v>
          </cell>
          <cell r="J2655" t="str">
            <v>MARCELO RODRIGUES</v>
          </cell>
          <cell r="K2655" t="str">
            <v>LACTALIS</v>
          </cell>
          <cell r="L2655" t="str">
            <v>MAURICIO</v>
          </cell>
          <cell r="M2655" t="str">
            <v>MARCELO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  <cell r="H2656" t="str">
            <v>DISTRIBUIÇÃO</v>
          </cell>
          <cell r="I2656" t="str">
            <v>FOOD SERVICE</v>
          </cell>
          <cell r="J2656" t="str">
            <v>FLAC 10</v>
          </cell>
          <cell r="K2656" t="str">
            <v>LACTALIS</v>
          </cell>
          <cell r="L2656" t="str">
            <v>RODRIGO</v>
          </cell>
          <cell r="M2656" t="str">
            <v>RAQUEL BARBOSA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  <cell r="H2657" t="str">
            <v>QSR</v>
          </cell>
          <cell r="I2657" t="str">
            <v>FOOD SERVICE</v>
          </cell>
          <cell r="J2657" t="str">
            <v>VAGO QSR</v>
          </cell>
          <cell r="K2657" t="str">
            <v>LACTALIS</v>
          </cell>
          <cell r="L2657" t="str">
            <v>PEDRO</v>
          </cell>
          <cell r="M2657" t="str">
            <v>VAGO QSR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  <cell r="H2658" t="str">
            <v>INGREDIENTS</v>
          </cell>
          <cell r="I2658" t="str">
            <v>INGREDIENTS</v>
          </cell>
          <cell r="J2658" t="str">
            <v>MARCELO RODRIGUES</v>
          </cell>
          <cell r="K2658" t="str">
            <v>ITAMBÉ</v>
          </cell>
          <cell r="L2658" t="str">
            <v>MAURICIO</v>
          </cell>
          <cell r="M2658" t="str">
            <v>MARCELO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  <cell r="H2659" t="str">
            <v>DISTRIBUIÇÃO</v>
          </cell>
          <cell r="I2659" t="str">
            <v>FOOD SERVICE</v>
          </cell>
          <cell r="J2659" t="str">
            <v>CLAUDIO JORGE</v>
          </cell>
          <cell r="K2659" t="str">
            <v>ITAMBÉ</v>
          </cell>
          <cell r="L2659" t="str">
            <v>RODRIGO</v>
          </cell>
          <cell r="M2659" t="str">
            <v>MARCO AURELIO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  <cell r="H2660" t="str">
            <v>INGREDIENTS</v>
          </cell>
          <cell r="I2660" t="str">
            <v>INGREDIENTS</v>
          </cell>
          <cell r="J2660" t="str">
            <v>HENRIQUE FERREIRA</v>
          </cell>
          <cell r="K2660" t="str">
            <v>LACTALIS</v>
          </cell>
          <cell r="L2660" t="str">
            <v>MAURICIO</v>
          </cell>
          <cell r="M2660" t="str">
            <v>JOEL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  <cell r="H2661" t="str">
            <v>INGREDIENTS</v>
          </cell>
          <cell r="I2661" t="str">
            <v>INGREDIENTS</v>
          </cell>
          <cell r="J2661" t="str">
            <v>JOEL ELEOTÉRIO</v>
          </cell>
          <cell r="K2661" t="str">
            <v>LACTALIS</v>
          </cell>
          <cell r="L2661" t="str">
            <v>MAURICIO</v>
          </cell>
          <cell r="M2661" t="str">
            <v>JOEL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  <cell r="H2662" t="str">
            <v>INGREDIENTS</v>
          </cell>
          <cell r="I2662" t="str">
            <v>INGREDIENTS</v>
          </cell>
          <cell r="J2662" t="str">
            <v>TATIANA NITTA</v>
          </cell>
          <cell r="K2662" t="str">
            <v>LACTALIS</v>
          </cell>
          <cell r="L2662" t="str">
            <v>MAURICIO</v>
          </cell>
          <cell r="M2662" t="str">
            <v>TATIANA NITTA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  <cell r="H2663" t="str">
            <v>DISTRIBUIÇÃO</v>
          </cell>
          <cell r="I2663" t="str">
            <v>FOOD SERVICE</v>
          </cell>
          <cell r="J2663" t="str">
            <v>FLAC 6</v>
          </cell>
          <cell r="K2663" t="str">
            <v>LACTALIS</v>
          </cell>
          <cell r="L2663" t="str">
            <v>RODRIGO</v>
          </cell>
          <cell r="M2663" t="str">
            <v>RAQUEL BARBOSA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  <cell r="H2664" t="str">
            <v>INGREDIENTS</v>
          </cell>
          <cell r="I2664" t="str">
            <v>INGREDIENTS</v>
          </cell>
          <cell r="J2664" t="str">
            <v>MARCELO RODRIGUES</v>
          </cell>
          <cell r="K2664" t="str">
            <v>LACTALIS</v>
          </cell>
          <cell r="L2664" t="str">
            <v>MAURICIO</v>
          </cell>
          <cell r="M2664" t="str">
            <v>MARCELO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  <cell r="H2665" t="str">
            <v>DISTRIBUIÇÃO</v>
          </cell>
          <cell r="I2665" t="str">
            <v>FOOD SERVICE</v>
          </cell>
          <cell r="J2665" t="str">
            <v>FLAC 3</v>
          </cell>
          <cell r="K2665" t="str">
            <v>LACTALIS</v>
          </cell>
          <cell r="L2665" t="str">
            <v>RODRIGO</v>
          </cell>
          <cell r="M2665" t="str">
            <v>RAQUEL BARBOSA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  <cell r="H2666" t="str">
            <v>DISTRIBUIÇÃO</v>
          </cell>
          <cell r="I2666" t="str">
            <v>FOOD SERVICE</v>
          </cell>
          <cell r="J2666" t="str">
            <v>FLAC 5</v>
          </cell>
          <cell r="K2666" t="str">
            <v>LACTALIS</v>
          </cell>
          <cell r="L2666" t="str">
            <v>RODRIGO</v>
          </cell>
          <cell r="M2666" t="str">
            <v>RAQUEL BARBOSA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  <cell r="H2667" t="str">
            <v>DISTRIBUIÇÃO</v>
          </cell>
          <cell r="I2667" t="str">
            <v>FOOD SERVICE</v>
          </cell>
          <cell r="J2667" t="str">
            <v>FLAC 7</v>
          </cell>
          <cell r="K2667" t="str">
            <v>LACTALIS</v>
          </cell>
          <cell r="L2667" t="str">
            <v>RODRIGO</v>
          </cell>
          <cell r="M2667" t="str">
            <v>RAQUEL BARBOSA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  <cell r="H2668" t="str">
            <v>DISTRIBUIÇÃO</v>
          </cell>
          <cell r="I2668" t="str">
            <v>FOOD SERVICE</v>
          </cell>
          <cell r="J2668" t="str">
            <v>WH FOOD SERVICE CE</v>
          </cell>
          <cell r="K2668" t="str">
            <v>ITAMBÉ</v>
          </cell>
          <cell r="L2668" t="str">
            <v>RODRIGO</v>
          </cell>
          <cell r="M2668" t="str">
            <v>MARIA LOURDES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  <cell r="H2669" t="str">
            <v>DISTRIBUIÇÃO</v>
          </cell>
          <cell r="I2669" t="str">
            <v>FOOD SERVICE</v>
          </cell>
          <cell r="J2669" t="str">
            <v>FLAC 5</v>
          </cell>
          <cell r="K2669" t="str">
            <v>LACTALIS</v>
          </cell>
          <cell r="L2669" t="str">
            <v>RODRIGO</v>
          </cell>
          <cell r="M2669" t="str">
            <v>RAQUEL BARBOSA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  <cell r="H2670" t="str">
            <v>DISTRIBUIÇÃO</v>
          </cell>
          <cell r="I2670" t="str">
            <v>FOOD SERVICE</v>
          </cell>
          <cell r="J2670" t="str">
            <v>FLAC 2</v>
          </cell>
          <cell r="K2670" t="str">
            <v>LACTALIS</v>
          </cell>
          <cell r="L2670" t="str">
            <v>RODRIGO</v>
          </cell>
          <cell r="M2670" t="str">
            <v>RAQUEL BARBOSA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  <cell r="H2671" t="str">
            <v>DISTRIBUIÇÃO</v>
          </cell>
          <cell r="I2671" t="str">
            <v>FOOD SERVICE</v>
          </cell>
          <cell r="J2671" t="str">
            <v>FLAC 5</v>
          </cell>
          <cell r="K2671" t="str">
            <v>LACTALIS</v>
          </cell>
          <cell r="L2671" t="str">
            <v>RODRIGO</v>
          </cell>
          <cell r="M2671" t="str">
            <v>RAQUEL BARBOSA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  <cell r="H2672" t="str">
            <v>INGREDIENTS</v>
          </cell>
          <cell r="I2672" t="str">
            <v>INGREDIENTS</v>
          </cell>
          <cell r="J2672" t="str">
            <v>MARCELO RODRIGUES</v>
          </cell>
          <cell r="K2672" t="str">
            <v>LACTALIS</v>
          </cell>
          <cell r="L2672" t="str">
            <v>MAURICIO</v>
          </cell>
          <cell r="M2672" t="str">
            <v>MARCELO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  <cell r="H2673" t="str">
            <v>INGREDIENTS</v>
          </cell>
          <cell r="I2673" t="str">
            <v>INGREDIENTS</v>
          </cell>
          <cell r="J2673" t="str">
            <v>MG ITB FS HENRIQUE WAGNER</v>
          </cell>
          <cell r="K2673" t="str">
            <v>ITAMBÉ</v>
          </cell>
          <cell r="L2673" t="str">
            <v>MAURICIO</v>
          </cell>
          <cell r="M2673" t="str">
            <v>TATIANA NITTA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  <cell r="H2674" t="str">
            <v>DISTRIBUIÇÃO</v>
          </cell>
          <cell r="I2674" t="str">
            <v>FOOD SERVICE</v>
          </cell>
          <cell r="J2674" t="str">
            <v>FLAC 1</v>
          </cell>
          <cell r="K2674" t="str">
            <v>LACTALIS</v>
          </cell>
          <cell r="L2674" t="str">
            <v>RODRIGO</v>
          </cell>
          <cell r="M2674" t="str">
            <v>RAQUEL BARBOSA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  <cell r="H2675" t="str">
            <v>DISTRIBUIÇÃO</v>
          </cell>
          <cell r="I2675" t="str">
            <v>FOOD SERVICE</v>
          </cell>
          <cell r="J2675" t="str">
            <v>FLAC 2</v>
          </cell>
          <cell r="K2675" t="str">
            <v>LACTALIS</v>
          </cell>
          <cell r="L2675" t="str">
            <v>RODRIGO</v>
          </cell>
          <cell r="M2675" t="str">
            <v>RAQUEL BARBOSA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  <cell r="H2676" t="str">
            <v>INGREDIENTS</v>
          </cell>
          <cell r="I2676" t="str">
            <v>INGREDIENTS</v>
          </cell>
          <cell r="J2676" t="str">
            <v>TATIANA NITTA</v>
          </cell>
          <cell r="K2676" t="str">
            <v>ITAMBÉ</v>
          </cell>
          <cell r="L2676" t="str">
            <v>MAURICIO</v>
          </cell>
          <cell r="M2676" t="str">
            <v>TATIANA NITTA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  <cell r="H2677" t="str">
            <v>INGREDIENTS</v>
          </cell>
          <cell r="I2677" t="str">
            <v>INGREDIENTS</v>
          </cell>
          <cell r="J2677" t="str">
            <v>MARCELO RODRIGUES</v>
          </cell>
          <cell r="K2677" t="str">
            <v>ITAMBÉ</v>
          </cell>
          <cell r="L2677" t="str">
            <v>MAURICIO</v>
          </cell>
          <cell r="M2677" t="str">
            <v>MARCELO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  <cell r="H2678" t="str">
            <v>DISTRIBUIÇÃO</v>
          </cell>
          <cell r="I2678" t="str">
            <v>FOOD SERVICE</v>
          </cell>
          <cell r="J2678" t="str">
            <v>FLAC 5</v>
          </cell>
          <cell r="K2678" t="str">
            <v>LACTALIS</v>
          </cell>
          <cell r="L2678" t="str">
            <v>RODRIGO</v>
          </cell>
          <cell r="M2678" t="str">
            <v>RAQUEL BARBOSA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  <cell r="H2679" t="str">
            <v>DISTRIBUIÇÃO</v>
          </cell>
          <cell r="I2679" t="str">
            <v>FOOD SERVICE</v>
          </cell>
          <cell r="J2679" t="str">
            <v>FLAC 5</v>
          </cell>
          <cell r="K2679" t="str">
            <v>LACTALIS</v>
          </cell>
          <cell r="L2679" t="str">
            <v>RODRIGO</v>
          </cell>
          <cell r="M2679" t="str">
            <v>RAQUEL BARBOSA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  <cell r="H2680" t="str">
            <v>DISTRIBUIÇÃO</v>
          </cell>
          <cell r="I2680" t="str">
            <v>FOOD SERVICE</v>
          </cell>
          <cell r="J2680" t="str">
            <v>MARCELO SILVA</v>
          </cell>
          <cell r="K2680" t="str">
            <v>ITAMBÉ</v>
          </cell>
          <cell r="L2680" t="str">
            <v>RODRIGO</v>
          </cell>
          <cell r="M2680" t="str">
            <v>CELIO MARTINS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  <cell r="H2681" t="str">
            <v>DISTRIBUIÇÃO</v>
          </cell>
          <cell r="I2681" t="str">
            <v>FOOD SERVICE</v>
          </cell>
          <cell r="J2681" t="str">
            <v>WH FOOD SERVICE CE</v>
          </cell>
          <cell r="K2681" t="str">
            <v>ITAMBÉ</v>
          </cell>
          <cell r="L2681" t="str">
            <v>RODRIGO</v>
          </cell>
          <cell r="M2681" t="str">
            <v>MARIA LOURDES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  <cell r="H2682" t="str">
            <v>DISTRIBUIÇÃO</v>
          </cell>
          <cell r="I2682" t="str">
            <v>FOOD SERVICE</v>
          </cell>
          <cell r="J2682" t="str">
            <v>FLAC 8</v>
          </cell>
          <cell r="K2682" t="str">
            <v>LACTALIS</v>
          </cell>
          <cell r="L2682" t="str">
            <v>RODRIGO</v>
          </cell>
          <cell r="M2682" t="str">
            <v>RAQUEL BARBOSA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  <cell r="H2683" t="str">
            <v>INGREDIENTS</v>
          </cell>
          <cell r="I2683" t="str">
            <v>INGREDIENTS</v>
          </cell>
          <cell r="J2683" t="str">
            <v>JOEL ELEOTÉRIO</v>
          </cell>
          <cell r="K2683" t="str">
            <v>ITAMBÉ</v>
          </cell>
          <cell r="L2683" t="str">
            <v>MAURICIO</v>
          </cell>
          <cell r="M2683" t="str">
            <v>JOEL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  <cell r="H2684" t="str">
            <v>QSR</v>
          </cell>
          <cell r="I2684" t="str">
            <v>FOOD SERVICE</v>
          </cell>
          <cell r="J2684" t="str">
            <v>VAGO QSR</v>
          </cell>
          <cell r="K2684" t="str">
            <v>ITAMBÉ</v>
          </cell>
          <cell r="L2684" t="str">
            <v>PEDRO</v>
          </cell>
          <cell r="M2684" t="str">
            <v>VAGO QSR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  <cell r="H2685" t="str">
            <v>INGREDIENTS</v>
          </cell>
          <cell r="I2685" t="str">
            <v>INGREDIENTS</v>
          </cell>
          <cell r="J2685" t="str">
            <v>MG ITB FS HENRIQUE WAGNER</v>
          </cell>
          <cell r="K2685" t="str">
            <v>ITAMBÉ</v>
          </cell>
          <cell r="L2685" t="str">
            <v>MAURICIO</v>
          </cell>
          <cell r="M2685" t="str">
            <v>TATIANA NITTA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  <cell r="H2686" t="str">
            <v>INGREDIENTS</v>
          </cell>
          <cell r="I2686" t="str">
            <v>INGREDIENTS</v>
          </cell>
          <cell r="J2686" t="str">
            <v>BA ITB FS ML FLAVORS</v>
          </cell>
          <cell r="K2686" t="str">
            <v>ITAMBÉ</v>
          </cell>
          <cell r="L2686" t="str">
            <v>MAURICIO</v>
          </cell>
          <cell r="M2686" t="str">
            <v>JOEL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  <cell r="H2687" t="str">
            <v>DISTRIBUIÇÃO</v>
          </cell>
          <cell r="I2687" t="str">
            <v>FOOD SERVICE</v>
          </cell>
          <cell r="J2687" t="str">
            <v>FLAC 5</v>
          </cell>
          <cell r="K2687" t="str">
            <v>LACTALIS</v>
          </cell>
          <cell r="L2687" t="str">
            <v>RODRIGO</v>
          </cell>
          <cell r="M2687" t="str">
            <v>RAQUEL BARBOSA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  <cell r="H2688" t="str">
            <v>DISTRIBUIÇÃO</v>
          </cell>
          <cell r="I2688" t="str">
            <v>FOOD SERVICE</v>
          </cell>
          <cell r="J2688" t="str">
            <v>FLAC 5</v>
          </cell>
          <cell r="K2688" t="str">
            <v>LACTALIS</v>
          </cell>
          <cell r="L2688" t="str">
            <v>RODRIGO</v>
          </cell>
          <cell r="M2688" t="str">
            <v>RAQUEL BARBOSA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  <cell r="H2689" t="str">
            <v>DISTRIBUIÇÃO</v>
          </cell>
          <cell r="I2689" t="str">
            <v>FOOD SERVICE</v>
          </cell>
          <cell r="J2689" t="str">
            <v>FLAC 3</v>
          </cell>
          <cell r="K2689" t="str">
            <v>LACTALIS</v>
          </cell>
          <cell r="L2689" t="str">
            <v>RODRIGO</v>
          </cell>
          <cell r="M2689" t="str">
            <v>RAQUEL BARBOSA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  <cell r="H2690" t="str">
            <v>DISTRIBUIÇÃO</v>
          </cell>
          <cell r="I2690" t="str">
            <v>FOOD SERVICE</v>
          </cell>
          <cell r="J2690" t="str">
            <v>CLAUDIO JORGE/LUIZ</v>
          </cell>
          <cell r="K2690" t="str">
            <v>ITAMBÉ</v>
          </cell>
          <cell r="L2690" t="str">
            <v>RODRIGO</v>
          </cell>
          <cell r="M2690" t="str">
            <v>MARIA LOURDES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  <cell r="H2691" t="str">
            <v>QSR</v>
          </cell>
          <cell r="I2691" t="str">
            <v>FOOD SERVICE</v>
          </cell>
          <cell r="J2691" t="str">
            <v>ANA MENIQUETE</v>
          </cell>
          <cell r="K2691" t="str">
            <v>ITAMBÉ</v>
          </cell>
          <cell r="L2691" t="str">
            <v>PEDRO</v>
          </cell>
          <cell r="M2691" t="str">
            <v>ANA MENIQUETE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  <cell r="H2692" t="str">
            <v>DISTRIBUIÇÃO</v>
          </cell>
          <cell r="I2692" t="str">
            <v>FOOD SERVICE</v>
          </cell>
          <cell r="J2692" t="str">
            <v>LUCIANA MARTINS</v>
          </cell>
          <cell r="K2692" t="str">
            <v>ITAMBÉ</v>
          </cell>
          <cell r="L2692" t="str">
            <v>RODRIGO</v>
          </cell>
          <cell r="M2692" t="str">
            <v>JESSICA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  <cell r="H2693" t="str">
            <v>DISTRIBUIÇÃO</v>
          </cell>
          <cell r="I2693" t="str">
            <v>FOOD SERVICE</v>
          </cell>
          <cell r="J2693" t="str">
            <v>FLAC 5</v>
          </cell>
          <cell r="K2693" t="str">
            <v>LACTALIS</v>
          </cell>
          <cell r="L2693" t="str">
            <v>RODRIGO</v>
          </cell>
          <cell r="M2693" t="str">
            <v>RAQUEL BARBOSA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  <cell r="H2694" t="str">
            <v>DISTRIBUIÇÃO</v>
          </cell>
          <cell r="I2694" t="str">
            <v>FOOD SERVICE</v>
          </cell>
          <cell r="J2694" t="str">
            <v>FLAC 3</v>
          </cell>
          <cell r="K2694" t="str">
            <v>LACTALIS</v>
          </cell>
          <cell r="L2694" t="str">
            <v>RODRIGO</v>
          </cell>
          <cell r="M2694" t="str">
            <v>RAQUEL BARBOSA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  <cell r="H2695" t="str">
            <v>DISTRIBUIÇÃO</v>
          </cell>
          <cell r="I2695" t="str">
            <v>FOOD SERVICE</v>
          </cell>
          <cell r="J2695" t="str">
            <v>CLAUDIO JORGE/LUIZ</v>
          </cell>
          <cell r="K2695" t="str">
            <v>ITAMBÉ</v>
          </cell>
          <cell r="L2695" t="str">
            <v>RODRIGO</v>
          </cell>
          <cell r="M2695" t="str">
            <v>MARIA LOURDES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  <cell r="H2696" t="str">
            <v>DISTRIBUIÇÃO</v>
          </cell>
          <cell r="I2696" t="str">
            <v>FOOD SERVICE</v>
          </cell>
          <cell r="J2696" t="str">
            <v>CLAUDIO JORGE/LUIZ</v>
          </cell>
          <cell r="K2696" t="str">
            <v>ITAMBÉ</v>
          </cell>
          <cell r="L2696" t="str">
            <v>RODRIGO</v>
          </cell>
          <cell r="M2696" t="str">
            <v>MARIA LOURDES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  <cell r="H2697" t="str">
            <v>DISTRIBUIÇÃO</v>
          </cell>
          <cell r="I2697" t="str">
            <v>FOOD SERVICE</v>
          </cell>
          <cell r="J2697" t="str">
            <v>FLAC 3</v>
          </cell>
          <cell r="K2697" t="str">
            <v>LACTALIS</v>
          </cell>
          <cell r="L2697" t="str">
            <v>RODRIGO</v>
          </cell>
          <cell r="M2697" t="str">
            <v>RAQUEL BARBOSA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  <cell r="H2698" t="str">
            <v>INGREDIENTS</v>
          </cell>
          <cell r="I2698" t="str">
            <v>INGREDIENTS</v>
          </cell>
          <cell r="J2698" t="str">
            <v>DUAS RODAS</v>
          </cell>
          <cell r="K2698" t="str">
            <v>ITAMBÉ</v>
          </cell>
          <cell r="L2698" t="str">
            <v>MAURICIO</v>
          </cell>
          <cell r="M2698" t="str">
            <v>TATIANA NITTA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  <cell r="H2699" t="str">
            <v>DISTRIBUIÇÃO</v>
          </cell>
          <cell r="I2699" t="str">
            <v>FOOD SERVICE</v>
          </cell>
          <cell r="J2699" t="str">
            <v>VAGO SP</v>
          </cell>
          <cell r="K2699" t="str">
            <v>LACTALIS</v>
          </cell>
          <cell r="L2699" t="str">
            <v>RODRIGO</v>
          </cell>
          <cell r="M2699" t="str">
            <v>RAQUEL BARBOSA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  <cell r="H2700" t="str">
            <v>DISTRIBUIÇÃO</v>
          </cell>
          <cell r="I2700" t="str">
            <v>FOOD SERVICE</v>
          </cell>
          <cell r="J2700" t="str">
            <v>JULIANA CORDEIRO</v>
          </cell>
          <cell r="K2700" t="str">
            <v>ITAMBÉ</v>
          </cell>
          <cell r="L2700" t="str">
            <v>RODRIGO</v>
          </cell>
          <cell r="M2700" t="str">
            <v>JESSICA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  <cell r="H2701" t="str">
            <v>DISTRIBUIÇÃO</v>
          </cell>
          <cell r="I2701" t="str">
            <v>FOOD SERVICE</v>
          </cell>
          <cell r="J2701" t="str">
            <v>FLAC 2</v>
          </cell>
          <cell r="K2701" t="str">
            <v>LACTALIS</v>
          </cell>
          <cell r="L2701" t="str">
            <v>RODRIGO</v>
          </cell>
          <cell r="M2701" t="str">
            <v>RAQUEL BARBOSA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  <cell r="H2702" t="str">
            <v>DISTRIBUIÇÃO</v>
          </cell>
          <cell r="I2702" t="str">
            <v>FOOD SERVICE</v>
          </cell>
          <cell r="J2702" t="str">
            <v>FLAC 4</v>
          </cell>
          <cell r="K2702" t="str">
            <v>LACTALIS</v>
          </cell>
          <cell r="L2702" t="str">
            <v>RODRIGO</v>
          </cell>
          <cell r="M2702" t="str">
            <v>RAQUEL BARBOSA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  <cell r="H2703" t="str">
            <v>DISTRIBUIÇÃO</v>
          </cell>
          <cell r="I2703" t="str">
            <v>FOOD SERVICE</v>
          </cell>
          <cell r="J2703" t="str">
            <v>MARCELO SILVA</v>
          </cell>
          <cell r="K2703" t="str">
            <v>LACTALIS</v>
          </cell>
          <cell r="L2703" t="str">
            <v>RODRIGO</v>
          </cell>
          <cell r="M2703" t="str">
            <v>CELIO MARTINS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  <cell r="H2704" t="str">
            <v>DISTRIBUIÇÃO</v>
          </cell>
          <cell r="I2704" t="str">
            <v>FOOD SERVICE</v>
          </cell>
          <cell r="J2704" t="str">
            <v>FLAC 6</v>
          </cell>
          <cell r="K2704" t="str">
            <v>LACTALIS</v>
          </cell>
          <cell r="L2704" t="str">
            <v>RODRIGO</v>
          </cell>
          <cell r="M2704" t="str">
            <v>RAQUEL BARBOSA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  <cell r="H2705" t="str">
            <v>DISTRIBUIÇÃO</v>
          </cell>
          <cell r="I2705" t="str">
            <v>FOOD SERVICE</v>
          </cell>
          <cell r="J2705" t="str">
            <v>FLAC 4</v>
          </cell>
          <cell r="K2705" t="str">
            <v>LACTALIS</v>
          </cell>
          <cell r="L2705" t="str">
            <v>RODRIGO</v>
          </cell>
          <cell r="M2705" t="str">
            <v>RAQUEL BARBOSA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  <cell r="H2706" t="str">
            <v>INGREDIENTS</v>
          </cell>
          <cell r="I2706" t="str">
            <v>INGREDIENTS</v>
          </cell>
          <cell r="J2706" t="str">
            <v>MARCELO RODRIGUES</v>
          </cell>
          <cell r="K2706" t="str">
            <v>ITAMBÉ</v>
          </cell>
          <cell r="L2706" t="str">
            <v>MAURICIO</v>
          </cell>
          <cell r="M2706" t="str">
            <v>MARCELO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  <cell r="H2707" t="str">
            <v>DISTRIBUIÇÃO</v>
          </cell>
          <cell r="I2707" t="str">
            <v>FOOD SERVICE</v>
          </cell>
          <cell r="J2707" t="str">
            <v>FLAC 6</v>
          </cell>
          <cell r="K2707" t="str">
            <v>LACTALIS</v>
          </cell>
          <cell r="L2707" t="str">
            <v>RODRIGO</v>
          </cell>
          <cell r="M2707" t="str">
            <v>RAQUEL BARBOSA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  <cell r="H2708" t="str">
            <v>INGREDIENTS</v>
          </cell>
          <cell r="I2708" t="str">
            <v>INGREDIENTS</v>
          </cell>
          <cell r="J2708" t="str">
            <v>TATIANA NITTA</v>
          </cell>
          <cell r="K2708" t="str">
            <v>ITAMBÉ</v>
          </cell>
          <cell r="L2708" t="str">
            <v>MAURICIO</v>
          </cell>
          <cell r="M2708" t="str">
            <v>TATIANA NITTA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  <cell r="H2709" t="str">
            <v>QSR</v>
          </cell>
          <cell r="I2709" t="str">
            <v>FOOD SERVICE</v>
          </cell>
          <cell r="J2709" t="str">
            <v>NUTRI</v>
          </cell>
          <cell r="K2709" t="str">
            <v>ITAMBÉ</v>
          </cell>
          <cell r="L2709" t="str">
            <v>PEDRO</v>
          </cell>
          <cell r="M2709" t="str">
            <v>VAGO QSR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  <cell r="H2710" t="str">
            <v>INGREDIENTS</v>
          </cell>
          <cell r="I2710" t="str">
            <v>INGREDIENTS</v>
          </cell>
          <cell r="J2710" t="str">
            <v>HENRIQUE FERREIRA</v>
          </cell>
          <cell r="K2710" t="str">
            <v>ITAMBÉ</v>
          </cell>
          <cell r="L2710" t="str">
            <v>MAURICIO</v>
          </cell>
          <cell r="M2710" t="str">
            <v>JOEL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  <cell r="H2711" t="str">
            <v>DISTRIBUIÇÃO</v>
          </cell>
          <cell r="I2711" t="str">
            <v>FOOD SERVICE</v>
          </cell>
          <cell r="J2711" t="str">
            <v>FLAC 6</v>
          </cell>
          <cell r="K2711" t="str">
            <v>LACTALIS</v>
          </cell>
          <cell r="L2711" t="str">
            <v>RODRIGO</v>
          </cell>
          <cell r="M2711" t="str">
            <v>RAQUEL BARBOSA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  <cell r="H2712" t="str">
            <v>INGREDIENTS</v>
          </cell>
          <cell r="I2712" t="str">
            <v>INGREDIENTS</v>
          </cell>
          <cell r="J2712" t="str">
            <v>JOEL ELEOTÉRIO</v>
          </cell>
          <cell r="K2712" t="str">
            <v>LACTALIS</v>
          </cell>
          <cell r="L2712" t="str">
            <v>MAURICIO</v>
          </cell>
          <cell r="M2712" t="str">
            <v>JOEL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  <cell r="H2713" t="str">
            <v>INGREDIENTS</v>
          </cell>
          <cell r="I2713" t="str">
            <v>INGREDIENTS</v>
          </cell>
          <cell r="J2713" t="str">
            <v>JOEL ELEOTÉRIO</v>
          </cell>
          <cell r="K2713" t="str">
            <v>LACTALIS</v>
          </cell>
          <cell r="L2713" t="str">
            <v>MAURICIO</v>
          </cell>
          <cell r="M2713" t="str">
            <v>JOEL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  <cell r="H2714" t="str">
            <v>DISTRIBUIÇÃO</v>
          </cell>
          <cell r="I2714" t="str">
            <v>FOOD SERVICE</v>
          </cell>
          <cell r="J2714" t="str">
            <v>FLAC 5</v>
          </cell>
          <cell r="K2714" t="str">
            <v>LACTALIS</v>
          </cell>
          <cell r="L2714" t="str">
            <v>RODRIGO</v>
          </cell>
          <cell r="M2714" t="str">
            <v>RAQUEL BARBOSA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  <cell r="H2715" t="str">
            <v>DISTRIBUIÇÃO</v>
          </cell>
          <cell r="I2715" t="str">
            <v>FOOD SERVICE</v>
          </cell>
          <cell r="J2715" t="str">
            <v>FLAC 6</v>
          </cell>
          <cell r="K2715" t="str">
            <v>LACTALIS</v>
          </cell>
          <cell r="L2715" t="str">
            <v>RODRIGO</v>
          </cell>
          <cell r="M2715" t="str">
            <v>RAQUEL BARBOSA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  <cell r="H2716" t="str">
            <v>INGREDIENTS</v>
          </cell>
          <cell r="I2716" t="str">
            <v>INGREDIENTS</v>
          </cell>
          <cell r="J2716" t="str">
            <v>HENRIQUE FERREIRA</v>
          </cell>
          <cell r="K2716" t="str">
            <v>ITAMBÉ</v>
          </cell>
          <cell r="L2716" t="str">
            <v>MAURICIO</v>
          </cell>
          <cell r="M2716" t="str">
            <v>JOEL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  <cell r="H2717" t="str">
            <v>DISTRIBUIÇÃO</v>
          </cell>
          <cell r="I2717" t="str">
            <v>FOOD SERVICE</v>
          </cell>
          <cell r="J2717" t="str">
            <v>FLAC 3</v>
          </cell>
          <cell r="K2717" t="str">
            <v>LACTALIS</v>
          </cell>
          <cell r="L2717" t="str">
            <v>RODRIGO</v>
          </cell>
          <cell r="M2717" t="str">
            <v>RAQUEL BARBOSA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  <cell r="H2718" t="str">
            <v>DISTRIBUIÇÃO</v>
          </cell>
          <cell r="I2718" t="str">
            <v>FOOD SERVICE</v>
          </cell>
          <cell r="J2718" t="str">
            <v>FLAC 3</v>
          </cell>
          <cell r="K2718" t="str">
            <v>LACTALIS</v>
          </cell>
          <cell r="L2718" t="str">
            <v>RODRIGO</v>
          </cell>
          <cell r="M2718" t="str">
            <v>RAQUEL BARBOSA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  <cell r="H2719" t="str">
            <v>DISTRIBUIÇÃO</v>
          </cell>
          <cell r="I2719" t="str">
            <v>FOOD SERVICE</v>
          </cell>
          <cell r="J2719" t="str">
            <v>FLAC 6</v>
          </cell>
          <cell r="K2719" t="str">
            <v>LACTALIS</v>
          </cell>
          <cell r="L2719" t="str">
            <v>RODRIGO</v>
          </cell>
          <cell r="M2719" t="str">
            <v>RAQUEL BARBOSA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  <cell r="H2720" t="str">
            <v>DISTRIBUIÇÃO</v>
          </cell>
          <cell r="I2720" t="str">
            <v>FOOD SERVICE</v>
          </cell>
          <cell r="J2720" t="str">
            <v>FLAC 6</v>
          </cell>
          <cell r="K2720" t="str">
            <v>LACTALIS</v>
          </cell>
          <cell r="L2720" t="str">
            <v>RODRIGO</v>
          </cell>
          <cell r="M2720" t="str">
            <v>RAQUEL BARBOSA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  <cell r="H2721" t="str">
            <v>DISTRIBUIÇÃO</v>
          </cell>
          <cell r="I2721" t="str">
            <v>FOOD SERVICE</v>
          </cell>
          <cell r="J2721" t="str">
            <v>FLAC 5</v>
          </cell>
          <cell r="K2721" t="str">
            <v>LACTALIS</v>
          </cell>
          <cell r="L2721" t="str">
            <v>RODRIGO</v>
          </cell>
          <cell r="M2721" t="str">
            <v>RAQUEL BARBOSA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  <cell r="H2722" t="str">
            <v>DISTRIBUIÇÃO</v>
          </cell>
          <cell r="I2722" t="str">
            <v>FOOD SERVICE</v>
          </cell>
          <cell r="J2722" t="str">
            <v>FLAC 5</v>
          </cell>
          <cell r="K2722" t="str">
            <v>LACTALIS</v>
          </cell>
          <cell r="L2722" t="str">
            <v>RODRIGO</v>
          </cell>
          <cell r="M2722" t="str">
            <v>RAQUEL BARBOSA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  <cell r="H2723" t="str">
            <v>DISTRIBUIÇÃO</v>
          </cell>
          <cell r="I2723" t="str">
            <v>FOOD SERVICE</v>
          </cell>
          <cell r="J2723" t="str">
            <v>WH FOOD SERVICE CE</v>
          </cell>
          <cell r="K2723" t="str">
            <v>ITAMBÉ</v>
          </cell>
          <cell r="L2723" t="str">
            <v>RODRIGO</v>
          </cell>
          <cell r="M2723" t="str">
            <v>MARIA LOURDES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  <cell r="H2724" t="str">
            <v>DISTRIBUIÇÃO</v>
          </cell>
          <cell r="I2724" t="str">
            <v>FOOD SERVICE</v>
          </cell>
          <cell r="J2724" t="str">
            <v>FLAC 4</v>
          </cell>
          <cell r="K2724" t="str">
            <v>LACTALIS</v>
          </cell>
          <cell r="L2724" t="str">
            <v>RODRIGO</v>
          </cell>
          <cell r="M2724" t="str">
            <v>RAQUEL BARBOSA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  <cell r="H2725" t="str">
            <v>DISTRIBUIÇÃO</v>
          </cell>
          <cell r="I2725" t="str">
            <v>FOOD SERVICE</v>
          </cell>
          <cell r="J2725" t="str">
            <v>FLAC 3</v>
          </cell>
          <cell r="K2725" t="str">
            <v>LACTALIS</v>
          </cell>
          <cell r="L2725" t="str">
            <v>RODRIGO</v>
          </cell>
          <cell r="M2725" t="str">
            <v>RAQUEL BARBOSA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  <cell r="H2726" t="str">
            <v>DISTRIBUIÇÃO</v>
          </cell>
          <cell r="I2726" t="str">
            <v>FOOD SERVICE</v>
          </cell>
          <cell r="J2726" t="str">
            <v>FLAC 3</v>
          </cell>
          <cell r="K2726" t="str">
            <v>LACTALIS</v>
          </cell>
          <cell r="L2726" t="str">
            <v>RODRIGO</v>
          </cell>
          <cell r="M2726" t="str">
            <v>RAQUEL BARBOSA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  <cell r="H2727" t="str">
            <v>INGREDIENTS</v>
          </cell>
          <cell r="I2727" t="str">
            <v>INGREDIENTS</v>
          </cell>
          <cell r="J2727" t="str">
            <v>JOEL ELEOTÉRIO</v>
          </cell>
          <cell r="K2727" t="str">
            <v>ITAMBÉ</v>
          </cell>
          <cell r="L2727" t="str">
            <v>MAURICIO</v>
          </cell>
          <cell r="M2727" t="str">
            <v>JOEL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  <cell r="H2728" t="str">
            <v>DISTRIBUIÇÃO</v>
          </cell>
          <cell r="I2728" t="str">
            <v>FOOD SERVICE</v>
          </cell>
          <cell r="J2728" t="str">
            <v>FLAC 4</v>
          </cell>
          <cell r="K2728" t="str">
            <v>LACTALIS</v>
          </cell>
          <cell r="L2728" t="str">
            <v>RODRIGO</v>
          </cell>
          <cell r="M2728" t="str">
            <v>RAQUEL BARBOSA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  <cell r="H2729" t="str">
            <v>DISTRIBUIÇÃO</v>
          </cell>
          <cell r="I2729" t="str">
            <v>FOOD SERVICE</v>
          </cell>
          <cell r="J2729" t="str">
            <v>FLAC 5</v>
          </cell>
          <cell r="K2729" t="str">
            <v>LACTALIS</v>
          </cell>
          <cell r="L2729" t="str">
            <v>RODRIGO</v>
          </cell>
          <cell r="M2729" t="str">
            <v>RAQUEL BARBOSA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  <cell r="H2730" t="str">
            <v>DISTRIBUIÇÃO</v>
          </cell>
          <cell r="I2730" t="str">
            <v>FOOD SERVICE</v>
          </cell>
          <cell r="J2730" t="str">
            <v>MARCELO DUARTE</v>
          </cell>
          <cell r="K2730" t="str">
            <v>ITAMBÉ</v>
          </cell>
          <cell r="L2730" t="str">
            <v>RODRIGO</v>
          </cell>
          <cell r="M2730" t="str">
            <v>JESSICA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  <cell r="H2731" t="str">
            <v>DISTRIBUIÇÃO</v>
          </cell>
          <cell r="I2731" t="str">
            <v>FOOD SERVICE</v>
          </cell>
          <cell r="J2731" t="str">
            <v>FLAC 2</v>
          </cell>
          <cell r="K2731" t="str">
            <v>LACTALIS</v>
          </cell>
          <cell r="L2731" t="str">
            <v>RODRIGO</v>
          </cell>
          <cell r="M2731" t="str">
            <v>RAQUEL BARBOSA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  <cell r="H2732" t="str">
            <v>DISTRIBUIÇÃO</v>
          </cell>
          <cell r="I2732" t="str">
            <v>FOOD SERVICE</v>
          </cell>
          <cell r="J2732" t="str">
            <v>MARCO AURELIO</v>
          </cell>
          <cell r="K2732" t="str">
            <v>ITAMBÉ</v>
          </cell>
          <cell r="L2732" t="str">
            <v>RODRIGO</v>
          </cell>
          <cell r="M2732" t="str">
            <v>MARCO AURELIO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  <cell r="H2733" t="str">
            <v>INGREDIENTS</v>
          </cell>
          <cell r="I2733" t="str">
            <v>INGREDIENTS</v>
          </cell>
          <cell r="J2733" t="str">
            <v>MARCELO RODRIGUES</v>
          </cell>
          <cell r="K2733" t="str">
            <v>LACTALIS</v>
          </cell>
          <cell r="L2733" t="str">
            <v>MAURICIO</v>
          </cell>
          <cell r="M2733" t="str">
            <v>MARCELO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  <cell r="H2734" t="str">
            <v>INGREDIENTS</v>
          </cell>
          <cell r="I2734" t="str">
            <v>INGREDIENTS</v>
          </cell>
          <cell r="J2734" t="str">
            <v>DLUM</v>
          </cell>
          <cell r="K2734" t="str">
            <v>LACTALIS</v>
          </cell>
          <cell r="L2734" t="str">
            <v>MAURICIO</v>
          </cell>
          <cell r="M2734" t="str">
            <v>JOEL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  <cell r="H2735" t="str">
            <v>DISTRIBUIÇÃO</v>
          </cell>
          <cell r="I2735" t="str">
            <v>FOOD SERVICE</v>
          </cell>
          <cell r="J2735" t="str">
            <v>FLAC 3</v>
          </cell>
          <cell r="K2735" t="str">
            <v>LACTALIS</v>
          </cell>
          <cell r="L2735" t="str">
            <v>RODRIGO</v>
          </cell>
          <cell r="M2735" t="str">
            <v>RAQUEL BARBOSA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  <cell r="H2736" t="str">
            <v>INGREDIENTS</v>
          </cell>
          <cell r="I2736" t="str">
            <v>INGREDIENTS</v>
          </cell>
          <cell r="J2736" t="str">
            <v>JOEL ELEOTÉRIO</v>
          </cell>
          <cell r="K2736" t="str">
            <v>LACTALIS</v>
          </cell>
          <cell r="L2736" t="str">
            <v>MAURICIO</v>
          </cell>
          <cell r="M2736" t="str">
            <v>JOEL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  <cell r="H2737" t="str">
            <v>DISTRIBUIÇÃO</v>
          </cell>
          <cell r="I2737" t="str">
            <v>FOOD SERVICE</v>
          </cell>
          <cell r="J2737" t="str">
            <v>FLAC 5</v>
          </cell>
          <cell r="K2737" t="str">
            <v>LACTALIS</v>
          </cell>
          <cell r="L2737" t="str">
            <v>RODRIGO</v>
          </cell>
          <cell r="M2737" t="str">
            <v>RAQUEL BARBOSA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  <cell r="H2738" t="str">
            <v>DISTRIBUIÇÃO</v>
          </cell>
          <cell r="I2738" t="str">
            <v>FOOD SERVICE</v>
          </cell>
          <cell r="J2738" t="str">
            <v>FLAC 2</v>
          </cell>
          <cell r="K2738" t="str">
            <v>LACTALIS</v>
          </cell>
          <cell r="L2738" t="str">
            <v>RODRIGO</v>
          </cell>
          <cell r="M2738" t="str">
            <v>RAQUEL BARBOSA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  <cell r="H2739" t="str">
            <v>DISTRIBUIÇÃO</v>
          </cell>
          <cell r="I2739" t="str">
            <v>FOOD SERVICE</v>
          </cell>
          <cell r="J2739" t="str">
            <v>FLAC 3</v>
          </cell>
          <cell r="K2739" t="str">
            <v>LACTALIS</v>
          </cell>
          <cell r="L2739" t="str">
            <v>RODRIGO</v>
          </cell>
          <cell r="M2739" t="str">
            <v>RAQUEL BARBOSA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  <cell r="H2740" t="str">
            <v>DISTRIBUIÇÃO</v>
          </cell>
          <cell r="I2740" t="str">
            <v>FOOD SERVICE</v>
          </cell>
          <cell r="J2740" t="str">
            <v>FLAC 3</v>
          </cell>
          <cell r="K2740" t="str">
            <v>LACTALIS</v>
          </cell>
          <cell r="L2740" t="str">
            <v>RODRIGO</v>
          </cell>
          <cell r="M2740" t="str">
            <v>RAQUEL BARBOSA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  <cell r="H2741" t="str">
            <v>DISTRIBUIÇÃO</v>
          </cell>
          <cell r="I2741" t="str">
            <v>FOOD SERVICE</v>
          </cell>
          <cell r="J2741" t="str">
            <v>FLAC 2</v>
          </cell>
          <cell r="K2741" t="str">
            <v>LACTALIS</v>
          </cell>
          <cell r="L2741" t="str">
            <v>RODRIGO</v>
          </cell>
          <cell r="M2741" t="str">
            <v>RAQUEL BARBOSA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  <cell r="H2742" t="str">
            <v>INGREDIENTS</v>
          </cell>
          <cell r="I2742" t="str">
            <v>INGREDIENTS</v>
          </cell>
          <cell r="J2742" t="str">
            <v>SP ITB FS LUIZ PEREIRA</v>
          </cell>
          <cell r="K2742" t="str">
            <v>ITAMBÉ</v>
          </cell>
          <cell r="L2742" t="str">
            <v>MAURICIO</v>
          </cell>
          <cell r="M2742" t="str">
            <v>TATIANA NITTA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  <cell r="H2743" t="str">
            <v>DISTRIBUIÇÃO</v>
          </cell>
          <cell r="I2743" t="str">
            <v>FOOD SERVICE</v>
          </cell>
          <cell r="J2743" t="str">
            <v>CLAUDIO JORGE/AMANDA SANDS</v>
          </cell>
          <cell r="K2743" t="str">
            <v>ITAMBÉ</v>
          </cell>
          <cell r="L2743" t="str">
            <v>RODRIGO</v>
          </cell>
          <cell r="M2743" t="str">
            <v>MARIA LOURDES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  <cell r="H2744" t="str">
            <v>DISTRIBUIÇÃO</v>
          </cell>
          <cell r="I2744" t="str">
            <v>FOOD SERVICE</v>
          </cell>
          <cell r="J2744" t="str">
            <v>FLAC 6</v>
          </cell>
          <cell r="K2744" t="str">
            <v>LACTALIS</v>
          </cell>
          <cell r="L2744" t="str">
            <v>RODRIGO</v>
          </cell>
          <cell r="M2744" t="str">
            <v>RAQUEL BARBOSA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  <cell r="H2745" t="str">
            <v>DISTRIBUIÇÃO</v>
          </cell>
          <cell r="I2745" t="str">
            <v>FOOD SERVICE</v>
          </cell>
          <cell r="J2745" t="str">
            <v>FLAC 10</v>
          </cell>
          <cell r="K2745" t="str">
            <v>LACTALIS</v>
          </cell>
          <cell r="L2745" t="str">
            <v>RODRIGO</v>
          </cell>
          <cell r="M2745" t="str">
            <v>RAQUEL BARBOSA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  <cell r="H2746" t="str">
            <v>INGREDIENTS</v>
          </cell>
          <cell r="I2746" t="str">
            <v>INGREDIENTS</v>
          </cell>
          <cell r="J2746" t="str">
            <v>JOEL ELEOTÉRIO</v>
          </cell>
          <cell r="K2746" t="str">
            <v>ITAMBÉ</v>
          </cell>
          <cell r="L2746" t="str">
            <v>MAURICIO</v>
          </cell>
          <cell r="M2746" t="str">
            <v>JOEL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  <cell r="H2747" t="str">
            <v>DISTRIBUIÇÃO</v>
          </cell>
          <cell r="I2747" t="str">
            <v>FOOD SERVICE</v>
          </cell>
          <cell r="J2747" t="str">
            <v>ALEXANDRE BONANI</v>
          </cell>
          <cell r="K2747" t="str">
            <v>LACTALIS</v>
          </cell>
          <cell r="L2747" t="str">
            <v>RODRIGO</v>
          </cell>
          <cell r="M2747" t="str">
            <v>ALEXANDRE BONANI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  <cell r="H2748" t="str">
            <v>DISTRIBUIÇÃO</v>
          </cell>
          <cell r="I2748" t="str">
            <v>FOOD SERVICE</v>
          </cell>
          <cell r="J2748" t="str">
            <v>FLAC 6</v>
          </cell>
          <cell r="K2748" t="str">
            <v>LACTALIS</v>
          </cell>
          <cell r="L2748" t="str">
            <v>RODRIGO</v>
          </cell>
          <cell r="M2748" t="str">
            <v>RAQUEL BARBOSA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  <cell r="H2749" t="str">
            <v>INGREDIENTS</v>
          </cell>
          <cell r="I2749" t="str">
            <v>INGREDIENTS</v>
          </cell>
          <cell r="J2749" t="str">
            <v>DLUM</v>
          </cell>
          <cell r="K2749" t="str">
            <v>LACTALIS</v>
          </cell>
          <cell r="L2749" t="str">
            <v>MAURICIO</v>
          </cell>
          <cell r="M2749" t="str">
            <v>JOEL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  <cell r="H2750" t="str">
            <v>DISTRIBUIÇÃO</v>
          </cell>
          <cell r="I2750" t="str">
            <v>FOOD SERVICE</v>
          </cell>
          <cell r="J2750" t="str">
            <v>FLAC 5</v>
          </cell>
          <cell r="K2750" t="str">
            <v>LACTALIS</v>
          </cell>
          <cell r="L2750" t="str">
            <v>RODRIGO</v>
          </cell>
          <cell r="M2750" t="str">
            <v>RAQUEL BARBOSA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  <cell r="H2751" t="str">
            <v>DISTRIBUIÇÃO</v>
          </cell>
          <cell r="I2751" t="str">
            <v>FOOD SERVICE</v>
          </cell>
          <cell r="J2751" t="str">
            <v>FLAC 2</v>
          </cell>
          <cell r="K2751" t="str">
            <v>LACTALIS</v>
          </cell>
          <cell r="L2751" t="str">
            <v>RODRIGO</v>
          </cell>
          <cell r="M2751" t="str">
            <v>RAQUEL BARBOSA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  <cell r="H2752" t="str">
            <v>DISTRIBUIÇÃO</v>
          </cell>
          <cell r="I2752" t="str">
            <v>FOOD SERVICE</v>
          </cell>
          <cell r="J2752" t="str">
            <v>FLAC 4</v>
          </cell>
          <cell r="K2752" t="str">
            <v>LACTALIS</v>
          </cell>
          <cell r="L2752" t="str">
            <v>RODRIGO</v>
          </cell>
          <cell r="M2752" t="str">
            <v>RAQUEL BARBOSA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  <cell r="H2753" t="str">
            <v>DISTRIBUIÇÃO</v>
          </cell>
          <cell r="I2753" t="str">
            <v>FOOD SERVICE</v>
          </cell>
          <cell r="J2753" t="str">
            <v>FLAC 5</v>
          </cell>
          <cell r="K2753" t="str">
            <v>LACTALIS</v>
          </cell>
          <cell r="L2753" t="str">
            <v>RODRIGO</v>
          </cell>
          <cell r="M2753" t="str">
            <v>RAQUEL BARBOSA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  <cell r="H2754" t="str">
            <v>DISTRIBUIÇÃO</v>
          </cell>
          <cell r="I2754" t="str">
            <v>FOOD SERVICE</v>
          </cell>
          <cell r="J2754" t="str">
            <v>FLAC 4</v>
          </cell>
          <cell r="K2754" t="str">
            <v>LACTALIS</v>
          </cell>
          <cell r="L2754" t="str">
            <v>RODRIGO</v>
          </cell>
          <cell r="M2754" t="str">
            <v>RAQUEL BARBOSA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  <cell r="H2755" t="str">
            <v>INGREDIENTS</v>
          </cell>
          <cell r="I2755" t="str">
            <v>INGREDIENTS</v>
          </cell>
          <cell r="J2755" t="str">
            <v>MARCELO RODRIGUES</v>
          </cell>
          <cell r="K2755" t="str">
            <v>LACTALIS</v>
          </cell>
          <cell r="L2755" t="str">
            <v>MAURICIO</v>
          </cell>
          <cell r="M2755" t="str">
            <v>MARCELO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  <cell r="H2756" t="str">
            <v>QSR</v>
          </cell>
          <cell r="I2756" t="str">
            <v>FOOD SERVICE</v>
          </cell>
          <cell r="J2756" t="str">
            <v>NUTRI</v>
          </cell>
          <cell r="K2756" t="str">
            <v>LACTALIS</v>
          </cell>
          <cell r="L2756" t="str">
            <v>PEDRO</v>
          </cell>
          <cell r="M2756" t="str">
            <v>VAGO QSR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  <cell r="H2757" t="str">
            <v>DISTRIBUIÇÃO</v>
          </cell>
          <cell r="I2757" t="str">
            <v>FOOD SERVICE</v>
          </cell>
          <cell r="J2757" t="str">
            <v>ANGELICA BATISTELA</v>
          </cell>
          <cell r="K2757" t="str">
            <v>LACTALIS</v>
          </cell>
          <cell r="L2757" t="str">
            <v>RODRIGO</v>
          </cell>
          <cell r="M2757" t="str">
            <v>ANGELICA BATISTELA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  <cell r="H2758" t="str">
            <v>QSR</v>
          </cell>
          <cell r="I2758" t="str">
            <v>FOOD SERVICE</v>
          </cell>
          <cell r="J2758" t="str">
            <v>NUTRI</v>
          </cell>
          <cell r="K2758" t="str">
            <v>LACTALIS</v>
          </cell>
          <cell r="L2758" t="str">
            <v>PEDRO</v>
          </cell>
          <cell r="M2758" t="str">
            <v>VAGO QSR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  <cell r="H2759" t="str">
            <v>INGREDIENTS</v>
          </cell>
          <cell r="I2759" t="str">
            <v>INGREDIENTS</v>
          </cell>
          <cell r="J2759" t="str">
            <v>JOEL ELEOTÉRIO</v>
          </cell>
          <cell r="K2759" t="str">
            <v>LACTALIS</v>
          </cell>
          <cell r="L2759" t="str">
            <v>MAURICIO</v>
          </cell>
          <cell r="M2759" t="str">
            <v>JOEL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  <cell r="H2760" t="str">
            <v>DISTRIBUIÇÃO</v>
          </cell>
          <cell r="I2760" t="str">
            <v>FOOD SERVICE</v>
          </cell>
          <cell r="J2760" t="str">
            <v>ANGELICA BATISTELA</v>
          </cell>
          <cell r="K2760" t="str">
            <v>LACTALIS</v>
          </cell>
          <cell r="L2760" t="str">
            <v>RODRIGO</v>
          </cell>
          <cell r="M2760" t="str">
            <v>ANGELICA BATISTELA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  <cell r="H2761" t="str">
            <v>DISTRIBUIÇÃO</v>
          </cell>
          <cell r="I2761" t="str">
            <v>FOOD SERVICE</v>
          </cell>
          <cell r="J2761" t="str">
            <v>FLAC 10</v>
          </cell>
          <cell r="K2761" t="str">
            <v>LACTALIS</v>
          </cell>
          <cell r="L2761" t="str">
            <v>RODRIGO</v>
          </cell>
          <cell r="M2761" t="str">
            <v>RAQUEL BARBOSA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  <cell r="H2762" t="str">
            <v>DISTRIBUIÇÃO</v>
          </cell>
          <cell r="I2762" t="str">
            <v>FOOD SERVICE</v>
          </cell>
          <cell r="J2762" t="str">
            <v>FLAC 5</v>
          </cell>
          <cell r="K2762" t="str">
            <v>LACTALIS</v>
          </cell>
          <cell r="L2762" t="str">
            <v>RODRIGO</v>
          </cell>
          <cell r="M2762" t="str">
            <v>RAQUEL BARBOSA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  <cell r="H2763" t="str">
            <v>QSR</v>
          </cell>
          <cell r="I2763" t="str">
            <v>FOOD SERVICE</v>
          </cell>
          <cell r="J2763" t="str">
            <v>VAGO QSR</v>
          </cell>
          <cell r="K2763" t="str">
            <v>LACTALIS</v>
          </cell>
          <cell r="L2763" t="str">
            <v>PEDRO</v>
          </cell>
          <cell r="M2763" t="str">
            <v>VAGO QSR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  <cell r="H2764" t="str">
            <v>INGREDIENTS</v>
          </cell>
          <cell r="I2764" t="str">
            <v>INGREDIENTS</v>
          </cell>
          <cell r="J2764" t="str">
            <v>HENRIQUE FERREIRA</v>
          </cell>
          <cell r="K2764" t="str">
            <v>ITAMBÉ</v>
          </cell>
          <cell r="L2764" t="str">
            <v>MAURICIO</v>
          </cell>
          <cell r="M2764" t="str">
            <v>JOEL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  <cell r="H2765" t="str">
            <v>INGREDIENTS</v>
          </cell>
          <cell r="I2765" t="str">
            <v>INGREDIENTS</v>
          </cell>
          <cell r="J2765" t="str">
            <v>TATIANA NITTA</v>
          </cell>
          <cell r="K2765" t="str">
            <v>ITAMBÉ</v>
          </cell>
          <cell r="L2765" t="str">
            <v>MAURICIO</v>
          </cell>
          <cell r="M2765" t="str">
            <v>TATIANA NITTA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  <cell r="H2766" t="str">
            <v>DISTRIBUIÇÃO</v>
          </cell>
          <cell r="I2766" t="str">
            <v>FOOD SERVICE</v>
          </cell>
          <cell r="J2766" t="str">
            <v>FLAC 2</v>
          </cell>
          <cell r="K2766" t="str">
            <v>LACTALIS</v>
          </cell>
          <cell r="L2766" t="str">
            <v>RODRIGO</v>
          </cell>
          <cell r="M2766" t="str">
            <v>RAQUEL BARBOSA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  <cell r="H2767" t="str">
            <v>DISTRIBUIÇÃO</v>
          </cell>
          <cell r="I2767" t="str">
            <v>FOOD SERVICE</v>
          </cell>
          <cell r="J2767" t="str">
            <v>FLAC 2</v>
          </cell>
          <cell r="K2767" t="str">
            <v>LACTALIS</v>
          </cell>
          <cell r="L2767" t="str">
            <v>RODRIGO</v>
          </cell>
          <cell r="M2767" t="str">
            <v>RAQUEL BARBOSA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  <cell r="H2768" t="str">
            <v>INGREDIENTS</v>
          </cell>
          <cell r="I2768" t="str">
            <v>INGREDIENTS</v>
          </cell>
          <cell r="J2768" t="str">
            <v>DLUM</v>
          </cell>
          <cell r="K2768" t="str">
            <v>LACTALIS</v>
          </cell>
          <cell r="L2768" t="str">
            <v>MAURICIO</v>
          </cell>
          <cell r="M2768" t="str">
            <v>JOEL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  <cell r="H2769" t="str">
            <v>DISTRIBUIÇÃO</v>
          </cell>
          <cell r="I2769" t="str">
            <v>FOOD SERVICE</v>
          </cell>
          <cell r="J2769" t="str">
            <v>WH FOOD SERVICE CE</v>
          </cell>
          <cell r="K2769" t="str">
            <v>ITAMBÉ</v>
          </cell>
          <cell r="L2769" t="str">
            <v>RODRIGO</v>
          </cell>
          <cell r="M2769" t="str">
            <v>MARIA LOURDES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  <cell r="H2770" t="str">
            <v>DISTRIBUIÇÃO</v>
          </cell>
          <cell r="I2770" t="str">
            <v>FOOD SERVICE</v>
          </cell>
          <cell r="J2770" t="str">
            <v>FLAC 3</v>
          </cell>
          <cell r="K2770" t="str">
            <v>LACTALIS</v>
          </cell>
          <cell r="L2770" t="str">
            <v>RODRIGO</v>
          </cell>
          <cell r="M2770" t="str">
            <v>RAQUEL BARBOSA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  <cell r="H2771" t="str">
            <v>DISTRIBUIÇÃO</v>
          </cell>
          <cell r="I2771" t="str">
            <v>FOOD SERVICE</v>
          </cell>
          <cell r="J2771" t="str">
            <v>FLAC 7</v>
          </cell>
          <cell r="K2771" t="str">
            <v>LACTALIS</v>
          </cell>
          <cell r="L2771" t="str">
            <v>RODRIGO</v>
          </cell>
          <cell r="M2771" t="str">
            <v>RAQUEL BARBOSA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  <cell r="H2772" t="str">
            <v>DISTRIBUIÇÃO</v>
          </cell>
          <cell r="I2772" t="str">
            <v>FOOD SERVICE</v>
          </cell>
          <cell r="J2772" t="str">
            <v>FLAC 2</v>
          </cell>
          <cell r="K2772" t="str">
            <v>LACTALIS</v>
          </cell>
          <cell r="L2772" t="str">
            <v>RODRIGO</v>
          </cell>
          <cell r="M2772" t="str">
            <v>RAQUEL BARBOSA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  <cell r="H2773" t="str">
            <v>DISTRIBUIÇÃO</v>
          </cell>
          <cell r="I2773" t="str">
            <v>FOOD SERVICE</v>
          </cell>
          <cell r="J2773" t="str">
            <v>MARCELO DUARTE</v>
          </cell>
          <cell r="K2773" t="str">
            <v>ITAMBÉ</v>
          </cell>
          <cell r="L2773" t="str">
            <v>RODRIGO</v>
          </cell>
          <cell r="M2773" t="str">
            <v>JESSICA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  <cell r="H2774" t="str">
            <v>DISTRIBUIÇÃO</v>
          </cell>
          <cell r="I2774" t="str">
            <v>FOOD SERVICE</v>
          </cell>
          <cell r="J2774" t="str">
            <v>FLAC 10</v>
          </cell>
          <cell r="K2774" t="str">
            <v>LACTALIS</v>
          </cell>
          <cell r="L2774" t="str">
            <v>RODRIGO</v>
          </cell>
          <cell r="M2774" t="str">
            <v>RAQUEL BARBOSA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  <cell r="H2775" t="str">
            <v>DISTRIBUIÇÃO</v>
          </cell>
          <cell r="I2775" t="str">
            <v>FOOD SERVICE</v>
          </cell>
          <cell r="J2775" t="str">
            <v>FLAC 10</v>
          </cell>
          <cell r="K2775" t="str">
            <v>LACTALIS</v>
          </cell>
          <cell r="L2775" t="str">
            <v>RODRIGO</v>
          </cell>
          <cell r="M2775" t="str">
            <v>RAQUEL BARBOSA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  <cell r="H2776" t="str">
            <v>DISTRIBUIÇÃO</v>
          </cell>
          <cell r="I2776" t="str">
            <v>FOOD SERVICE</v>
          </cell>
          <cell r="J2776" t="str">
            <v>FLAC 10</v>
          </cell>
          <cell r="K2776" t="str">
            <v>LACTALIS</v>
          </cell>
          <cell r="L2776" t="str">
            <v>RODRIGO</v>
          </cell>
          <cell r="M2776" t="str">
            <v>RAQUEL BARBOSA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  <cell r="H2777" t="str">
            <v>DISTRIBUIÇÃO</v>
          </cell>
          <cell r="I2777" t="str">
            <v>FOOD SERVICE</v>
          </cell>
          <cell r="J2777" t="str">
            <v>FLAC 2</v>
          </cell>
          <cell r="K2777" t="str">
            <v>LACTALIS</v>
          </cell>
          <cell r="L2777" t="str">
            <v>RODRIGO</v>
          </cell>
          <cell r="M2777" t="str">
            <v>RAQUEL BARBOSA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  <cell r="H2778" t="str">
            <v>INGREDIENTS</v>
          </cell>
          <cell r="I2778" t="str">
            <v>INGREDIENTS</v>
          </cell>
          <cell r="J2778" t="str">
            <v>DLUM</v>
          </cell>
          <cell r="K2778" t="str">
            <v>LACTALIS</v>
          </cell>
          <cell r="L2778" t="str">
            <v>MAURICIO</v>
          </cell>
          <cell r="M2778" t="str">
            <v>JOEL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  <cell r="H2779" t="str">
            <v>DISTRIBUIÇÃO</v>
          </cell>
          <cell r="I2779" t="str">
            <v>FOOD SERVICE</v>
          </cell>
          <cell r="J2779" t="str">
            <v>FLAC 6</v>
          </cell>
          <cell r="K2779" t="str">
            <v>LACTALIS</v>
          </cell>
          <cell r="L2779" t="str">
            <v>RODRIGO</v>
          </cell>
          <cell r="M2779" t="str">
            <v>RAQUEL BARBOSA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  <cell r="H2780" t="str">
            <v>DISTRIBUIÇÃO</v>
          </cell>
          <cell r="I2780" t="str">
            <v>FOOD SERVICE</v>
          </cell>
          <cell r="J2780" t="str">
            <v>FLAC 1</v>
          </cell>
          <cell r="K2780" t="str">
            <v>LACTALIS</v>
          </cell>
          <cell r="L2780" t="str">
            <v>RODRIGO</v>
          </cell>
          <cell r="M2780" t="str">
            <v>RAQUEL BARBOSA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  <cell r="H2781" t="str">
            <v>DISTRIBUIÇÃO</v>
          </cell>
          <cell r="I2781" t="str">
            <v>FOOD SERVICE</v>
          </cell>
          <cell r="J2781" t="str">
            <v>VAGO SP</v>
          </cell>
          <cell r="K2781" t="str">
            <v>LACTALIS</v>
          </cell>
          <cell r="L2781" t="str">
            <v>RODRIGO</v>
          </cell>
          <cell r="M2781" t="str">
            <v>RAQUEL BARBOSA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  <cell r="H2782" t="str">
            <v>DISTRIBUIÇÃO</v>
          </cell>
          <cell r="I2782" t="str">
            <v>FOOD SERVICE</v>
          </cell>
          <cell r="J2782" t="str">
            <v>FLAC 4</v>
          </cell>
          <cell r="K2782" t="str">
            <v>LACTALIS</v>
          </cell>
          <cell r="L2782" t="str">
            <v>RODRIGO</v>
          </cell>
          <cell r="M2782" t="str">
            <v>RAQUEL BARBOSA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  <cell r="H2783" t="str">
            <v>DISTRIBUIÇÃO</v>
          </cell>
          <cell r="I2783" t="str">
            <v>FOOD SERVICE</v>
          </cell>
          <cell r="J2783" t="str">
            <v>FLAC 1</v>
          </cell>
          <cell r="K2783" t="str">
            <v>LACTALIS</v>
          </cell>
          <cell r="L2783" t="str">
            <v>RODRIGO</v>
          </cell>
          <cell r="M2783" t="str">
            <v>RAQUEL BARBOSA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  <cell r="H2784" t="str">
            <v>DISTRIBUIÇÃO</v>
          </cell>
          <cell r="I2784" t="str">
            <v>FOOD SERVICE</v>
          </cell>
          <cell r="J2784" t="str">
            <v>GUILHERME NASCIMENTO</v>
          </cell>
          <cell r="K2784" t="str">
            <v>LACTALIS</v>
          </cell>
          <cell r="L2784" t="str">
            <v>RODRIGO</v>
          </cell>
          <cell r="M2784" t="str">
            <v>ALEXANDRO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  <cell r="H2785" t="str">
            <v>QSR</v>
          </cell>
          <cell r="I2785" t="str">
            <v>FOOD SERVICE</v>
          </cell>
          <cell r="J2785" t="str">
            <v>VAGO QSR</v>
          </cell>
          <cell r="K2785" t="str">
            <v>ITAMBÉ</v>
          </cell>
          <cell r="L2785" t="str">
            <v>PEDRO</v>
          </cell>
          <cell r="M2785" t="str">
            <v>VAGO QSR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  <cell r="H2786" t="str">
            <v>DISTRIBUIÇÃO</v>
          </cell>
          <cell r="I2786" t="str">
            <v>FOOD SERVICE</v>
          </cell>
          <cell r="J2786" t="str">
            <v>FLAC 5</v>
          </cell>
          <cell r="K2786" t="str">
            <v>LACTALIS</v>
          </cell>
          <cell r="L2786" t="str">
            <v>RODRIGO</v>
          </cell>
          <cell r="M2786" t="str">
            <v>RAQUEL BARBOSA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  <cell r="H2787" t="str">
            <v>DISTRIBUIÇÃO</v>
          </cell>
          <cell r="I2787" t="str">
            <v>FOOD SERVICE</v>
          </cell>
          <cell r="J2787" t="str">
            <v>CLAUDIO JORGE/AMANDA SANDS</v>
          </cell>
          <cell r="K2787" t="str">
            <v>LACTALIS</v>
          </cell>
          <cell r="L2787" t="str">
            <v>RODRIGO</v>
          </cell>
          <cell r="M2787" t="str">
            <v>MARIA LOURDES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  <cell r="H2788" t="str">
            <v>QSR</v>
          </cell>
          <cell r="I2788" t="str">
            <v>FOOD SERVICE</v>
          </cell>
          <cell r="J2788" t="str">
            <v>VAGO QSR</v>
          </cell>
          <cell r="K2788" t="str">
            <v>LACTALIS</v>
          </cell>
          <cell r="L2788" t="str">
            <v>PEDRO</v>
          </cell>
          <cell r="M2788" t="str">
            <v>VAGO QSR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  <cell r="H2789" t="str">
            <v>INGREDIENTS</v>
          </cell>
          <cell r="I2789" t="str">
            <v>INGREDIENTS</v>
          </cell>
          <cell r="J2789" t="str">
            <v>HENRIQUE FERREIRA</v>
          </cell>
          <cell r="K2789" t="str">
            <v>ITAMBÉ</v>
          </cell>
          <cell r="L2789" t="str">
            <v>MAURICIO</v>
          </cell>
          <cell r="M2789" t="str">
            <v>JOEL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  <cell r="H2790" t="str">
            <v>DISTRIBUIÇÃO</v>
          </cell>
          <cell r="I2790" t="str">
            <v>FOOD SERVICE</v>
          </cell>
          <cell r="J2790" t="str">
            <v>FLAC 6</v>
          </cell>
          <cell r="K2790" t="str">
            <v>LACTALIS</v>
          </cell>
          <cell r="L2790" t="str">
            <v>RODRIGO</v>
          </cell>
          <cell r="M2790" t="str">
            <v>RAQUEL BARBOSA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  <cell r="H2791" t="str">
            <v>DISTRIBUIÇÃO</v>
          </cell>
          <cell r="I2791" t="str">
            <v>FOOD SERVICE</v>
          </cell>
          <cell r="J2791" t="str">
            <v>FLAC 4</v>
          </cell>
          <cell r="K2791" t="str">
            <v>LACTALIS</v>
          </cell>
          <cell r="L2791" t="str">
            <v>RODRIGO</v>
          </cell>
          <cell r="M2791" t="str">
            <v>RAQUEL BARBOSA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  <cell r="H2792" t="str">
            <v>DISTRIBUIÇÃO</v>
          </cell>
          <cell r="I2792" t="str">
            <v>FOOD SERVICE</v>
          </cell>
          <cell r="J2792" t="str">
            <v>LUCIANA MARTINS</v>
          </cell>
          <cell r="K2792" t="str">
            <v>ITAMBÉ</v>
          </cell>
          <cell r="L2792" t="str">
            <v>RODRIGO</v>
          </cell>
          <cell r="M2792" t="str">
            <v>JESSICA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  <cell r="H2793" t="str">
            <v>INGREDIENTS</v>
          </cell>
          <cell r="I2793" t="str">
            <v>INGREDIENTS</v>
          </cell>
          <cell r="J2793" t="str">
            <v>MARCELO RODRIGUES</v>
          </cell>
          <cell r="K2793" t="str">
            <v>LACTALIS</v>
          </cell>
          <cell r="L2793" t="str">
            <v>MAURICIO</v>
          </cell>
          <cell r="M2793" t="str">
            <v>MARCELO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  <cell r="H2794" t="str">
            <v>DISTRIBUIÇÃO</v>
          </cell>
          <cell r="I2794" t="str">
            <v>FOOD SERVICE</v>
          </cell>
          <cell r="J2794" t="str">
            <v>FLAC 2</v>
          </cell>
          <cell r="K2794" t="str">
            <v>LACTALIS</v>
          </cell>
          <cell r="L2794" t="str">
            <v>RODRIGO</v>
          </cell>
          <cell r="M2794" t="str">
            <v>RAQUEL BARBOSA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  <cell r="H2795" t="str">
            <v>INGREDIENTS</v>
          </cell>
          <cell r="I2795" t="str">
            <v>INGREDIENTS</v>
          </cell>
          <cell r="J2795" t="str">
            <v>HENRIQUE FERREIRA</v>
          </cell>
          <cell r="K2795" t="str">
            <v>ITAMBÉ</v>
          </cell>
          <cell r="L2795" t="str">
            <v>MAURICIO</v>
          </cell>
          <cell r="M2795" t="str">
            <v>JOEL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  <cell r="H2796" t="str">
            <v>DISTRIBUIÇÃO</v>
          </cell>
          <cell r="I2796" t="str">
            <v>FOOD SERVICE</v>
          </cell>
          <cell r="J2796" t="str">
            <v>JESSICA CARLA</v>
          </cell>
          <cell r="K2796" t="str">
            <v>LACTALIS</v>
          </cell>
          <cell r="L2796" t="str">
            <v>RODRIGO</v>
          </cell>
          <cell r="M2796" t="str">
            <v>JESSICA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  <cell r="H2797" t="str">
            <v>DISTRIBUIÇÃO</v>
          </cell>
          <cell r="I2797" t="str">
            <v>FOOD SERVICE</v>
          </cell>
          <cell r="J2797" t="str">
            <v>CELIO MARTINS</v>
          </cell>
          <cell r="K2797" t="str">
            <v>ITAMBÉ</v>
          </cell>
          <cell r="L2797" t="str">
            <v>RODRIGO</v>
          </cell>
          <cell r="M2797" t="str">
            <v>CELIO MARTINS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  <cell r="H2798" t="str">
            <v>DISTRIBUIÇÃO</v>
          </cell>
          <cell r="I2798" t="str">
            <v>FOOD SERVICE</v>
          </cell>
          <cell r="J2798" t="str">
            <v>FLAC 5</v>
          </cell>
          <cell r="K2798" t="str">
            <v>LACTALIS</v>
          </cell>
          <cell r="L2798" t="str">
            <v>RODRIGO</v>
          </cell>
          <cell r="M2798" t="str">
            <v>RAQUEL BARBOSA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  <cell r="H2799" t="str">
            <v>DISTRIBUIÇÃO</v>
          </cell>
          <cell r="I2799" t="str">
            <v>FOOD SERVICE</v>
          </cell>
          <cell r="J2799" t="str">
            <v>FLAC 2</v>
          </cell>
          <cell r="K2799" t="str">
            <v>LACTALIS</v>
          </cell>
          <cell r="L2799" t="str">
            <v>RODRIGO</v>
          </cell>
          <cell r="M2799" t="str">
            <v>RAQUEL BARBOSA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  <cell r="H2800" t="str">
            <v>INGREDIENTS</v>
          </cell>
          <cell r="I2800" t="str">
            <v>INGREDIENTS</v>
          </cell>
          <cell r="J2800" t="str">
            <v>HENRIQUE FERREIRA</v>
          </cell>
          <cell r="K2800" t="str">
            <v>ITAMBÉ</v>
          </cell>
          <cell r="L2800" t="str">
            <v>MAURICIO</v>
          </cell>
          <cell r="M2800" t="str">
            <v>JOEL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  <cell r="H2801" t="str">
            <v>INGREDIENTS</v>
          </cell>
          <cell r="I2801" t="str">
            <v>INGREDIENTS</v>
          </cell>
          <cell r="J2801" t="str">
            <v>DUAS RODAS</v>
          </cell>
          <cell r="K2801" t="str">
            <v>ITAMBÉ</v>
          </cell>
          <cell r="L2801" t="str">
            <v>MAURICIO</v>
          </cell>
          <cell r="M2801" t="str">
            <v>MARCELO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  <cell r="H2802" t="str">
            <v>DISTRIBUIÇÃO</v>
          </cell>
          <cell r="I2802" t="str">
            <v>FOOD SERVICE</v>
          </cell>
          <cell r="J2802" t="str">
            <v>MARCELO SILVA</v>
          </cell>
          <cell r="K2802" t="str">
            <v>ITAMBÉ</v>
          </cell>
          <cell r="L2802" t="str">
            <v>RODRIGO</v>
          </cell>
          <cell r="M2802" t="str">
            <v>CELIO MARTINS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  <cell r="H2803" t="str">
            <v>DISTRIBUIÇÃO</v>
          </cell>
          <cell r="I2803" t="str">
            <v>FOOD SERVICE</v>
          </cell>
          <cell r="J2803" t="str">
            <v>FLAC 3</v>
          </cell>
          <cell r="K2803" t="str">
            <v>LACTALIS</v>
          </cell>
          <cell r="L2803" t="str">
            <v>RODRIGO</v>
          </cell>
          <cell r="M2803" t="str">
            <v>RAQUEL BARBOSA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  <cell r="H2804" t="str">
            <v>DISTRIBUIÇÃO</v>
          </cell>
          <cell r="I2804" t="str">
            <v>FOOD SERVICE</v>
          </cell>
          <cell r="J2804" t="str">
            <v>FLAC 3</v>
          </cell>
          <cell r="K2804" t="str">
            <v>LACTALIS</v>
          </cell>
          <cell r="L2804" t="str">
            <v>RODRIGO</v>
          </cell>
          <cell r="M2804" t="str">
            <v>RAQUEL BARBOSA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  <cell r="H2805" t="str">
            <v>DISTRIBUIÇÃO</v>
          </cell>
          <cell r="I2805" t="str">
            <v>FOOD SERVICE</v>
          </cell>
          <cell r="J2805" t="str">
            <v>FLAC 5</v>
          </cell>
          <cell r="K2805" t="str">
            <v>LACTALIS</v>
          </cell>
          <cell r="L2805" t="str">
            <v>RODRIGO</v>
          </cell>
          <cell r="M2805" t="str">
            <v>RAQUEL BARBOSA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  <cell r="H2806" t="str">
            <v>DISTRIBUIÇÃO</v>
          </cell>
          <cell r="I2806" t="str">
            <v>FOOD SERVICE</v>
          </cell>
          <cell r="J2806" t="str">
            <v>FLAC 1</v>
          </cell>
          <cell r="K2806" t="str">
            <v>LACTALIS</v>
          </cell>
          <cell r="L2806" t="str">
            <v>RODRIGO</v>
          </cell>
          <cell r="M2806" t="str">
            <v>RAQUEL BARBOSA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  <cell r="H2807" t="str">
            <v>DISTRIBUIÇÃO</v>
          </cell>
          <cell r="I2807" t="str">
            <v>FOOD SERVICE</v>
          </cell>
          <cell r="J2807" t="str">
            <v>ALEXANDRE BONANI</v>
          </cell>
          <cell r="K2807" t="str">
            <v>LACTALIS</v>
          </cell>
          <cell r="L2807" t="str">
            <v>RODRIGO</v>
          </cell>
          <cell r="M2807" t="str">
            <v>ALEXANDRE BONANI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  <cell r="H2808" t="str">
            <v>DISTRIBUIÇÃO</v>
          </cell>
          <cell r="I2808" t="str">
            <v>FOOD SERVICE</v>
          </cell>
          <cell r="J2808" t="str">
            <v>WH FOOD SERVICE CE</v>
          </cell>
          <cell r="K2808" t="str">
            <v>ITAMBÉ</v>
          </cell>
          <cell r="L2808" t="str">
            <v>RODRIGO</v>
          </cell>
          <cell r="M2808" t="str">
            <v>MARIA LOURDES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  <cell r="H2809" t="str">
            <v>DISTRIBUIÇÃO</v>
          </cell>
          <cell r="I2809" t="str">
            <v>FOOD SERVICE</v>
          </cell>
          <cell r="J2809" t="str">
            <v>CLAUDIO JORGE</v>
          </cell>
          <cell r="K2809" t="str">
            <v>ITAMBÉ</v>
          </cell>
          <cell r="L2809" t="str">
            <v>RODRIGO</v>
          </cell>
          <cell r="M2809" t="str">
            <v>MARIA LOURDES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  <cell r="H2810" t="str">
            <v>INGREDIENTS</v>
          </cell>
          <cell r="I2810" t="str">
            <v>INGREDIENTS</v>
          </cell>
          <cell r="J2810" t="str">
            <v>HENRIQUE FERREIRA</v>
          </cell>
          <cell r="K2810" t="str">
            <v>LACTALIS</v>
          </cell>
          <cell r="L2810" t="str">
            <v>MAURICIO</v>
          </cell>
          <cell r="M2810" t="str">
            <v>JOEL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  <cell r="H2811" t="str">
            <v>DISTRIBUIÇÃO</v>
          </cell>
          <cell r="I2811" t="str">
            <v>FOOD SERVICE</v>
          </cell>
          <cell r="J2811" t="str">
            <v>SP ITB FS FLAC REP.E COMERCIO</v>
          </cell>
          <cell r="K2811" t="str">
            <v>LACTALIS</v>
          </cell>
          <cell r="L2811" t="str">
            <v>RODRIGO</v>
          </cell>
          <cell r="M2811" t="str">
            <v>RAQUEL BARBOSA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  <cell r="H2812" t="str">
            <v>DISTRIBUIÇÃO</v>
          </cell>
          <cell r="I2812" t="str">
            <v>FOOD SERVICE</v>
          </cell>
          <cell r="J2812" t="str">
            <v>FLAC 2</v>
          </cell>
          <cell r="K2812" t="str">
            <v>LACTALIS</v>
          </cell>
          <cell r="L2812" t="str">
            <v>RODRIGO</v>
          </cell>
          <cell r="M2812" t="str">
            <v>RAQUEL BARBOSA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  <cell r="H2813" t="str">
            <v>DISTRIBUIÇÃO</v>
          </cell>
          <cell r="I2813" t="str">
            <v>FOOD SERVICE</v>
          </cell>
          <cell r="J2813" t="str">
            <v>FLAC 3</v>
          </cell>
          <cell r="K2813" t="str">
            <v>LACTALIS</v>
          </cell>
          <cell r="L2813" t="str">
            <v>RODRIGO</v>
          </cell>
          <cell r="M2813" t="str">
            <v>RAQUEL BARBOSA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  <cell r="H2814" t="str">
            <v>INGREDIENTS</v>
          </cell>
          <cell r="I2814" t="str">
            <v>INGREDIENTS</v>
          </cell>
          <cell r="J2814" t="str">
            <v>HENRIQUE FERREIRA</v>
          </cell>
          <cell r="K2814" t="str">
            <v>ITAMBÉ</v>
          </cell>
          <cell r="L2814" t="str">
            <v>MAURICIO</v>
          </cell>
          <cell r="M2814" t="str">
            <v>JOEL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  <cell r="H2815" t="str">
            <v>INGREDIENTS</v>
          </cell>
          <cell r="I2815" t="str">
            <v>INGREDIENTS</v>
          </cell>
          <cell r="J2815" t="str">
            <v>MARCELO RODRIGUES</v>
          </cell>
          <cell r="K2815" t="str">
            <v>ITAMBÉ</v>
          </cell>
          <cell r="L2815" t="str">
            <v>MAURICIO</v>
          </cell>
          <cell r="M2815" t="str">
            <v>MARCELO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  <cell r="H2816" t="str">
            <v>DISTRIBUIÇÃO</v>
          </cell>
          <cell r="I2816" t="str">
            <v>FOOD SERVICE</v>
          </cell>
          <cell r="J2816" t="str">
            <v>FLAC 4</v>
          </cell>
          <cell r="K2816" t="str">
            <v>LACTALIS</v>
          </cell>
          <cell r="L2816" t="str">
            <v>RODRIGO</v>
          </cell>
          <cell r="M2816" t="str">
            <v>RAQUEL BARBOSA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  <cell r="H2817" t="str">
            <v>INGREDIENTS</v>
          </cell>
          <cell r="I2817" t="str">
            <v>INGREDIENTS</v>
          </cell>
          <cell r="J2817" t="str">
            <v>JOEL ELEOTÉRIO</v>
          </cell>
          <cell r="K2817" t="str">
            <v>ITAMBÉ</v>
          </cell>
          <cell r="L2817" t="str">
            <v>MAURICIO</v>
          </cell>
          <cell r="M2817" t="str">
            <v>JOEL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  <cell r="H2818" t="str">
            <v>INGREDIENTS</v>
          </cell>
          <cell r="I2818" t="str">
            <v>INGREDIENTS</v>
          </cell>
          <cell r="J2818" t="str">
            <v>JOEL ELEOTÉRIO</v>
          </cell>
          <cell r="K2818" t="str">
            <v>ITAMBÉ</v>
          </cell>
          <cell r="L2818" t="str">
            <v>MAURICIO</v>
          </cell>
          <cell r="M2818" t="str">
            <v>JOEL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  <cell r="H2819" t="str">
            <v>DISTRIBUIÇÃO</v>
          </cell>
          <cell r="I2819" t="str">
            <v>FOOD SERVICE</v>
          </cell>
          <cell r="J2819" t="str">
            <v>CELIO MARTINS</v>
          </cell>
          <cell r="K2819" t="str">
            <v>ITAMBÉ</v>
          </cell>
          <cell r="L2819" t="str">
            <v>RODRIGO</v>
          </cell>
          <cell r="M2819" t="str">
            <v>CELIO MARTINS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  <cell r="H2820" t="str">
            <v>DISTRIBUIÇÃO</v>
          </cell>
          <cell r="I2820" t="str">
            <v>FOOD SERVICE</v>
          </cell>
          <cell r="J2820" t="str">
            <v>FLAC 4</v>
          </cell>
          <cell r="K2820" t="str">
            <v>LACTALIS</v>
          </cell>
          <cell r="L2820" t="str">
            <v>RODRIGO</v>
          </cell>
          <cell r="M2820" t="str">
            <v>RAQUEL BARBOSA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  <cell r="H2821" t="str">
            <v>DISTRIBUIÇÃO</v>
          </cell>
          <cell r="I2821" t="str">
            <v>FOOD SERVICE</v>
          </cell>
          <cell r="J2821" t="str">
            <v>FLAC 10</v>
          </cell>
          <cell r="K2821" t="str">
            <v>LACTALIS</v>
          </cell>
          <cell r="L2821" t="str">
            <v>RODRIGO</v>
          </cell>
          <cell r="M2821" t="str">
            <v>RAQUEL BARBOSA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  <cell r="H2822" t="str">
            <v>DISTRIBUIÇÃO</v>
          </cell>
          <cell r="I2822" t="str">
            <v>FOOD SERVICE</v>
          </cell>
          <cell r="J2822" t="str">
            <v>FLAC 2</v>
          </cell>
          <cell r="K2822" t="str">
            <v>LACTALIS</v>
          </cell>
          <cell r="L2822" t="str">
            <v>RODRIGO</v>
          </cell>
          <cell r="M2822" t="str">
            <v>RAQUEL BARBOSA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  <cell r="H2823" t="str">
            <v>DISTRIBUIÇÃO</v>
          </cell>
          <cell r="I2823" t="str">
            <v>FOOD SERVICE</v>
          </cell>
          <cell r="J2823" t="str">
            <v>FLAC 6</v>
          </cell>
          <cell r="K2823" t="str">
            <v>LACTALIS</v>
          </cell>
          <cell r="L2823" t="str">
            <v>RODRIGO</v>
          </cell>
          <cell r="M2823" t="str">
            <v>RAQUEL BARBOSA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  <cell r="H2824" t="str">
            <v>INGREDIENTS</v>
          </cell>
          <cell r="I2824" t="str">
            <v>INGREDIENTS</v>
          </cell>
          <cell r="J2824" t="str">
            <v>DUAS RODAS</v>
          </cell>
          <cell r="K2824" t="str">
            <v>ITAMBÉ</v>
          </cell>
          <cell r="L2824" t="str">
            <v>MAURICIO</v>
          </cell>
          <cell r="M2824" t="str">
            <v>MARCELO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  <cell r="H2825" t="str">
            <v>DISTRIBUIÇÃO</v>
          </cell>
          <cell r="I2825" t="str">
            <v>FOOD SERVICE</v>
          </cell>
          <cell r="J2825" t="str">
            <v>VAGO SP</v>
          </cell>
          <cell r="K2825" t="str">
            <v>ITAMBÉ</v>
          </cell>
          <cell r="L2825" t="str">
            <v>RODRIGO</v>
          </cell>
          <cell r="M2825" t="str">
            <v>RAQUEL BARBOSA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  <cell r="H2826" t="str">
            <v>DISTRIBUIÇÃO</v>
          </cell>
          <cell r="I2826" t="str">
            <v>FOOD SERVICE</v>
          </cell>
          <cell r="J2826" t="str">
            <v>FLAC 3</v>
          </cell>
          <cell r="K2826" t="str">
            <v>LACTALIS</v>
          </cell>
          <cell r="L2826" t="str">
            <v>RODRIGO</v>
          </cell>
          <cell r="M2826" t="str">
            <v>RAQUEL BARBOSA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  <cell r="H2827" t="str">
            <v>INGREDIENTS</v>
          </cell>
          <cell r="I2827" t="str">
            <v>INGREDIENTS</v>
          </cell>
          <cell r="J2827" t="str">
            <v>TATIANA NITTA</v>
          </cell>
          <cell r="K2827" t="str">
            <v>ITAMBÉ</v>
          </cell>
          <cell r="L2827" t="str">
            <v>MAURICIO</v>
          </cell>
          <cell r="M2827" t="str">
            <v>TATIANA NITTA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  <cell r="H2828" t="str">
            <v>DISTRIBUIÇÃO</v>
          </cell>
          <cell r="I2828" t="str">
            <v>FOOD SERVICE</v>
          </cell>
          <cell r="J2828" t="str">
            <v>WH FOOD SERVICE CE</v>
          </cell>
          <cell r="K2828" t="str">
            <v>ITAMBÉ</v>
          </cell>
          <cell r="L2828" t="str">
            <v>RODRIGO</v>
          </cell>
          <cell r="M2828" t="str">
            <v>MARIA LOURDES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  <cell r="H2829" t="str">
            <v>DISTRIBUIÇÃO</v>
          </cell>
          <cell r="I2829" t="str">
            <v>FOOD SERVICE</v>
          </cell>
          <cell r="J2829" t="str">
            <v>CLAUDIO JORGE</v>
          </cell>
          <cell r="K2829" t="str">
            <v>LACTALIS</v>
          </cell>
          <cell r="L2829" t="str">
            <v>RODRIGO</v>
          </cell>
          <cell r="M2829" t="str">
            <v>MARIA LOURDES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  <cell r="H2830" t="str">
            <v>DISTRIBUIÇÃO</v>
          </cell>
          <cell r="I2830" t="str">
            <v>FOOD SERVICE</v>
          </cell>
          <cell r="J2830" t="str">
            <v>FLAC 10</v>
          </cell>
          <cell r="K2830" t="str">
            <v>LACTALIS</v>
          </cell>
          <cell r="L2830" t="str">
            <v>RODRIGO</v>
          </cell>
          <cell r="M2830" t="str">
            <v>RAQUEL BARBOSA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  <cell r="H2831" t="str">
            <v>INGREDIENTS</v>
          </cell>
          <cell r="I2831" t="str">
            <v>INGREDIENTS</v>
          </cell>
          <cell r="J2831" t="str">
            <v>DUAS RODAS</v>
          </cell>
          <cell r="K2831" t="str">
            <v>ITAMBÉ</v>
          </cell>
          <cell r="L2831" t="str">
            <v>MAURICIO</v>
          </cell>
          <cell r="M2831" t="str">
            <v>TATIANA NITTA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  <cell r="H2832" t="str">
            <v>DISTRIBUIÇÃO</v>
          </cell>
          <cell r="I2832" t="str">
            <v>FOOD SERVICE</v>
          </cell>
          <cell r="J2832" t="str">
            <v>WH FOOD SERVICE CE</v>
          </cell>
          <cell r="K2832" t="str">
            <v>ITAMBÉ</v>
          </cell>
          <cell r="L2832" t="str">
            <v>RODRIGO</v>
          </cell>
          <cell r="M2832" t="str">
            <v>MARIA LOURDES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  <cell r="H2833" t="str">
            <v>INGREDIENTS</v>
          </cell>
          <cell r="I2833" t="str">
            <v>INGREDIENTS</v>
          </cell>
          <cell r="J2833" t="str">
            <v>HENRIQUE FERREIRA</v>
          </cell>
          <cell r="K2833" t="str">
            <v>ITAMBÉ</v>
          </cell>
          <cell r="L2833" t="str">
            <v>MAURICIO</v>
          </cell>
          <cell r="M2833" t="str">
            <v>JOEL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  <cell r="H2834" t="str">
            <v>INGREDIENTS</v>
          </cell>
          <cell r="I2834" t="str">
            <v>INGREDIENTS</v>
          </cell>
          <cell r="J2834" t="str">
            <v>TATIANA NITTA</v>
          </cell>
          <cell r="K2834" t="str">
            <v>ITAMBÉ</v>
          </cell>
          <cell r="L2834" t="str">
            <v>MAURICIO</v>
          </cell>
          <cell r="M2834" t="str">
            <v>TATIANA NITTA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  <cell r="H2835" t="str">
            <v>DISTRIBUIÇÃO</v>
          </cell>
          <cell r="I2835" t="str">
            <v>FOOD SERVICE</v>
          </cell>
          <cell r="J2835" t="str">
            <v>FLAC 10</v>
          </cell>
          <cell r="K2835" t="str">
            <v>LACTALIS</v>
          </cell>
          <cell r="L2835" t="str">
            <v>RODRIGO</v>
          </cell>
          <cell r="M2835" t="str">
            <v>RAQUEL BARBOSA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  <cell r="H2836" t="str">
            <v>INGREDIENTS</v>
          </cell>
          <cell r="I2836" t="str">
            <v>INGREDIENTS</v>
          </cell>
          <cell r="J2836" t="str">
            <v>AM ITB FS I DA SILVA SANTOS</v>
          </cell>
          <cell r="K2836" t="str">
            <v>ITAMBÉ</v>
          </cell>
          <cell r="L2836" t="str">
            <v>MAURICIO</v>
          </cell>
          <cell r="M2836" t="str">
            <v>JOEL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  <cell r="H2837" t="str">
            <v>DISTRIBUIÇÃO</v>
          </cell>
          <cell r="I2837" t="str">
            <v>FOOD SERVICE</v>
          </cell>
          <cell r="J2837" t="str">
            <v>FLAC 2</v>
          </cell>
          <cell r="K2837" t="str">
            <v>LACTALIS</v>
          </cell>
          <cell r="L2837" t="str">
            <v>RODRIGO</v>
          </cell>
          <cell r="M2837" t="str">
            <v>RAQUEL BARBOSA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  <cell r="H2838" t="str">
            <v>INGREDIENTS</v>
          </cell>
          <cell r="I2838" t="str">
            <v>INGREDIENTS</v>
          </cell>
          <cell r="J2838" t="str">
            <v>JOEL ELEOTÉRIO</v>
          </cell>
          <cell r="K2838" t="str">
            <v>LACTALIS</v>
          </cell>
          <cell r="L2838" t="str">
            <v>MAURICIO</v>
          </cell>
          <cell r="M2838" t="str">
            <v>JOEL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  <cell r="H2839" t="str">
            <v>INGREDIENTS</v>
          </cell>
          <cell r="I2839" t="str">
            <v>INGREDIENTS</v>
          </cell>
          <cell r="J2839" t="str">
            <v>JOEL ELEOTÉRIO</v>
          </cell>
          <cell r="K2839" t="str">
            <v>ITAMBÉ</v>
          </cell>
          <cell r="L2839" t="str">
            <v>MAURICIO</v>
          </cell>
          <cell r="M2839" t="str">
            <v>JOEL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  <cell r="H2840" t="str">
            <v>INGREDIENTS</v>
          </cell>
          <cell r="I2840" t="str">
            <v>INGREDIENTS</v>
          </cell>
          <cell r="J2840" t="str">
            <v>HENRIQUE FERREIRA</v>
          </cell>
          <cell r="K2840" t="str">
            <v>LACTALIS</v>
          </cell>
          <cell r="L2840" t="str">
            <v>MAURICIO</v>
          </cell>
          <cell r="M2840" t="str">
            <v>JOEL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  <cell r="H2841" t="str">
            <v>DISTRIBUIÇÃO</v>
          </cell>
          <cell r="I2841" t="str">
            <v>FOOD SERVICE</v>
          </cell>
          <cell r="J2841" t="str">
            <v>CLAUDIO JORGE/LUIZ</v>
          </cell>
          <cell r="K2841" t="str">
            <v>ITAMBÉ</v>
          </cell>
          <cell r="L2841" t="str">
            <v>RODRIGO</v>
          </cell>
          <cell r="M2841" t="str">
            <v>MARIA LOURDES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  <cell r="H2842" t="str">
            <v>DISTRIBUIÇÃO</v>
          </cell>
          <cell r="I2842" t="str">
            <v>FOOD SERVICE</v>
          </cell>
          <cell r="J2842" t="str">
            <v>FLAC 10</v>
          </cell>
          <cell r="K2842" t="str">
            <v>LACTALIS</v>
          </cell>
          <cell r="L2842" t="str">
            <v>RODRIGO</v>
          </cell>
          <cell r="M2842" t="str">
            <v>RAQUEL BARBOSA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  <cell r="H2843" t="str">
            <v>DISTRIBUIÇÃO</v>
          </cell>
          <cell r="I2843" t="str">
            <v>FOOD SERVICE</v>
          </cell>
          <cell r="J2843" t="str">
            <v>MARCO AURELIO</v>
          </cell>
          <cell r="K2843" t="str">
            <v>ITAMBÉ</v>
          </cell>
          <cell r="L2843" t="str">
            <v>RODRIGO</v>
          </cell>
          <cell r="M2843" t="str">
            <v>MARCO AURELIO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  <cell r="H2844" t="str">
            <v>DISTRIBUIÇÃO</v>
          </cell>
          <cell r="I2844" t="str">
            <v>FOOD SERVICE</v>
          </cell>
          <cell r="J2844" t="str">
            <v>MARCELO SILVA</v>
          </cell>
          <cell r="K2844" t="str">
            <v>ITAMBÉ</v>
          </cell>
          <cell r="L2844" t="str">
            <v>RODRIGO</v>
          </cell>
          <cell r="M2844" t="str">
            <v>CELIO MARTINS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  <cell r="H2845" t="str">
            <v>DISTRIBUIÇÃO</v>
          </cell>
          <cell r="I2845" t="str">
            <v>FOOD SERVICE</v>
          </cell>
          <cell r="J2845" t="str">
            <v>FLAC 3</v>
          </cell>
          <cell r="K2845" t="str">
            <v>LACTALIS</v>
          </cell>
          <cell r="L2845" t="str">
            <v>RODRIGO</v>
          </cell>
          <cell r="M2845" t="str">
            <v>RAQUEL BARBOSA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  <cell r="H2846" t="str">
            <v>DISTRIBUIÇÃO</v>
          </cell>
          <cell r="I2846" t="str">
            <v>FOOD SERVICE</v>
          </cell>
          <cell r="J2846" t="str">
            <v>FLAC 4</v>
          </cell>
          <cell r="K2846" t="str">
            <v>LACTALIS</v>
          </cell>
          <cell r="L2846" t="str">
            <v>RODRIGO</v>
          </cell>
          <cell r="M2846" t="str">
            <v>RAQUEL BARBOSA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  <cell r="H2847" t="str">
            <v>INGREDIENTS</v>
          </cell>
          <cell r="I2847" t="str">
            <v>INGREDIENTS</v>
          </cell>
          <cell r="J2847" t="str">
            <v>MARCELO RODRIGUES</v>
          </cell>
          <cell r="K2847" t="str">
            <v>ITAMBÉ</v>
          </cell>
          <cell r="L2847" t="str">
            <v>MAURICIO</v>
          </cell>
          <cell r="M2847" t="str">
            <v>MARCELO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  <cell r="H2848" t="str">
            <v>INGREDIENTS</v>
          </cell>
          <cell r="I2848" t="str">
            <v>INGREDIENTS</v>
          </cell>
          <cell r="J2848" t="str">
            <v>TATIANA NITTA</v>
          </cell>
          <cell r="K2848" t="str">
            <v>ITAMBÉ</v>
          </cell>
          <cell r="L2848" t="str">
            <v>MAURICIO</v>
          </cell>
          <cell r="M2848" t="str">
            <v>TATIANA NITTA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  <cell r="H2849" t="str">
            <v>QSR</v>
          </cell>
          <cell r="I2849" t="str">
            <v>FOOD SERVICE</v>
          </cell>
          <cell r="J2849" t="str">
            <v>NUTRI</v>
          </cell>
          <cell r="K2849" t="str">
            <v>ITAMBÉ</v>
          </cell>
          <cell r="L2849" t="str">
            <v>PEDRO</v>
          </cell>
          <cell r="M2849" t="str">
            <v>VAGO QSR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  <cell r="H2850" t="str">
            <v>INGREDIENTS</v>
          </cell>
          <cell r="I2850" t="str">
            <v>INGREDIENTS</v>
          </cell>
          <cell r="J2850" t="str">
            <v>HENRIQUE FERREIRA</v>
          </cell>
          <cell r="K2850" t="str">
            <v>ITAMBÉ</v>
          </cell>
          <cell r="L2850" t="str">
            <v>MAURICIO</v>
          </cell>
          <cell r="M2850" t="str">
            <v>JOEL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  <cell r="H2851" t="str">
            <v>DISTRIBUIÇÃO</v>
          </cell>
          <cell r="I2851" t="str">
            <v>FOOD SERVICE</v>
          </cell>
          <cell r="J2851" t="str">
            <v>FLAC 6</v>
          </cell>
          <cell r="K2851" t="str">
            <v>LACTALIS</v>
          </cell>
          <cell r="L2851" t="str">
            <v>RODRIGO</v>
          </cell>
          <cell r="M2851" t="str">
            <v>RAQUEL BARBOSA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  <cell r="H2852" t="str">
            <v>INGREDIENTS</v>
          </cell>
          <cell r="I2852" t="str">
            <v>INGREDIENTS</v>
          </cell>
          <cell r="J2852" t="str">
            <v>MARCELO RODRIGUES</v>
          </cell>
          <cell r="K2852" t="str">
            <v>ITAMBÉ</v>
          </cell>
          <cell r="L2852" t="str">
            <v>MAURICIO</v>
          </cell>
          <cell r="M2852" t="str">
            <v>MARCELO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  <cell r="H2853" t="str">
            <v>DISTRIBUIÇÃO</v>
          </cell>
          <cell r="I2853" t="str">
            <v>FOOD SERVICE</v>
          </cell>
          <cell r="J2853" t="str">
            <v>FLAC 3</v>
          </cell>
          <cell r="K2853" t="str">
            <v>LACTALIS</v>
          </cell>
          <cell r="L2853" t="str">
            <v>RODRIGO</v>
          </cell>
          <cell r="M2853" t="str">
            <v>RAQUEL BARBOSA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  <cell r="H2854" t="str">
            <v>DISTRIBUIÇÃO</v>
          </cell>
          <cell r="I2854" t="str">
            <v>FOOD SERVICE</v>
          </cell>
          <cell r="J2854" t="str">
            <v>FLAC 3</v>
          </cell>
          <cell r="K2854" t="str">
            <v>LACTALIS</v>
          </cell>
          <cell r="L2854" t="str">
            <v>RODRIGO</v>
          </cell>
          <cell r="M2854" t="str">
            <v>RAQUEL BARBOSA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  <cell r="H2855" t="str">
            <v>DISTRIBUIÇÃO</v>
          </cell>
          <cell r="I2855" t="str">
            <v>FOOD SERVICE</v>
          </cell>
          <cell r="J2855" t="str">
            <v>FLAC 3</v>
          </cell>
          <cell r="K2855" t="str">
            <v>LACTALIS</v>
          </cell>
          <cell r="L2855" t="str">
            <v>RODRIGO</v>
          </cell>
          <cell r="M2855" t="str">
            <v>RAQUEL BARBOSA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  <cell r="H2856" t="str">
            <v>DISTRIBUIÇÃO</v>
          </cell>
          <cell r="I2856" t="str">
            <v>FOOD SERVICE</v>
          </cell>
          <cell r="J2856" t="str">
            <v>FLAC 3</v>
          </cell>
          <cell r="K2856" t="str">
            <v>LACTALIS</v>
          </cell>
          <cell r="L2856" t="str">
            <v>RODRIGO</v>
          </cell>
          <cell r="M2856" t="str">
            <v>RAQUEL BARBOSA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  <cell r="H2857" t="str">
            <v>DISTRIBUIÇÃO</v>
          </cell>
          <cell r="I2857" t="str">
            <v>FOOD SERVICE</v>
          </cell>
          <cell r="J2857" t="str">
            <v>FLAC 10</v>
          </cell>
          <cell r="K2857" t="str">
            <v>LACTALIS</v>
          </cell>
          <cell r="L2857" t="str">
            <v>RODRIGO</v>
          </cell>
          <cell r="M2857" t="str">
            <v>RAQUEL BARBOSA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  <cell r="H2858" t="str">
            <v>DISTRIBUIÇÃO</v>
          </cell>
          <cell r="I2858" t="str">
            <v>FOOD SERVICE</v>
          </cell>
          <cell r="J2858" t="str">
            <v>FLAC 2</v>
          </cell>
          <cell r="K2858" t="str">
            <v>LACTALIS</v>
          </cell>
          <cell r="L2858" t="str">
            <v>RODRIGO</v>
          </cell>
          <cell r="M2858" t="str">
            <v>RAQUEL BARBOSA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  <cell r="H2859" t="str">
            <v>INGREDIENTS</v>
          </cell>
          <cell r="I2859" t="str">
            <v>INGREDIENTS</v>
          </cell>
          <cell r="J2859" t="str">
            <v>TATIANA NITTA</v>
          </cell>
          <cell r="K2859" t="str">
            <v>ITAMBÉ</v>
          </cell>
          <cell r="L2859" t="str">
            <v>MAURICIO</v>
          </cell>
          <cell r="M2859" t="str">
            <v>TATIANA NITTA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  <cell r="H2860" t="str">
            <v>DISTRIBUIÇÃO</v>
          </cell>
          <cell r="I2860" t="str">
            <v>FOOD SERVICE</v>
          </cell>
          <cell r="J2860" t="str">
            <v>FLAC 6</v>
          </cell>
          <cell r="K2860" t="str">
            <v>LACTALIS</v>
          </cell>
          <cell r="L2860" t="str">
            <v>RODRIGO</v>
          </cell>
          <cell r="M2860" t="str">
            <v>RAQUEL BARBOSA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  <cell r="H2861" t="str">
            <v>QSR</v>
          </cell>
          <cell r="I2861" t="str">
            <v>FOOD SERVICE</v>
          </cell>
          <cell r="J2861" t="str">
            <v>NUTRI</v>
          </cell>
          <cell r="K2861" t="str">
            <v>ITAMBÉ</v>
          </cell>
          <cell r="L2861" t="str">
            <v>PEDRO</v>
          </cell>
          <cell r="M2861" t="str">
            <v>VAGO QSR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  <cell r="H2862" t="str">
            <v>DISTRIBUIÇÃO</v>
          </cell>
          <cell r="I2862" t="str">
            <v>FOOD SERVICE</v>
          </cell>
          <cell r="J2862" t="str">
            <v>FLAC 4</v>
          </cell>
          <cell r="K2862" t="str">
            <v>LACTALIS</v>
          </cell>
          <cell r="L2862" t="str">
            <v>RODRIGO</v>
          </cell>
          <cell r="M2862" t="str">
            <v>RAQUEL BARBOSA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  <cell r="H2863" t="str">
            <v>DISTRIBUIÇÃO</v>
          </cell>
          <cell r="I2863" t="str">
            <v>FOOD SERVICE</v>
          </cell>
          <cell r="J2863" t="str">
            <v>FLAC 2</v>
          </cell>
          <cell r="K2863" t="str">
            <v>LACTALIS</v>
          </cell>
          <cell r="L2863" t="str">
            <v>RODRIGO</v>
          </cell>
          <cell r="M2863" t="str">
            <v>RAQUEL BARBOSA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  <cell r="H2864" t="str">
            <v>INGREDIENTS</v>
          </cell>
          <cell r="I2864" t="str">
            <v>INGREDIENTS</v>
          </cell>
          <cell r="J2864" t="str">
            <v>MARCELO RODRIGUES</v>
          </cell>
          <cell r="K2864" t="str">
            <v>LACTALIS</v>
          </cell>
          <cell r="L2864" t="str">
            <v>MAURICIO</v>
          </cell>
          <cell r="M2864" t="str">
            <v>MARCELO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  <cell r="H2865" t="str">
            <v>DISTRIBUIÇÃO</v>
          </cell>
          <cell r="I2865" t="str">
            <v>FOOD SERVICE</v>
          </cell>
          <cell r="J2865" t="str">
            <v>FLAC 2</v>
          </cell>
          <cell r="K2865" t="str">
            <v>LACTALIS</v>
          </cell>
          <cell r="L2865" t="str">
            <v>RODRIGO</v>
          </cell>
          <cell r="M2865" t="str">
            <v>RAQUEL BARBOSA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  <cell r="H2866" t="str">
            <v>DISTRIBUIÇÃO</v>
          </cell>
          <cell r="I2866" t="str">
            <v>FOOD SERVICE</v>
          </cell>
          <cell r="J2866" t="str">
            <v>FLAC 5</v>
          </cell>
          <cell r="K2866" t="str">
            <v>LACTALIS</v>
          </cell>
          <cell r="L2866" t="str">
            <v>RODRIGO</v>
          </cell>
          <cell r="M2866" t="str">
            <v>RAQUEL BARBOSA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  <cell r="H2867" t="str">
            <v>INGREDIENTS</v>
          </cell>
          <cell r="I2867" t="str">
            <v>INGREDIENTS</v>
          </cell>
          <cell r="J2867" t="str">
            <v>SP ITB FS LUIZ PEREIRA</v>
          </cell>
          <cell r="K2867" t="str">
            <v>ITAMBÉ</v>
          </cell>
          <cell r="L2867" t="str">
            <v>MAURICIO</v>
          </cell>
          <cell r="M2867" t="str">
            <v>TATIANA NITTA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  <cell r="H2868" t="str">
            <v>DISTRIBUIÇÃO</v>
          </cell>
          <cell r="I2868" t="str">
            <v>FOOD SERVICE</v>
          </cell>
          <cell r="J2868" t="str">
            <v>FLAC 5</v>
          </cell>
          <cell r="K2868" t="str">
            <v>LACTALIS</v>
          </cell>
          <cell r="L2868" t="str">
            <v>RODRIGO</v>
          </cell>
          <cell r="M2868" t="str">
            <v>RAQUEL BARBOSA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  <cell r="H2869" t="str">
            <v>DISTRIBUIÇÃO</v>
          </cell>
          <cell r="I2869" t="str">
            <v>FOOD SERVICE</v>
          </cell>
          <cell r="J2869" t="str">
            <v>FLAC 3</v>
          </cell>
          <cell r="K2869" t="str">
            <v>LACTALIS</v>
          </cell>
          <cell r="L2869" t="str">
            <v>RODRIGO</v>
          </cell>
          <cell r="M2869" t="str">
            <v>RAQUEL BARBOSA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  <cell r="H2870" t="str">
            <v>DISTRIBUIÇÃO</v>
          </cell>
          <cell r="I2870" t="str">
            <v>FOOD SERVICE</v>
          </cell>
          <cell r="J2870" t="str">
            <v>FLAC 3</v>
          </cell>
          <cell r="K2870" t="str">
            <v>LACTALIS</v>
          </cell>
          <cell r="L2870" t="str">
            <v>RODRIGO</v>
          </cell>
          <cell r="M2870" t="str">
            <v>RAQUEL BARBOSA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  <cell r="H2871" t="str">
            <v>DISTRIBUIÇÃO</v>
          </cell>
          <cell r="I2871" t="str">
            <v>FOOD SERVICE</v>
          </cell>
          <cell r="J2871" t="str">
            <v>FLAC 3</v>
          </cell>
          <cell r="K2871" t="str">
            <v>LACTALIS</v>
          </cell>
          <cell r="L2871" t="str">
            <v>RODRIGO</v>
          </cell>
          <cell r="M2871" t="str">
            <v>RAQUEL BARBOSA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  <cell r="H2872" t="str">
            <v>DISTRIBUIÇÃO</v>
          </cell>
          <cell r="I2872" t="str">
            <v>FOOD SERVICE</v>
          </cell>
          <cell r="J2872" t="str">
            <v>FLAC 2</v>
          </cell>
          <cell r="K2872" t="str">
            <v>LACTALIS</v>
          </cell>
          <cell r="L2872" t="str">
            <v>RODRIGO</v>
          </cell>
          <cell r="M2872" t="str">
            <v>RAQUEL BARBOSA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  <cell r="H2873" t="str">
            <v>DISTRIBUIÇÃO</v>
          </cell>
          <cell r="I2873" t="str">
            <v>FOOD SERVICE</v>
          </cell>
          <cell r="J2873" t="str">
            <v>FLAC 2</v>
          </cell>
          <cell r="K2873" t="str">
            <v>LACTALIS</v>
          </cell>
          <cell r="L2873" t="str">
            <v>RODRIGO</v>
          </cell>
          <cell r="M2873" t="str">
            <v>RAQUEL BARBOSA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  <cell r="H2874" t="str">
            <v>QSR</v>
          </cell>
          <cell r="I2874" t="str">
            <v>FOOD SERVICE</v>
          </cell>
          <cell r="J2874" t="str">
            <v>ANA MENIQUETE</v>
          </cell>
          <cell r="K2874" t="str">
            <v>ITAMBÉ</v>
          </cell>
          <cell r="L2874" t="str">
            <v>PEDRO</v>
          </cell>
          <cell r="M2874" t="str">
            <v>ANA MENIQUETE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  <cell r="H2875" t="str">
            <v>INGREDIENTS</v>
          </cell>
          <cell r="I2875" t="str">
            <v>INGREDIENTS</v>
          </cell>
          <cell r="J2875" t="str">
            <v>MG ITB FS HENRIQUE WAGNER</v>
          </cell>
          <cell r="K2875" t="str">
            <v>ITAMBÉ</v>
          </cell>
          <cell r="L2875" t="str">
            <v>MAURICIO</v>
          </cell>
          <cell r="M2875" t="str">
            <v>TATIANA NITTA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  <cell r="H2876" t="str">
            <v>DISTRIBUIÇÃO</v>
          </cell>
          <cell r="I2876" t="str">
            <v>FOOD SERVICE</v>
          </cell>
          <cell r="J2876" t="str">
            <v>SP ITB FS FLAC REP.E COMERCIO</v>
          </cell>
          <cell r="K2876" t="str">
            <v>ITAMBÉ</v>
          </cell>
          <cell r="L2876" t="str">
            <v>RODRIGO</v>
          </cell>
          <cell r="M2876" t="str">
            <v>RAQUEL BARBOSA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  <cell r="H2877" t="str">
            <v>DISTRIBUIÇÃO</v>
          </cell>
          <cell r="I2877" t="str">
            <v>FOOD SERVICE</v>
          </cell>
          <cell r="J2877" t="str">
            <v>MARCELO SILVA</v>
          </cell>
          <cell r="K2877" t="str">
            <v>ITAMBÉ</v>
          </cell>
          <cell r="L2877" t="str">
            <v>RODRIGO</v>
          </cell>
          <cell r="M2877" t="str">
            <v>CELIO MARTINS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  <cell r="H2878" t="str">
            <v>DISTRIBUIÇÃO</v>
          </cell>
          <cell r="I2878" t="str">
            <v>FOOD SERVICE</v>
          </cell>
          <cell r="J2878" t="str">
            <v>FLAC 2</v>
          </cell>
          <cell r="K2878" t="str">
            <v>LACTALIS</v>
          </cell>
          <cell r="L2878" t="str">
            <v>RODRIGO</v>
          </cell>
          <cell r="M2878" t="str">
            <v>RAQUEL BARBOSA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  <cell r="H2879" t="str">
            <v>DISTRIBUIÇÃO</v>
          </cell>
          <cell r="I2879" t="str">
            <v>FOOD SERVICE</v>
          </cell>
          <cell r="J2879" t="str">
            <v>FLAC 2</v>
          </cell>
          <cell r="K2879" t="str">
            <v>LACTALIS</v>
          </cell>
          <cell r="L2879" t="str">
            <v>RODRIGO</v>
          </cell>
          <cell r="M2879" t="str">
            <v>RAQUEL BARBOSA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  <cell r="H2880" t="str">
            <v>DISTRIBUIÇÃO</v>
          </cell>
          <cell r="I2880" t="str">
            <v>FOOD SERVICE</v>
          </cell>
          <cell r="J2880" t="str">
            <v>CLAUDIO JORGE</v>
          </cell>
          <cell r="K2880" t="str">
            <v>ITAMBÉ</v>
          </cell>
          <cell r="L2880" t="str">
            <v>RODRIGO</v>
          </cell>
          <cell r="M2880" t="str">
            <v>MARIA LOURDES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  <cell r="H2881" t="str">
            <v>INGREDIENTS</v>
          </cell>
          <cell r="I2881" t="str">
            <v>INGREDIENTS</v>
          </cell>
          <cell r="J2881" t="str">
            <v>SP ITB FS LUIZ PEREIRA</v>
          </cell>
          <cell r="K2881" t="str">
            <v>ITAMBÉ</v>
          </cell>
          <cell r="L2881" t="str">
            <v>MAURICIO</v>
          </cell>
          <cell r="M2881" t="str">
            <v>TATIANA NITTA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  <cell r="H2882" t="str">
            <v>INGREDIENTS</v>
          </cell>
          <cell r="I2882" t="str">
            <v>INGREDIENTS</v>
          </cell>
          <cell r="J2882" t="str">
            <v>RJ ITB FS L T MARTINS</v>
          </cell>
          <cell r="K2882" t="str">
            <v>ITAMBÉ</v>
          </cell>
          <cell r="L2882" t="str">
            <v>MAURICIO</v>
          </cell>
          <cell r="M2882" t="str">
            <v>TATIANA NITTA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  <cell r="H2883" t="str">
            <v>QSR</v>
          </cell>
          <cell r="I2883" t="str">
            <v>FOOD SERVICE</v>
          </cell>
          <cell r="J2883" t="str">
            <v>VAGO QSR</v>
          </cell>
          <cell r="K2883" t="str">
            <v>ITAMBÉ</v>
          </cell>
          <cell r="L2883" t="str">
            <v>PEDRO</v>
          </cell>
          <cell r="M2883" t="str">
            <v>VAGO QSR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  <cell r="H2884" t="str">
            <v>INGREDIENTS</v>
          </cell>
          <cell r="I2884" t="str">
            <v>INGREDIENTS</v>
          </cell>
          <cell r="J2884" t="str">
            <v>MARCELO RODRIGUES</v>
          </cell>
          <cell r="K2884" t="str">
            <v>ITAMBÉ</v>
          </cell>
          <cell r="L2884" t="str">
            <v>MAURICIO</v>
          </cell>
          <cell r="M2884" t="str">
            <v>MARCELO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  <cell r="H2885" t="str">
            <v>QSR</v>
          </cell>
          <cell r="I2885" t="str">
            <v>FOOD SERVICE</v>
          </cell>
          <cell r="J2885" t="str">
            <v>VAGO QSR</v>
          </cell>
          <cell r="K2885" t="str">
            <v>ITAMBÉ</v>
          </cell>
          <cell r="L2885" t="str">
            <v>PEDRO</v>
          </cell>
          <cell r="M2885" t="str">
            <v>VAGO QSR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  <cell r="H2886" t="str">
            <v>QSR</v>
          </cell>
          <cell r="I2886" t="str">
            <v>FOOD SERVICE</v>
          </cell>
          <cell r="J2886" t="str">
            <v>VAGO QSR</v>
          </cell>
          <cell r="K2886" t="str">
            <v>ITAMBÉ</v>
          </cell>
          <cell r="L2886" t="str">
            <v>PEDRO</v>
          </cell>
          <cell r="M2886" t="str">
            <v>VAGO QSR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  <cell r="H2887" t="str">
            <v>QSR</v>
          </cell>
          <cell r="I2887" t="str">
            <v>FOOD SERVICE</v>
          </cell>
          <cell r="J2887" t="str">
            <v>VAGO QSR</v>
          </cell>
          <cell r="K2887" t="str">
            <v>ITAMBÉ</v>
          </cell>
          <cell r="L2887" t="str">
            <v>PEDRO</v>
          </cell>
          <cell r="M2887" t="str">
            <v>VAGO QSR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  <cell r="H2888" t="str">
            <v>QSR</v>
          </cell>
          <cell r="I2888" t="str">
            <v>FOOD SERVICE</v>
          </cell>
          <cell r="J2888" t="str">
            <v>VAGO QSR</v>
          </cell>
          <cell r="K2888" t="str">
            <v>ITAMBÉ</v>
          </cell>
          <cell r="L2888" t="str">
            <v>PEDRO</v>
          </cell>
          <cell r="M2888" t="str">
            <v>VAGO QSR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  <cell r="H2889" t="str">
            <v>QSR</v>
          </cell>
          <cell r="I2889" t="str">
            <v>FOOD SERVICE</v>
          </cell>
          <cell r="J2889" t="str">
            <v>VAGO QSR</v>
          </cell>
          <cell r="K2889" t="str">
            <v>ITAMBÉ</v>
          </cell>
          <cell r="L2889" t="str">
            <v>PEDRO</v>
          </cell>
          <cell r="M2889" t="str">
            <v>VAGO QSR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  <cell r="H2890" t="str">
            <v>QSR</v>
          </cell>
          <cell r="I2890" t="str">
            <v>FOOD SERVICE</v>
          </cell>
          <cell r="J2890" t="str">
            <v>VAGO QSR</v>
          </cell>
          <cell r="K2890" t="str">
            <v>ITAMBÉ</v>
          </cell>
          <cell r="L2890" t="str">
            <v>PEDRO</v>
          </cell>
          <cell r="M2890" t="str">
            <v>VAGO QSR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  <cell r="H2891" t="str">
            <v>QSR</v>
          </cell>
          <cell r="I2891" t="str">
            <v>FOOD SERVICE</v>
          </cell>
          <cell r="J2891" t="str">
            <v>VAGO QSR</v>
          </cell>
          <cell r="K2891" t="str">
            <v>ITAMBÉ</v>
          </cell>
          <cell r="L2891" t="str">
            <v>PEDRO</v>
          </cell>
          <cell r="M2891" t="str">
            <v>VAGO QSR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  <cell r="H2892" t="str">
            <v>QSR</v>
          </cell>
          <cell r="I2892" t="str">
            <v>FOOD SERVICE</v>
          </cell>
          <cell r="J2892" t="str">
            <v>VAGO QSR</v>
          </cell>
          <cell r="K2892" t="str">
            <v>ITAMBÉ</v>
          </cell>
          <cell r="L2892" t="str">
            <v>PEDRO</v>
          </cell>
          <cell r="M2892" t="str">
            <v>VAGO QSR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  <cell r="H2893" t="str">
            <v>QSR</v>
          </cell>
          <cell r="I2893" t="str">
            <v>FOOD SERVICE</v>
          </cell>
          <cell r="J2893" t="str">
            <v>VAGO QSR</v>
          </cell>
          <cell r="K2893" t="str">
            <v>ITAMBÉ</v>
          </cell>
          <cell r="L2893" t="str">
            <v>PEDRO</v>
          </cell>
          <cell r="M2893" t="str">
            <v>VAGO QSR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  <cell r="H2894" t="str">
            <v>QSR</v>
          </cell>
          <cell r="I2894" t="str">
            <v>FOOD SERVICE</v>
          </cell>
          <cell r="J2894" t="str">
            <v>VAGO QSR</v>
          </cell>
          <cell r="K2894" t="str">
            <v>ITAMBÉ</v>
          </cell>
          <cell r="L2894" t="str">
            <v>PEDRO</v>
          </cell>
          <cell r="M2894" t="str">
            <v>VAGO QSR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  <cell r="H2895" t="str">
            <v>QSR</v>
          </cell>
          <cell r="I2895" t="str">
            <v>FOOD SERVICE</v>
          </cell>
          <cell r="J2895" t="str">
            <v>VAGO QSR</v>
          </cell>
          <cell r="K2895" t="str">
            <v>ITAMBÉ</v>
          </cell>
          <cell r="L2895" t="str">
            <v>PEDRO</v>
          </cell>
          <cell r="M2895" t="str">
            <v>VAGO QSR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  <cell r="H2896" t="str">
            <v>QSR</v>
          </cell>
          <cell r="I2896" t="str">
            <v>FOOD SERVICE</v>
          </cell>
          <cell r="J2896" t="str">
            <v>VAGO QSR</v>
          </cell>
          <cell r="K2896" t="str">
            <v>ITAMBÉ</v>
          </cell>
          <cell r="L2896" t="str">
            <v>PEDRO</v>
          </cell>
          <cell r="M2896" t="str">
            <v>VAGO QSR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  <cell r="H2897" t="str">
            <v>QSR</v>
          </cell>
          <cell r="I2897" t="str">
            <v>FOOD SERVICE</v>
          </cell>
          <cell r="J2897" t="str">
            <v>VAGO QSR</v>
          </cell>
          <cell r="K2897" t="str">
            <v>ITAMBÉ</v>
          </cell>
          <cell r="L2897" t="str">
            <v>PEDRO</v>
          </cell>
          <cell r="M2897" t="str">
            <v>VAGO QSR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  <cell r="H2898" t="str">
            <v>QSR</v>
          </cell>
          <cell r="I2898" t="str">
            <v>FOOD SERVICE</v>
          </cell>
          <cell r="J2898" t="str">
            <v>VAGO QSR</v>
          </cell>
          <cell r="K2898" t="str">
            <v>ITAMBÉ</v>
          </cell>
          <cell r="L2898" t="str">
            <v>PEDRO</v>
          </cell>
          <cell r="M2898" t="str">
            <v>VAGO QSR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  <cell r="H2899" t="str">
            <v>QSR</v>
          </cell>
          <cell r="I2899" t="str">
            <v>FOOD SERVICE</v>
          </cell>
          <cell r="J2899" t="str">
            <v>VAGO QSR</v>
          </cell>
          <cell r="K2899" t="str">
            <v>ITAMBÉ</v>
          </cell>
          <cell r="L2899" t="str">
            <v>PEDRO</v>
          </cell>
          <cell r="M2899" t="str">
            <v>VAGO QSR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  <cell r="H2900" t="str">
            <v>QSR</v>
          </cell>
          <cell r="I2900" t="str">
            <v>FOOD SERVICE</v>
          </cell>
          <cell r="J2900" t="str">
            <v>VAGO QSR</v>
          </cell>
          <cell r="K2900" t="str">
            <v>ITAMBÉ</v>
          </cell>
          <cell r="L2900" t="str">
            <v>PEDRO</v>
          </cell>
          <cell r="M2900" t="str">
            <v>VAGO QSR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  <cell r="H2901" t="str">
            <v>QSR</v>
          </cell>
          <cell r="I2901" t="str">
            <v>FOOD SERVICE</v>
          </cell>
          <cell r="J2901" t="str">
            <v>VAGO QSR</v>
          </cell>
          <cell r="K2901" t="str">
            <v>ITAMBÉ</v>
          </cell>
          <cell r="L2901" t="str">
            <v>PEDRO</v>
          </cell>
          <cell r="M2901" t="str">
            <v>VAGO QSR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  <cell r="H2902" t="str">
            <v>DISTRIBUIÇÃO</v>
          </cell>
          <cell r="I2902" t="str">
            <v>FOOD SERVICE</v>
          </cell>
          <cell r="J2902" t="str">
            <v>FLAC 5</v>
          </cell>
          <cell r="K2902" t="str">
            <v>LACTALIS</v>
          </cell>
          <cell r="L2902" t="str">
            <v>RODRIGO</v>
          </cell>
          <cell r="M2902" t="str">
            <v>RAQUEL BARBOSA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  <cell r="H2903" t="str">
            <v>INGREDIENTS</v>
          </cell>
          <cell r="I2903" t="str">
            <v>INGREDIENTS</v>
          </cell>
          <cell r="J2903" t="str">
            <v>MARCELO RODRIGUES</v>
          </cell>
          <cell r="K2903" t="str">
            <v>ITAMBÉ</v>
          </cell>
          <cell r="L2903" t="str">
            <v>MAURICIO</v>
          </cell>
          <cell r="M2903" t="str">
            <v>MARCELO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  <cell r="H2904" t="str">
            <v>QSR</v>
          </cell>
          <cell r="I2904" t="str">
            <v>FOOD SERVICE</v>
          </cell>
          <cell r="J2904" t="str">
            <v>ANA MENIQUETE</v>
          </cell>
          <cell r="K2904" t="str">
            <v>LACTALIS</v>
          </cell>
          <cell r="L2904" t="str">
            <v>PEDRO</v>
          </cell>
          <cell r="M2904" t="str">
            <v>ANA MENIQUETE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  <cell r="H2905" t="str">
            <v>QSR</v>
          </cell>
          <cell r="I2905" t="str">
            <v>FOOD SERVICE</v>
          </cell>
          <cell r="J2905" t="str">
            <v>VAGO QSR</v>
          </cell>
          <cell r="K2905" t="str">
            <v>ITAMBÉ</v>
          </cell>
          <cell r="L2905" t="str">
            <v>PEDRO</v>
          </cell>
          <cell r="M2905" t="str">
            <v>VAGO QSR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  <cell r="H2906" t="str">
            <v>QSR</v>
          </cell>
          <cell r="I2906" t="str">
            <v>FOOD SERVICE</v>
          </cell>
          <cell r="J2906" t="str">
            <v>VAGO QSR</v>
          </cell>
          <cell r="K2906" t="str">
            <v>ITAMBÉ</v>
          </cell>
          <cell r="L2906" t="str">
            <v>PEDRO</v>
          </cell>
          <cell r="M2906" t="str">
            <v>VAGO QSR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  <cell r="H2907" t="str">
            <v>QSR</v>
          </cell>
          <cell r="I2907" t="str">
            <v>FOOD SERVICE</v>
          </cell>
          <cell r="J2907" t="str">
            <v>VAGO QSR</v>
          </cell>
          <cell r="K2907" t="str">
            <v>ITAMBÉ</v>
          </cell>
          <cell r="L2907" t="str">
            <v>PEDRO</v>
          </cell>
          <cell r="M2907" t="str">
            <v>VAGO QSR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  <cell r="H2908" t="str">
            <v>QSR</v>
          </cell>
          <cell r="I2908" t="str">
            <v>FOOD SERVICE</v>
          </cell>
          <cell r="J2908" t="str">
            <v>VAGO QSR</v>
          </cell>
          <cell r="K2908" t="str">
            <v>ITAMBÉ</v>
          </cell>
          <cell r="L2908" t="str">
            <v>PEDRO</v>
          </cell>
          <cell r="M2908" t="str">
            <v>VAGO QSR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  <cell r="H2909" t="str">
            <v>QSR</v>
          </cell>
          <cell r="I2909" t="str">
            <v>FOOD SERVICE</v>
          </cell>
          <cell r="J2909" t="str">
            <v>VAGO QSR</v>
          </cell>
          <cell r="K2909" t="str">
            <v>ITAMBÉ</v>
          </cell>
          <cell r="L2909" t="str">
            <v>PEDRO</v>
          </cell>
          <cell r="M2909" t="str">
            <v>VAGO QSR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  <cell r="H2910" t="str">
            <v>QSR</v>
          </cell>
          <cell r="I2910" t="str">
            <v>FOOD SERVICE</v>
          </cell>
          <cell r="J2910" t="str">
            <v>VAGO QSR</v>
          </cell>
          <cell r="K2910" t="str">
            <v>ITAMBÉ</v>
          </cell>
          <cell r="L2910" t="str">
            <v>PEDRO</v>
          </cell>
          <cell r="M2910" t="str">
            <v>VAGO QSR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  <cell r="H2911" t="str">
            <v>QSR</v>
          </cell>
          <cell r="I2911" t="str">
            <v>FOOD SERVICE</v>
          </cell>
          <cell r="J2911" t="str">
            <v>VAGO QSR</v>
          </cell>
          <cell r="K2911" t="str">
            <v>ITAMBÉ</v>
          </cell>
          <cell r="L2911" t="str">
            <v>PEDRO</v>
          </cell>
          <cell r="M2911" t="str">
            <v>VAGO QSR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  <cell r="H2912" t="str">
            <v>QSR</v>
          </cell>
          <cell r="I2912" t="str">
            <v>FOOD SERVICE</v>
          </cell>
          <cell r="J2912" t="str">
            <v>VAGO QSR</v>
          </cell>
          <cell r="K2912" t="str">
            <v>ITAMBÉ</v>
          </cell>
          <cell r="L2912" t="str">
            <v>PEDRO</v>
          </cell>
          <cell r="M2912" t="str">
            <v>VAGO QSR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  <cell r="H2913" t="str">
            <v>QSR</v>
          </cell>
          <cell r="I2913" t="str">
            <v>FOOD SERVICE</v>
          </cell>
          <cell r="J2913" t="str">
            <v>VAGO QSR</v>
          </cell>
          <cell r="K2913" t="str">
            <v>ITAMBÉ</v>
          </cell>
          <cell r="L2913" t="str">
            <v>PEDRO</v>
          </cell>
          <cell r="M2913" t="str">
            <v>VAGO QSR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  <cell r="H2914" t="str">
            <v>QSR</v>
          </cell>
          <cell r="I2914" t="str">
            <v>FOOD SERVICE</v>
          </cell>
          <cell r="J2914" t="str">
            <v>VAGO QSR</v>
          </cell>
          <cell r="K2914" t="str">
            <v>ITAMBÉ</v>
          </cell>
          <cell r="L2914" t="str">
            <v>PEDRO</v>
          </cell>
          <cell r="M2914" t="str">
            <v>VAGO QSR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  <cell r="H2915" t="str">
            <v>QSR</v>
          </cell>
          <cell r="I2915" t="str">
            <v>FOOD SERVICE</v>
          </cell>
          <cell r="J2915" t="str">
            <v>VAGO QSR</v>
          </cell>
          <cell r="K2915" t="str">
            <v>ITAMBÉ</v>
          </cell>
          <cell r="L2915" t="str">
            <v>PEDRO</v>
          </cell>
          <cell r="M2915" t="str">
            <v>VAGO QSR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  <cell r="H2916" t="str">
            <v>QSR</v>
          </cell>
          <cell r="I2916" t="str">
            <v>FOOD SERVICE</v>
          </cell>
          <cell r="J2916" t="str">
            <v>NUTRI</v>
          </cell>
          <cell r="K2916" t="str">
            <v>ITAMBÉ</v>
          </cell>
          <cell r="L2916" t="str">
            <v>PEDRO</v>
          </cell>
          <cell r="M2916" t="str">
            <v>VAGO QSR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  <cell r="H2917" t="str">
            <v>DISTRIBUIÇÃO</v>
          </cell>
          <cell r="I2917" t="str">
            <v>FOOD SERVICE</v>
          </cell>
          <cell r="J2917" t="str">
            <v>CLAUDIO JORGE</v>
          </cell>
          <cell r="K2917" t="str">
            <v>LACTALIS</v>
          </cell>
          <cell r="L2917" t="str">
            <v>RODRIGO</v>
          </cell>
          <cell r="M2917" t="str">
            <v>MARIA LOURDES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  <cell r="H2918" t="str">
            <v>DISTRIBUIÇÃO</v>
          </cell>
          <cell r="I2918" t="str">
            <v>FOOD SERVICE</v>
          </cell>
          <cell r="J2918" t="str">
            <v>FLAC 3</v>
          </cell>
          <cell r="K2918" t="str">
            <v>LACTALIS</v>
          </cell>
          <cell r="L2918" t="str">
            <v>RODRIGO</v>
          </cell>
          <cell r="M2918" t="str">
            <v>RAQUEL BARBOSA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  <cell r="H2919" t="str">
            <v>INGREDIENTS</v>
          </cell>
          <cell r="I2919" t="str">
            <v>INGREDIENTS</v>
          </cell>
          <cell r="J2919" t="str">
            <v>JOEL ELEOTÉRIO</v>
          </cell>
          <cell r="K2919" t="str">
            <v>ITAMBÉ</v>
          </cell>
          <cell r="L2919" t="str">
            <v>MAURICIO</v>
          </cell>
          <cell r="M2919" t="str">
            <v>JOEL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  <cell r="H2920" t="str">
            <v>DISTRIBUIÇÃO</v>
          </cell>
          <cell r="I2920" t="str">
            <v>FOOD SERVICE</v>
          </cell>
          <cell r="J2920" t="str">
            <v>ALEXANDRE BONANI</v>
          </cell>
          <cell r="K2920" t="str">
            <v>ITAMBÉ</v>
          </cell>
          <cell r="L2920" t="str">
            <v>RODRIGO</v>
          </cell>
          <cell r="M2920" t="str">
            <v>ALEXANDRE BONANI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  <cell r="H2921" t="str">
            <v>DISTRIBUIÇÃO</v>
          </cell>
          <cell r="I2921" t="str">
            <v>FOOD SERVICE</v>
          </cell>
          <cell r="J2921" t="str">
            <v>FLAC 2</v>
          </cell>
          <cell r="K2921" t="str">
            <v>LACTALIS</v>
          </cell>
          <cell r="L2921" t="str">
            <v>RODRIGO</v>
          </cell>
          <cell r="M2921" t="str">
            <v>RAQUEL BARBOSA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  <cell r="H2922" t="str">
            <v>DISTRIBUIÇÃO</v>
          </cell>
          <cell r="I2922" t="str">
            <v>FOOD SERVICE</v>
          </cell>
          <cell r="J2922" t="str">
            <v>FLAC 6</v>
          </cell>
          <cell r="K2922" t="str">
            <v>LACTALIS</v>
          </cell>
          <cell r="L2922" t="str">
            <v>RODRIGO</v>
          </cell>
          <cell r="M2922" t="str">
            <v>RAQUEL BARBOSA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  <cell r="H2923" t="str">
            <v>DISTRIBUIÇÃO</v>
          </cell>
          <cell r="I2923" t="str">
            <v>FOOD SERVICE</v>
          </cell>
          <cell r="J2923" t="str">
            <v>SP ITB FS FLAC REP.E COMERCIO</v>
          </cell>
          <cell r="K2923" t="str">
            <v>ITAMBÉ</v>
          </cell>
          <cell r="L2923" t="str">
            <v>RODRIGO</v>
          </cell>
          <cell r="M2923" t="str">
            <v>RAQUEL BARBOSA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  <cell r="H2924" t="str">
            <v>INGREDIENTS</v>
          </cell>
          <cell r="I2924" t="str">
            <v>INGREDIENTS</v>
          </cell>
          <cell r="J2924" t="str">
            <v>MARCELO RODRIGUES</v>
          </cell>
          <cell r="K2924" t="str">
            <v>ITAMBÉ</v>
          </cell>
          <cell r="L2924" t="str">
            <v>MAURICIO</v>
          </cell>
          <cell r="M2924" t="str">
            <v>MARCELO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  <cell r="H2925" t="str">
            <v>INGREDIENTS</v>
          </cell>
          <cell r="I2925" t="str">
            <v>INGREDIENTS</v>
          </cell>
          <cell r="J2925" t="str">
            <v>JOEL ELEOTÉRIO</v>
          </cell>
          <cell r="K2925" t="str">
            <v>LACTALIS</v>
          </cell>
          <cell r="L2925" t="str">
            <v>MAURICIO</v>
          </cell>
          <cell r="M2925" t="str">
            <v>JOEL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  <cell r="H2926" t="str">
            <v>INGREDIENTS</v>
          </cell>
          <cell r="I2926" t="str">
            <v>INGREDIENTS</v>
          </cell>
          <cell r="J2926" t="str">
            <v>MARCELO RODRIGUES</v>
          </cell>
          <cell r="K2926" t="str">
            <v>LACTALIS</v>
          </cell>
          <cell r="L2926" t="str">
            <v>MAURICIO</v>
          </cell>
          <cell r="M2926" t="str">
            <v>MARCELO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  <cell r="H2927" t="str">
            <v>INGREDIENTS</v>
          </cell>
          <cell r="I2927" t="str">
            <v>INGREDIENTS</v>
          </cell>
          <cell r="J2927" t="str">
            <v>MARCELO RODRIGUES</v>
          </cell>
          <cell r="K2927" t="str">
            <v>LACTALIS</v>
          </cell>
          <cell r="L2927" t="str">
            <v>MAURICIO</v>
          </cell>
          <cell r="M2927" t="str">
            <v>MARCELO</v>
          </cell>
        </row>
        <row r="2928">
          <cell r="B2928">
            <v>5002549</v>
          </cell>
          <cell r="C2928" t="str">
            <v>SERVCATER INTERNACIONAL LTDA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SP</v>
          </cell>
          <cell r="H2928" t="str">
            <v>QSR</v>
          </cell>
          <cell r="I2928" t="str">
            <v>FOOD SERVICE</v>
          </cell>
          <cell r="J2928" t="str">
            <v>ANA MENIQUETE</v>
          </cell>
          <cell r="K2928" t="str">
            <v>ITAMBÉ</v>
          </cell>
          <cell r="L2928" t="str">
            <v>PEDRO</v>
          </cell>
          <cell r="M2928" t="str">
            <v>ANA MENIQUETE</v>
          </cell>
        </row>
        <row r="2929">
          <cell r="B2929">
            <v>5006419</v>
          </cell>
          <cell r="C2929" t="str">
            <v>NUTRIFAZ CESTA LTDA EPP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MG</v>
          </cell>
          <cell r="H2929" t="str">
            <v>DISTRIBUIÇÃO</v>
          </cell>
          <cell r="I2929" t="str">
            <v>FOOD SERVICE</v>
          </cell>
          <cell r="J2929" t="str">
            <v>CELIO MARTINS</v>
          </cell>
          <cell r="K2929" t="str">
            <v>ITAMBÉ</v>
          </cell>
          <cell r="L2929" t="str">
            <v>RODRIGO</v>
          </cell>
          <cell r="M2929" t="str">
            <v>CELIO MARTINS</v>
          </cell>
        </row>
        <row r="2930">
          <cell r="B2930">
            <v>5006978</v>
          </cell>
          <cell r="C2930" t="str">
            <v>DISTRIBUIDORA E IMP IRMAOS AVELINO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SP</v>
          </cell>
          <cell r="H2930" t="str">
            <v>DISTRIBUIÇÃO</v>
          </cell>
          <cell r="I2930" t="str">
            <v>FOOD SERVICE</v>
          </cell>
          <cell r="J2930" t="str">
            <v>RAQUEL BARBOSA</v>
          </cell>
          <cell r="K2930" t="str">
            <v>ITAMBÉ</v>
          </cell>
          <cell r="L2930" t="str">
            <v>RODRIGO</v>
          </cell>
          <cell r="M2930" t="str">
            <v>RAQUEL BARBOSA</v>
          </cell>
        </row>
        <row r="2931">
          <cell r="B2931">
            <v>5009122</v>
          </cell>
          <cell r="C2931" t="str">
            <v>ROTTA DISTRI DE ALIMENTOS LTDA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PR</v>
          </cell>
          <cell r="H2931" t="str">
            <v>DISTRIBUIÇÃO</v>
          </cell>
          <cell r="I2931" t="str">
            <v>FOOD SERVICE</v>
          </cell>
          <cell r="J2931" t="str">
            <v>ANGELICA BATISTELA</v>
          </cell>
          <cell r="K2931" t="str">
            <v>ITAMBÉ</v>
          </cell>
          <cell r="L2931" t="str">
            <v>RODRIGO</v>
          </cell>
          <cell r="M2931" t="str">
            <v>ANGELICA BATISTELA</v>
          </cell>
        </row>
        <row r="2932">
          <cell r="B2932">
            <v>5009420</v>
          </cell>
          <cell r="C2932" t="str">
            <v>BASF SA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SP</v>
          </cell>
          <cell r="H2932" t="str">
            <v>INGREDIENTS</v>
          </cell>
          <cell r="I2932" t="str">
            <v>INGREDIENTS</v>
          </cell>
          <cell r="J2932" t="str">
            <v>HENRIQUE FERREIRA</v>
          </cell>
          <cell r="K2932" t="str">
            <v>ITAMBÉ</v>
          </cell>
          <cell r="L2932" t="str">
            <v>MAURICIO</v>
          </cell>
          <cell r="M2932" t="str">
            <v>JOEL</v>
          </cell>
        </row>
        <row r="2933">
          <cell r="B2933">
            <v>5011709</v>
          </cell>
          <cell r="C2933" t="str">
            <v>COM E REPRESENTACOES CECOTI LTDA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MG</v>
          </cell>
          <cell r="H2933" t="str">
            <v>DISTRIBUIÇÃO</v>
          </cell>
          <cell r="I2933" t="str">
            <v>FOOD SERVICE</v>
          </cell>
          <cell r="J2933" t="str">
            <v>CELIO MARTINS</v>
          </cell>
          <cell r="K2933" t="str">
            <v>ITAMBÉ</v>
          </cell>
          <cell r="L2933" t="str">
            <v>RODRIGO</v>
          </cell>
          <cell r="M2933" t="str">
            <v>CELIO MARTINS</v>
          </cell>
        </row>
        <row r="2934">
          <cell r="B2934">
            <v>5012641</v>
          </cell>
          <cell r="C2934" t="str">
            <v>COM LOURO DE FRIOS E SALGADOS LTDA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SP</v>
          </cell>
          <cell r="H2934" t="str">
            <v>DISTRIBUIÇÃO</v>
          </cell>
          <cell r="I2934" t="str">
            <v>FOOD SERVICE</v>
          </cell>
          <cell r="J2934" t="str">
            <v>GUILHERME NASCIMENTO</v>
          </cell>
          <cell r="K2934" t="str">
            <v>ITAMBÉ</v>
          </cell>
          <cell r="L2934" t="str">
            <v>RODRIGO</v>
          </cell>
          <cell r="M2934" t="str">
            <v>ALEXANDRO</v>
          </cell>
        </row>
        <row r="2935">
          <cell r="B2935">
            <v>5013871</v>
          </cell>
          <cell r="C2935" t="str">
            <v>DESCARTEL DISTRIBUIDORA LTDA ME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MG</v>
          </cell>
          <cell r="H2935" t="str">
            <v>DISTRIBUIÇÃO</v>
          </cell>
          <cell r="I2935" t="str">
            <v>FOOD SERVICE</v>
          </cell>
          <cell r="J2935" t="str">
            <v>CELIO MARTINS</v>
          </cell>
          <cell r="K2935" t="str">
            <v>ITAMBÉ</v>
          </cell>
          <cell r="L2935" t="str">
            <v>RODRIGO</v>
          </cell>
          <cell r="M2935" t="str">
            <v>CELIO MARTINS</v>
          </cell>
        </row>
        <row r="2936">
          <cell r="B2936">
            <v>5014910</v>
          </cell>
          <cell r="C2936" t="str">
            <v>ESTORIL SOL FESTAS E DOCES LTDA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SP</v>
          </cell>
          <cell r="H2936" t="str">
            <v>DISTRIBUIÇÃO</v>
          </cell>
          <cell r="I2936" t="str">
            <v>FOOD SERVICE</v>
          </cell>
          <cell r="J2936" t="str">
            <v>SP ITB FS FLAC REP.E COMERCIO</v>
          </cell>
          <cell r="K2936" t="str">
            <v>ITAMBÉ</v>
          </cell>
          <cell r="L2936" t="str">
            <v>RODRIGO</v>
          </cell>
          <cell r="M2936" t="str">
            <v>RAQUEL BARBOSA</v>
          </cell>
        </row>
        <row r="2937">
          <cell r="B2937">
            <v>5015262</v>
          </cell>
          <cell r="C2937" t="str">
            <v>CENTRO COMERCIAL DE ALIMENTOS LTDA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SC</v>
          </cell>
          <cell r="H2937" t="str">
            <v>DISTRIBUIÇÃO</v>
          </cell>
          <cell r="I2937" t="str">
            <v>FOOD SERVICE</v>
          </cell>
          <cell r="J2937" t="str">
            <v>ANGELICA BATISTELA</v>
          </cell>
          <cell r="K2937" t="str">
            <v>ITAMBÉ</v>
          </cell>
          <cell r="L2937" t="str">
            <v>RODRIGO</v>
          </cell>
          <cell r="M2937" t="str">
            <v>ANGELICA BATISTELA</v>
          </cell>
        </row>
        <row r="2938">
          <cell r="B2938">
            <v>5017576</v>
          </cell>
          <cell r="C2938" t="str">
            <v>COMERCIAL DISKPAN LTDA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ES</v>
          </cell>
          <cell r="H2938" t="str">
            <v>DISTRIBUIÇÃO</v>
          </cell>
          <cell r="I2938" t="str">
            <v>FOOD SERVICE</v>
          </cell>
          <cell r="J2938" t="str">
            <v>MARCELO DUARTE</v>
          </cell>
          <cell r="K2938" t="str">
            <v>ITAMBÉ</v>
          </cell>
          <cell r="L2938" t="str">
            <v>RODRIGO</v>
          </cell>
          <cell r="M2938" t="str">
            <v>JESSICA</v>
          </cell>
        </row>
        <row r="2939">
          <cell r="B2939">
            <v>5019640</v>
          </cell>
          <cell r="C2939" t="str">
            <v>BIG CHURROS DE PIRACICABA LTDA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SP</v>
          </cell>
          <cell r="H2939" t="str">
            <v>INGREDIENTS</v>
          </cell>
          <cell r="I2939" t="str">
            <v>INGREDIENTS</v>
          </cell>
          <cell r="J2939" t="str">
            <v>HENRIQUE FERREIRA</v>
          </cell>
          <cell r="K2939" t="str">
            <v>ITAMBÉ</v>
          </cell>
          <cell r="L2939" t="str">
            <v>MAURICIO</v>
          </cell>
          <cell r="M2939" t="str">
            <v>JOEL</v>
          </cell>
        </row>
        <row r="2940">
          <cell r="B2940">
            <v>5021079</v>
          </cell>
          <cell r="C2940" t="str">
            <v>MARIANGELA BUFFET LTDA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MG</v>
          </cell>
          <cell r="H2940" t="str">
            <v>QSR</v>
          </cell>
          <cell r="I2940" t="str">
            <v>FOOD SERVICE</v>
          </cell>
          <cell r="J2940" t="str">
            <v>NUTRI</v>
          </cell>
          <cell r="K2940" t="str">
            <v>ITAMBÉ</v>
          </cell>
          <cell r="L2940" t="str">
            <v>PEDRO</v>
          </cell>
          <cell r="M2940" t="str">
            <v>VAGO QSR</v>
          </cell>
        </row>
        <row r="2941">
          <cell r="B2941">
            <v>5022847</v>
          </cell>
          <cell r="C2941" t="str">
            <v>CHOCOLIDER COM EMBALAGENS LTDA EPP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SP</v>
          </cell>
          <cell r="H2941" t="str">
            <v>DISTRIBUIÇÃO</v>
          </cell>
          <cell r="I2941" t="str">
            <v>FOOD SERVICE</v>
          </cell>
          <cell r="J2941" t="str">
            <v>SP ITB FS FLAC REP.E COMERCIO</v>
          </cell>
          <cell r="K2941" t="str">
            <v>ITAMBÉ</v>
          </cell>
          <cell r="L2941" t="str">
            <v>RODRIGO</v>
          </cell>
          <cell r="M2941" t="str">
            <v>RAQUEL BARBOSA</v>
          </cell>
        </row>
        <row r="2942">
          <cell r="B2942">
            <v>5023870</v>
          </cell>
          <cell r="C2942" t="str">
            <v>GOLD INDUSTRIA E COMERCIO LTDA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PR</v>
          </cell>
          <cell r="H2942" t="str">
            <v>DISTRIBUIÇÃO</v>
          </cell>
          <cell r="I2942" t="str">
            <v>FOOD SERVICE</v>
          </cell>
          <cell r="J2942" t="str">
            <v>ANGELICA BATISTELA</v>
          </cell>
          <cell r="K2942" t="str">
            <v>ITAMBÉ</v>
          </cell>
          <cell r="L2942" t="str">
            <v>RODRIGO</v>
          </cell>
          <cell r="M2942" t="str">
            <v>ANGELICA BATISTELA</v>
          </cell>
        </row>
        <row r="2943">
          <cell r="B2943">
            <v>5024011</v>
          </cell>
          <cell r="C2943" t="str">
            <v>M C MORAES ME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ES</v>
          </cell>
          <cell r="H2943" t="str">
            <v>DISTRIBUIÇÃO</v>
          </cell>
          <cell r="I2943" t="str">
            <v>FOOD SERVICE</v>
          </cell>
          <cell r="J2943" t="str">
            <v>MARCELO DUARTE</v>
          </cell>
          <cell r="K2943" t="str">
            <v>ITAMBÉ</v>
          </cell>
          <cell r="L2943" t="str">
            <v>RODRIGO</v>
          </cell>
          <cell r="M2943" t="str">
            <v>JESSICA</v>
          </cell>
        </row>
        <row r="2944">
          <cell r="B2944">
            <v>5024950</v>
          </cell>
          <cell r="C2944" t="str">
            <v>DUAS RODAS INDUSTRIAL LTDA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SC</v>
          </cell>
          <cell r="H2944" t="str">
            <v>INGREDIENTS</v>
          </cell>
          <cell r="I2944" t="str">
            <v>INGREDIENTS</v>
          </cell>
          <cell r="J2944" t="str">
            <v>MARCELO RODRIGUES</v>
          </cell>
          <cell r="K2944" t="str">
            <v>ITAMBÉ</v>
          </cell>
          <cell r="L2944" t="str">
            <v>MAURICIO</v>
          </cell>
          <cell r="M2944" t="str">
            <v>MARCELO</v>
          </cell>
        </row>
        <row r="2945">
          <cell r="B2945">
            <v>5026400</v>
          </cell>
          <cell r="C2945" t="str">
            <v>FERMISUL FERMENTOSE PROD PARA PANIF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PR</v>
          </cell>
          <cell r="H2945" t="str">
            <v>DISTRIBUIÇÃO</v>
          </cell>
          <cell r="I2945" t="str">
            <v>FOOD SERVICE</v>
          </cell>
          <cell r="J2945" t="str">
            <v>ANGELICA BATISTELA</v>
          </cell>
          <cell r="K2945" t="str">
            <v>ITAMBÉ</v>
          </cell>
          <cell r="L2945" t="str">
            <v>RODRIGO</v>
          </cell>
          <cell r="M2945" t="str">
            <v>ANGELICA BATISTELA</v>
          </cell>
        </row>
        <row r="2946">
          <cell r="B2946">
            <v>5026768</v>
          </cell>
          <cell r="C2946" t="str">
            <v>FORTALI DIST DE ALIMENTOS LTDA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CE</v>
          </cell>
          <cell r="H2946" t="str">
            <v>DISTRIBUIÇÃO</v>
          </cell>
          <cell r="I2946" t="str">
            <v>FOOD SERVICE</v>
          </cell>
          <cell r="J2946" t="str">
            <v>WH FOOD SERVICE CE</v>
          </cell>
          <cell r="K2946" t="str">
            <v>ITAMBÉ</v>
          </cell>
          <cell r="L2946" t="str">
            <v>RODRIGO</v>
          </cell>
          <cell r="M2946" t="str">
            <v>MARIA LOURDES</v>
          </cell>
        </row>
        <row r="2947">
          <cell r="B2947">
            <v>5026855</v>
          </cell>
          <cell r="C2947" t="str">
            <v>SIBELE ALIMENTOS LTDA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MG</v>
          </cell>
          <cell r="H2947" t="str">
            <v>INGREDIENTS</v>
          </cell>
          <cell r="I2947" t="str">
            <v>INGREDIENTS</v>
          </cell>
          <cell r="J2947" t="str">
            <v>HENRIQUE FERREIRA</v>
          </cell>
          <cell r="K2947" t="str">
            <v>ITAMBÉ</v>
          </cell>
          <cell r="L2947" t="str">
            <v>MAURICIO</v>
          </cell>
          <cell r="M2947" t="str">
            <v>JOEL</v>
          </cell>
        </row>
        <row r="2948">
          <cell r="B2948">
            <v>5027769</v>
          </cell>
          <cell r="C2948" t="str">
            <v>TAPIOCARIA DE ITAPUA LTDA ME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BA</v>
          </cell>
          <cell r="H2948" t="str">
            <v>DISTRIBUIÇÃO</v>
          </cell>
          <cell r="I2948" t="str">
            <v>FOOD SERVICE</v>
          </cell>
          <cell r="J2948" t="str">
            <v>CLAUDIO JORGE/LUIZ</v>
          </cell>
          <cell r="K2948" t="str">
            <v>ITAMBÉ</v>
          </cell>
          <cell r="L2948" t="str">
            <v>RODRIGO</v>
          </cell>
          <cell r="M2948" t="str">
            <v>MARIA LOURDES</v>
          </cell>
        </row>
        <row r="2949">
          <cell r="B2949">
            <v>5041698</v>
          </cell>
          <cell r="C2949" t="str">
            <v>REFFEL PRODUTOS ALIMENTICIOS LT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SP</v>
          </cell>
          <cell r="H2949" t="str">
            <v>INGREDIENTS</v>
          </cell>
          <cell r="I2949" t="str">
            <v>INGREDIENTS</v>
          </cell>
          <cell r="J2949" t="str">
            <v>HENRIQUE FERREIRA</v>
          </cell>
          <cell r="K2949" t="str">
            <v>ITAMBÉ</v>
          </cell>
          <cell r="L2949" t="str">
            <v>MAURICIO</v>
          </cell>
          <cell r="M2949" t="str">
            <v>JOEL</v>
          </cell>
        </row>
        <row r="2950">
          <cell r="B2950">
            <v>5043271</v>
          </cell>
          <cell r="C2950" t="str">
            <v>DOCES RICCO LTDA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MG</v>
          </cell>
          <cell r="H2950" t="str">
            <v>INGREDIENTS</v>
          </cell>
          <cell r="I2950" t="str">
            <v>INGREDIENTS</v>
          </cell>
          <cell r="J2950" t="str">
            <v>JOEL ELEOTÉRIO</v>
          </cell>
          <cell r="K2950" t="str">
            <v>ITAMBÉ</v>
          </cell>
          <cell r="L2950" t="str">
            <v>MAURICIO</v>
          </cell>
          <cell r="M2950" t="str">
            <v>JOEL</v>
          </cell>
        </row>
        <row r="2951">
          <cell r="B2951">
            <v>5044784</v>
          </cell>
          <cell r="C2951" t="str">
            <v>BOZZETTI COMERCIO DE DOCES LTDA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ES</v>
          </cell>
          <cell r="H2951" t="str">
            <v>DISTRIBUIÇÃO</v>
          </cell>
          <cell r="I2951" t="str">
            <v>FOOD SERVICE</v>
          </cell>
          <cell r="J2951" t="str">
            <v>MARCELO DUARTE</v>
          </cell>
          <cell r="K2951" t="str">
            <v>ITAMBÉ</v>
          </cell>
          <cell r="L2951" t="str">
            <v>RODRIGO</v>
          </cell>
          <cell r="M2951" t="str">
            <v>JESSICA</v>
          </cell>
        </row>
        <row r="2952">
          <cell r="B2952">
            <v>5051163</v>
          </cell>
          <cell r="C2952" t="str">
            <v>COOK EMPREENDIMENTOS EM ALIM COLETI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MG</v>
          </cell>
          <cell r="H2952" t="str">
            <v>DISTRIBUIÇÃO</v>
          </cell>
          <cell r="I2952" t="str">
            <v>FOOD SERVICE</v>
          </cell>
          <cell r="J2952" t="str">
            <v>CELIO MARTINS</v>
          </cell>
          <cell r="K2952" t="str">
            <v>ITAMBÉ</v>
          </cell>
          <cell r="L2952" t="str">
            <v>RODRIGO</v>
          </cell>
          <cell r="M2952" t="str">
            <v>CELIO MARTINS</v>
          </cell>
        </row>
        <row r="2953">
          <cell r="B2953">
            <v>5059971</v>
          </cell>
          <cell r="C2953" t="str">
            <v>GATE GOURMET LT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SP</v>
          </cell>
          <cell r="H2953" t="str">
            <v>QSR</v>
          </cell>
          <cell r="I2953" t="str">
            <v>FOOD SERVICE</v>
          </cell>
          <cell r="J2953" t="str">
            <v>ANA MENIQUETE</v>
          </cell>
          <cell r="K2953" t="str">
            <v>ITAMBÉ</v>
          </cell>
          <cell r="L2953" t="str">
            <v>PEDRO</v>
          </cell>
          <cell r="M2953" t="str">
            <v>ANA MENIQUETE</v>
          </cell>
        </row>
        <row r="2954">
          <cell r="B2954">
            <v>5068894</v>
          </cell>
          <cell r="C2954" t="str">
            <v>ESDEL COM PRODUTOS ALIMENTARES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PR</v>
          </cell>
          <cell r="H2954" t="str">
            <v>INGREDIENTS</v>
          </cell>
          <cell r="I2954" t="str">
            <v>INGREDIENTS</v>
          </cell>
          <cell r="J2954" t="str">
            <v>MARCELO RODRIGUES</v>
          </cell>
          <cell r="K2954" t="str">
            <v>ITAMBÉ</v>
          </cell>
          <cell r="L2954" t="str">
            <v>MAURICIO</v>
          </cell>
          <cell r="M2954" t="str">
            <v>MARCELO</v>
          </cell>
        </row>
        <row r="2955">
          <cell r="B2955">
            <v>5070522</v>
          </cell>
          <cell r="C2955" t="str">
            <v>WEA COM DE PROD DE PANIF LTDA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SP</v>
          </cell>
          <cell r="H2955" t="str">
            <v>DISTRIBUIÇÃO</v>
          </cell>
          <cell r="I2955" t="str">
            <v>FOOD SERVICE</v>
          </cell>
          <cell r="J2955" t="str">
            <v>GUILHERME NASCIMENTO</v>
          </cell>
          <cell r="K2955" t="str">
            <v>ITAMBÉ</v>
          </cell>
          <cell r="L2955" t="str">
            <v>RODRIGO</v>
          </cell>
          <cell r="M2955" t="str">
            <v>ALEXANDRO</v>
          </cell>
        </row>
        <row r="2956">
          <cell r="B2956">
            <v>5084421</v>
          </cell>
          <cell r="C2956" t="str">
            <v>BONOTTO E COSTA COM ALIMENTOS L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RS</v>
          </cell>
          <cell r="H2956" t="str">
            <v>DISTRIBUIÇÃO</v>
          </cell>
          <cell r="I2956" t="str">
            <v>FOOD SERVICE</v>
          </cell>
          <cell r="J2956" t="str">
            <v>ANGELICA BATISTELA</v>
          </cell>
          <cell r="K2956" t="str">
            <v>ITAMBÉ</v>
          </cell>
          <cell r="L2956" t="str">
            <v>RODRIGO</v>
          </cell>
          <cell r="M2956" t="str">
            <v>ANGELICA BATISTELA</v>
          </cell>
        </row>
        <row r="2957">
          <cell r="B2957">
            <v>5086953</v>
          </cell>
          <cell r="C2957" t="str">
            <v>MABE ALIMENTOS LTDA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SP</v>
          </cell>
          <cell r="H2957" t="str">
            <v>INGREDIENTS</v>
          </cell>
          <cell r="I2957" t="str">
            <v>INGREDIENTS</v>
          </cell>
          <cell r="J2957" t="str">
            <v>JOEL ELEOTÉRIO</v>
          </cell>
          <cell r="K2957" t="str">
            <v>ITAMBÉ</v>
          </cell>
          <cell r="L2957" t="str">
            <v>MAURICIO</v>
          </cell>
          <cell r="M2957" t="str">
            <v>JOEL</v>
          </cell>
        </row>
        <row r="2958">
          <cell r="B2958">
            <v>5115814</v>
          </cell>
          <cell r="C2958" t="str">
            <v>HAND BAKER DIST DE PROD P PANIF EIR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RJ</v>
          </cell>
          <cell r="H2958" t="str">
            <v>DISTRIBUIÇÃO</v>
          </cell>
          <cell r="I2958" t="str">
            <v>FOOD SERVICE</v>
          </cell>
          <cell r="J2958" t="str">
            <v>JULIANA CORDEIRO</v>
          </cell>
          <cell r="K2958" t="str">
            <v>ITAMBÉ</v>
          </cell>
          <cell r="L2958" t="str">
            <v>RODRIGO</v>
          </cell>
          <cell r="M2958" t="str">
            <v>JESSICA</v>
          </cell>
        </row>
        <row r="2959">
          <cell r="B2959">
            <v>5119520</v>
          </cell>
          <cell r="C2959" t="str">
            <v>CIA BEAL DE ALIMENTOS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PR</v>
          </cell>
          <cell r="H2959" t="str">
            <v>QSR</v>
          </cell>
          <cell r="I2959" t="str">
            <v>FOOD SERVICE</v>
          </cell>
          <cell r="J2959" t="str">
            <v>VAGO QSR</v>
          </cell>
          <cell r="K2959" t="str">
            <v>ITAMBÉ</v>
          </cell>
          <cell r="L2959" t="str">
            <v>PEDRO</v>
          </cell>
          <cell r="M2959" t="str">
            <v>VAGO QSR</v>
          </cell>
        </row>
        <row r="2960">
          <cell r="B2960">
            <v>5127549</v>
          </cell>
          <cell r="C2960" t="str">
            <v>SECOMANDI IND E COM DE SORVETES LTD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ES</v>
          </cell>
          <cell r="H2960" t="str">
            <v>INGREDIENTS</v>
          </cell>
          <cell r="I2960" t="str">
            <v>INGREDIENTS</v>
          </cell>
          <cell r="J2960" t="str">
            <v>HENRIQUE FERREIRA</v>
          </cell>
          <cell r="K2960" t="str">
            <v>ITAMBÉ</v>
          </cell>
          <cell r="L2960" t="str">
            <v>MAURICIO</v>
          </cell>
          <cell r="M2960" t="str">
            <v>JOEL</v>
          </cell>
        </row>
        <row r="2961">
          <cell r="B2961">
            <v>5131228</v>
          </cell>
          <cell r="C2961" t="str">
            <v>POLENGHI INDUSTRIAS ALIMS LTDA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GO</v>
          </cell>
          <cell r="H2961" t="str">
            <v>INGREDIENTS</v>
          </cell>
          <cell r="I2961" t="str">
            <v>INGREDIENTS</v>
          </cell>
          <cell r="J2961" t="str">
            <v>TATIANA NITTA</v>
          </cell>
          <cell r="K2961" t="str">
            <v>ITAMBÉ</v>
          </cell>
          <cell r="L2961" t="str">
            <v>MAURICIO</v>
          </cell>
          <cell r="M2961" t="str">
            <v>TATIANA NITTA</v>
          </cell>
        </row>
        <row r="2962">
          <cell r="B2962">
            <v>5134556</v>
          </cell>
          <cell r="C2962" t="str">
            <v>S P PRODUTOS LTDA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ES</v>
          </cell>
          <cell r="H2962" t="str">
            <v>DISTRIBUIÇÃO</v>
          </cell>
          <cell r="I2962" t="str">
            <v>FOOD SERVICE</v>
          </cell>
          <cell r="J2962" t="str">
            <v>MARCELO DUARTE</v>
          </cell>
          <cell r="K2962" t="str">
            <v>ITAMBÉ</v>
          </cell>
          <cell r="L2962" t="str">
            <v>RODRIGO</v>
          </cell>
          <cell r="M2962" t="str">
            <v>JESSICA</v>
          </cell>
        </row>
        <row r="2963">
          <cell r="B2963">
            <v>5136048</v>
          </cell>
          <cell r="C2963" t="str">
            <v>TARGUZ COMERCIO LTDA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AL</v>
          </cell>
          <cell r="H2963" t="str">
            <v>DISTRIBUIÇÃO</v>
          </cell>
          <cell r="I2963" t="str">
            <v>FOOD SERVICE</v>
          </cell>
          <cell r="J2963" t="str">
            <v>DIGMA REPR LTDA</v>
          </cell>
          <cell r="K2963" t="str">
            <v>ITAMBÉ</v>
          </cell>
          <cell r="L2963" t="str">
            <v>RODRIGO</v>
          </cell>
          <cell r="M2963" t="str">
            <v>MARIA LOURDES</v>
          </cell>
        </row>
        <row r="2964">
          <cell r="B2964">
            <v>5138561</v>
          </cell>
          <cell r="C2964" t="str">
            <v>M J SAIA E CIA LTDA ME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SP</v>
          </cell>
          <cell r="H2964" t="str">
            <v>INGREDIENTS</v>
          </cell>
          <cell r="I2964" t="str">
            <v>INGREDIENTS</v>
          </cell>
          <cell r="J2964" t="str">
            <v>HENRIQUE FERREIRA</v>
          </cell>
          <cell r="K2964" t="str">
            <v>ITAMBÉ</v>
          </cell>
          <cell r="L2964" t="str">
            <v>MAURICIO</v>
          </cell>
          <cell r="M2964" t="str">
            <v>JOEL</v>
          </cell>
        </row>
        <row r="2965">
          <cell r="B2965">
            <v>5139714</v>
          </cell>
          <cell r="C2965" t="str">
            <v>COLORE INDUSTRIA E COMERCIO LTD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MG</v>
          </cell>
          <cell r="H2965" t="str">
            <v>INGREDIENTS</v>
          </cell>
          <cell r="I2965" t="str">
            <v>INGREDIENTS</v>
          </cell>
          <cell r="J2965" t="str">
            <v>HENRIQUE FERREIRA</v>
          </cell>
          <cell r="K2965" t="str">
            <v>ITAMBÉ</v>
          </cell>
          <cell r="L2965" t="str">
            <v>MAURICIO</v>
          </cell>
          <cell r="M2965" t="str">
            <v>JOEL</v>
          </cell>
        </row>
        <row r="2966">
          <cell r="B2966">
            <v>5141420</v>
          </cell>
          <cell r="C2966" t="str">
            <v>UNIPAN COMERCIO DE PROD ALIM LT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DF</v>
          </cell>
          <cell r="H2966" t="str">
            <v>DISTRIBUIÇÃO</v>
          </cell>
          <cell r="I2966" t="str">
            <v>FOOD SERVICE</v>
          </cell>
          <cell r="J2966" t="str">
            <v>MARCO AURELIO</v>
          </cell>
          <cell r="K2966" t="str">
            <v>ITAMBÉ</v>
          </cell>
          <cell r="L2966" t="str">
            <v>RODRIGO</v>
          </cell>
          <cell r="M2966" t="str">
            <v>MARCO AURELIO</v>
          </cell>
        </row>
        <row r="2967">
          <cell r="B2967">
            <v>5142828</v>
          </cell>
          <cell r="C2967" t="str">
            <v>JACOMASSO COMERCIO DE BOLOS LTDA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PR</v>
          </cell>
          <cell r="H2967" t="str">
            <v>DISTRIBUIÇÃO</v>
          </cell>
          <cell r="I2967" t="str">
            <v>FOOD SERVICE</v>
          </cell>
          <cell r="J2967" t="str">
            <v>ANGELICA BATISTELA</v>
          </cell>
          <cell r="K2967" t="str">
            <v>ITAMBÉ</v>
          </cell>
          <cell r="L2967" t="str">
            <v>RODRIGO</v>
          </cell>
          <cell r="M2967" t="str">
            <v>ANGELICA BATISTELA</v>
          </cell>
        </row>
        <row r="2968">
          <cell r="B2968">
            <v>5144654</v>
          </cell>
          <cell r="C2968" t="str">
            <v>SAUIPE SA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BA</v>
          </cell>
          <cell r="H2968" t="str">
            <v>DISTRIBUIÇÃO</v>
          </cell>
          <cell r="I2968" t="str">
            <v>FOOD SERVICE</v>
          </cell>
          <cell r="J2968" t="str">
            <v>CLAUDIO JORGE/LUIZ</v>
          </cell>
          <cell r="K2968" t="str">
            <v>ITAMBÉ</v>
          </cell>
          <cell r="L2968" t="str">
            <v>RODRIGO</v>
          </cell>
          <cell r="M2968" t="str">
            <v>MARIA LOURDES</v>
          </cell>
        </row>
        <row r="2969">
          <cell r="B2969">
            <v>5145924</v>
          </cell>
          <cell r="C2969" t="str">
            <v>CAFE TRES CORACOES SA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MG</v>
          </cell>
          <cell r="H2969" t="str">
            <v>INGREDIENTS</v>
          </cell>
          <cell r="I2969" t="str">
            <v>INGREDIENTS</v>
          </cell>
          <cell r="J2969" t="str">
            <v>JOEL ELEOTÉRIO</v>
          </cell>
          <cell r="K2969" t="str">
            <v>ITAMBÉ</v>
          </cell>
          <cell r="L2969" t="str">
            <v>MAURICIO</v>
          </cell>
          <cell r="M2969" t="str">
            <v>JOEL</v>
          </cell>
        </row>
        <row r="2970">
          <cell r="B2970">
            <v>5147526</v>
          </cell>
          <cell r="C2970" t="str">
            <v>SAPORE SA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RJ</v>
          </cell>
          <cell r="H2970" t="str">
            <v>QSR</v>
          </cell>
          <cell r="I2970" t="str">
            <v>FOOD SERVICE</v>
          </cell>
          <cell r="J2970" t="str">
            <v>NUTRI</v>
          </cell>
          <cell r="K2970" t="str">
            <v>ITAMBÉ</v>
          </cell>
          <cell r="L2970" t="str">
            <v>PEDRO</v>
          </cell>
          <cell r="M2970" t="str">
            <v>VAGO QSR</v>
          </cell>
        </row>
        <row r="2971">
          <cell r="B2971">
            <v>5151341</v>
          </cell>
          <cell r="C2971" t="str">
            <v>FORMAGGIO DISTRIBUICAO AL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PE</v>
          </cell>
          <cell r="H2971" t="str">
            <v>DISTRIBUIÇÃO</v>
          </cell>
          <cell r="I2971" t="str">
            <v>FOOD SERVICE</v>
          </cell>
          <cell r="J2971" t="str">
            <v>CLAUDIO JORGE</v>
          </cell>
          <cell r="K2971" t="str">
            <v>ITAMBÉ</v>
          </cell>
          <cell r="L2971" t="str">
            <v>RODRIGO</v>
          </cell>
          <cell r="M2971" t="str">
            <v>MARIA LOURDES</v>
          </cell>
        </row>
        <row r="2972">
          <cell r="B2972">
            <v>5157891</v>
          </cell>
          <cell r="C2972" t="str">
            <v>NOVA MEGA G ATACADISTA DE ALIM SA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SP</v>
          </cell>
          <cell r="H2972" t="str">
            <v>DISTRIBUIÇÃO</v>
          </cell>
          <cell r="I2972" t="str">
            <v>FOOD SERVICE</v>
          </cell>
          <cell r="J2972" t="str">
            <v>RAQUEL BARBOSA</v>
          </cell>
          <cell r="K2972" t="str">
            <v>ITAMBÉ</v>
          </cell>
          <cell r="L2972" t="str">
            <v>RODRIGO</v>
          </cell>
          <cell r="M2972" t="str">
            <v>RAQUEL BARBOSA</v>
          </cell>
        </row>
        <row r="2973">
          <cell r="B2973">
            <v>5159222</v>
          </cell>
          <cell r="C2973" t="str">
            <v>DISPROPAN LTDA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MG</v>
          </cell>
          <cell r="H2973" t="str">
            <v>DISTRIBUIÇÃO</v>
          </cell>
          <cell r="I2973" t="str">
            <v>FOOD SERVICE</v>
          </cell>
          <cell r="J2973" t="str">
            <v>CELIO MARTINS</v>
          </cell>
          <cell r="K2973" t="str">
            <v>ITAMBÉ</v>
          </cell>
          <cell r="L2973" t="str">
            <v>RODRIGO</v>
          </cell>
          <cell r="M2973" t="str">
            <v>CELIO MARTINS</v>
          </cell>
        </row>
        <row r="2974">
          <cell r="B2974">
            <v>5159289</v>
          </cell>
          <cell r="C2974" t="str">
            <v>FUNCHAL IND COM DE PAPEIS LT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SP</v>
          </cell>
          <cell r="H2974" t="str">
            <v>DISTRIBUIÇÃO</v>
          </cell>
          <cell r="I2974" t="str">
            <v>FOOD SERVICE</v>
          </cell>
          <cell r="J2974" t="str">
            <v>VAGO SP</v>
          </cell>
          <cell r="K2974" t="str">
            <v>ITAMBÉ</v>
          </cell>
          <cell r="L2974" t="str">
            <v>RODRIGO</v>
          </cell>
          <cell r="M2974" t="str">
            <v>RAQUEL BARBOSA</v>
          </cell>
        </row>
        <row r="2975">
          <cell r="B2975">
            <v>5159508</v>
          </cell>
          <cell r="C2975" t="str">
            <v>BRASILPLAST EMB E DESCARTAVEIS LTDA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MG</v>
          </cell>
          <cell r="H2975" t="str">
            <v>DISTRIBUIÇÃO</v>
          </cell>
          <cell r="I2975" t="str">
            <v>FOOD SERVICE</v>
          </cell>
          <cell r="J2975" t="str">
            <v>CELIO MARTINS</v>
          </cell>
          <cell r="K2975" t="str">
            <v>ITAMBÉ</v>
          </cell>
          <cell r="L2975" t="str">
            <v>RODRIGO</v>
          </cell>
          <cell r="M2975" t="str">
            <v>CELIO MARTINS</v>
          </cell>
        </row>
        <row r="2976">
          <cell r="B2976">
            <v>5161553</v>
          </cell>
          <cell r="C2976" t="str">
            <v>SAPORE SA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PR</v>
          </cell>
          <cell r="H2976" t="str">
            <v>QSR</v>
          </cell>
          <cell r="I2976" t="str">
            <v>FOOD SERVICE</v>
          </cell>
          <cell r="J2976" t="str">
            <v>NUTRI</v>
          </cell>
          <cell r="K2976" t="str">
            <v>ITAMBÉ</v>
          </cell>
          <cell r="L2976" t="str">
            <v>PEDRO</v>
          </cell>
          <cell r="M2976" t="str">
            <v>VAGO QSR</v>
          </cell>
        </row>
        <row r="2977">
          <cell r="B2977">
            <v>5161583</v>
          </cell>
          <cell r="C2977" t="str">
            <v>DOHLER AMERICA LATINA LTDA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SP</v>
          </cell>
          <cell r="H2977" t="str">
            <v>INGREDIENTS</v>
          </cell>
          <cell r="I2977" t="str">
            <v>INGREDIENTS</v>
          </cell>
          <cell r="J2977" t="str">
            <v>HENRIQUE FERREIRA</v>
          </cell>
          <cell r="K2977" t="str">
            <v>ITAMBÉ</v>
          </cell>
          <cell r="L2977" t="str">
            <v>MAURICIO</v>
          </cell>
          <cell r="M2977" t="str">
            <v>JOEL</v>
          </cell>
        </row>
        <row r="2978">
          <cell r="B2978">
            <v>5162498</v>
          </cell>
          <cell r="C2978" t="str">
            <v>DOCE ENCONTRO LTDA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PR</v>
          </cell>
          <cell r="H2978" t="str">
            <v>INGREDIENTS</v>
          </cell>
          <cell r="I2978" t="str">
            <v>INGREDIENTS</v>
          </cell>
          <cell r="J2978" t="str">
            <v>MARCELO RODRIGUES</v>
          </cell>
          <cell r="K2978" t="str">
            <v>ITAMBÉ</v>
          </cell>
          <cell r="L2978" t="str">
            <v>MAURICIO</v>
          </cell>
          <cell r="M2978" t="str">
            <v>MARCELO</v>
          </cell>
        </row>
        <row r="2979">
          <cell r="B2979">
            <v>5164717</v>
          </cell>
          <cell r="C2979" t="str">
            <v>HENDUPAN COM DE PROD CON LTDA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SP</v>
          </cell>
          <cell r="H2979" t="str">
            <v>DISTRIBUIÇÃO</v>
          </cell>
          <cell r="I2979" t="str">
            <v>FOOD SERVICE</v>
          </cell>
          <cell r="J2979" t="str">
            <v>SP ITB FS FLAC REP.E COMERCIO</v>
          </cell>
          <cell r="K2979" t="str">
            <v>ITAMBÉ</v>
          </cell>
          <cell r="L2979" t="str">
            <v>RODRIGO</v>
          </cell>
          <cell r="M2979" t="str">
            <v>RAQUEL BARBOSA</v>
          </cell>
        </row>
        <row r="2980">
          <cell r="B2980">
            <v>5166328</v>
          </cell>
          <cell r="C2980" t="str">
            <v>OFICINA DO SORVETE LTDA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PR</v>
          </cell>
          <cell r="H2980" t="str">
            <v>DISTRIBUIÇÃO</v>
          </cell>
          <cell r="I2980" t="str">
            <v>FOOD SERVICE</v>
          </cell>
          <cell r="J2980" t="str">
            <v>ANGELICA BATISTELA</v>
          </cell>
          <cell r="K2980" t="str">
            <v>ITAMBÉ</v>
          </cell>
          <cell r="L2980" t="str">
            <v>RODRIGO</v>
          </cell>
          <cell r="M2980" t="str">
            <v>ANGELICA BATISTELA</v>
          </cell>
        </row>
        <row r="2981">
          <cell r="B2981">
            <v>5168151</v>
          </cell>
          <cell r="C2981" t="str">
            <v>I S M GOMES DE MATTOS LTDA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CE</v>
          </cell>
          <cell r="H2981" t="str">
            <v>DISTRIBUIÇÃO</v>
          </cell>
          <cell r="I2981" t="str">
            <v>FOOD SERVICE</v>
          </cell>
          <cell r="J2981" t="str">
            <v>WH FOOD SERVICE CE</v>
          </cell>
          <cell r="K2981" t="str">
            <v>ITAMBÉ</v>
          </cell>
          <cell r="L2981" t="str">
            <v>RODRIGO</v>
          </cell>
          <cell r="M2981" t="str">
            <v>MARIA LOURDES</v>
          </cell>
        </row>
        <row r="2982">
          <cell r="B2982">
            <v>5171550</v>
          </cell>
          <cell r="C2982" t="str">
            <v>PSG COMERCIO DE ALIMENTOS LTDA ME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PR</v>
          </cell>
          <cell r="H2982" t="str">
            <v>QSR</v>
          </cell>
          <cell r="I2982" t="str">
            <v>FOOD SERVICE</v>
          </cell>
          <cell r="J2982" t="str">
            <v>VAGO QSR</v>
          </cell>
          <cell r="K2982" t="str">
            <v>ITAMBÉ</v>
          </cell>
          <cell r="L2982" t="str">
            <v>PEDRO</v>
          </cell>
          <cell r="M2982" t="str">
            <v>VAGO QSR</v>
          </cell>
        </row>
        <row r="2983">
          <cell r="B2983">
            <v>5172699</v>
          </cell>
          <cell r="C2983" t="str">
            <v>ATOS PAN COM DE PROD ALIM EIRELI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SP</v>
          </cell>
          <cell r="H2983" t="str">
            <v>DISTRIBUIÇÃO</v>
          </cell>
          <cell r="I2983" t="str">
            <v>FOOD SERVICE</v>
          </cell>
          <cell r="J2983" t="str">
            <v>SP ITB FS FLAC REP.E COMERCIO</v>
          </cell>
          <cell r="K2983" t="str">
            <v>ITAMBÉ</v>
          </cell>
          <cell r="L2983" t="str">
            <v>RODRIGO</v>
          </cell>
          <cell r="M2983" t="str">
            <v>RAQUEL BARBOSA</v>
          </cell>
        </row>
        <row r="2984">
          <cell r="B2984">
            <v>5173427</v>
          </cell>
          <cell r="C2984" t="str">
            <v>DISTRIPACK DIST DE EMBALAGENS LTDA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MG</v>
          </cell>
          <cell r="H2984" t="str">
            <v>INGREDIENTS</v>
          </cell>
          <cell r="I2984" t="str">
            <v>INGREDIENTS</v>
          </cell>
          <cell r="J2984" t="str">
            <v>MG ITB FS DRK REP</v>
          </cell>
          <cell r="K2984" t="str">
            <v>ITAMBÉ</v>
          </cell>
          <cell r="L2984" t="str">
            <v>MAURICIO</v>
          </cell>
          <cell r="M2984" t="str">
            <v>JOEL</v>
          </cell>
        </row>
        <row r="2985">
          <cell r="B2985">
            <v>5174259</v>
          </cell>
          <cell r="C2985" t="str">
            <v>MIX TUDO COMERCIO E SERVICOS EI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ES</v>
          </cell>
          <cell r="H2985" t="str">
            <v>DISTRIBUIÇÃO</v>
          </cell>
          <cell r="I2985" t="str">
            <v>FOOD SERVICE</v>
          </cell>
          <cell r="J2985" t="str">
            <v>MARCELO DUARTE</v>
          </cell>
          <cell r="K2985" t="str">
            <v>ITAMBÉ</v>
          </cell>
          <cell r="L2985" t="str">
            <v>RODRIGO</v>
          </cell>
          <cell r="M2985" t="str">
            <v>JESSICA</v>
          </cell>
        </row>
        <row r="2986">
          <cell r="B2986">
            <v>5178343</v>
          </cell>
          <cell r="C2986" t="str">
            <v>NT INDSUTRIA E COM DE PANIFICAC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AM</v>
          </cell>
          <cell r="H2986" t="str">
            <v>DISTRIBUIÇÃO</v>
          </cell>
          <cell r="I2986" t="str">
            <v>FOOD SERVICE</v>
          </cell>
          <cell r="J2986" t="str">
            <v>CLAUDIO JORGE</v>
          </cell>
          <cell r="K2986" t="str">
            <v>ITAMBÉ</v>
          </cell>
          <cell r="L2986" t="str">
            <v>RODRIGO</v>
          </cell>
          <cell r="M2986" t="str">
            <v>MARCO AURELIO</v>
          </cell>
        </row>
        <row r="2987">
          <cell r="B2987">
            <v>5178518</v>
          </cell>
          <cell r="C2987" t="str">
            <v>NECHIO COMERCIO DISTRIB DE ALIMENT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RJ</v>
          </cell>
          <cell r="H2987" t="str">
            <v>DISTRIBUIÇÃO</v>
          </cell>
          <cell r="I2987" t="str">
            <v>FOOD SERVICE</v>
          </cell>
          <cell r="J2987" t="str">
            <v>LUCIANA MARTINS</v>
          </cell>
          <cell r="K2987" t="str">
            <v>ITAMBÉ</v>
          </cell>
          <cell r="L2987" t="str">
            <v>RODRIGO</v>
          </cell>
          <cell r="M2987" t="str">
            <v>JESSICA</v>
          </cell>
        </row>
        <row r="2988">
          <cell r="B2988">
            <v>5180088</v>
          </cell>
          <cell r="C2988" t="str">
            <v>CARMEL IND E COM DE SOBREMESAS LTDA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PR</v>
          </cell>
          <cell r="H2988" t="str">
            <v>INGREDIENTS</v>
          </cell>
          <cell r="I2988" t="str">
            <v>INGREDIENTS</v>
          </cell>
          <cell r="J2988" t="str">
            <v>MARCELO RODRIGUES</v>
          </cell>
          <cell r="K2988" t="str">
            <v>ITAMBÉ</v>
          </cell>
          <cell r="L2988" t="str">
            <v>MAURICIO</v>
          </cell>
          <cell r="M2988" t="str">
            <v>MARCELO</v>
          </cell>
        </row>
        <row r="2989">
          <cell r="B2989">
            <v>5181722</v>
          </cell>
          <cell r="C2989" t="str">
            <v>CINDERELA SORVETES LTDA ME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ES</v>
          </cell>
          <cell r="H2989" t="str">
            <v>INGREDIENTS</v>
          </cell>
          <cell r="I2989" t="str">
            <v>INGREDIENTS</v>
          </cell>
          <cell r="J2989" t="str">
            <v>DUAS RODAS</v>
          </cell>
          <cell r="K2989" t="str">
            <v>ITAMBÉ</v>
          </cell>
          <cell r="L2989" t="str">
            <v>MAURICIO</v>
          </cell>
          <cell r="M2989" t="str">
            <v>JOEL</v>
          </cell>
        </row>
        <row r="2990">
          <cell r="B2990">
            <v>5181837</v>
          </cell>
          <cell r="C2990" t="str">
            <v>LEVI KARKLIS 65217756934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SC</v>
          </cell>
          <cell r="H2990" t="str">
            <v>INGREDIENTS</v>
          </cell>
          <cell r="I2990" t="str">
            <v>INGREDIENTS</v>
          </cell>
          <cell r="J2990" t="str">
            <v>DUAS RODAS</v>
          </cell>
          <cell r="K2990" t="str">
            <v>ITAMBÉ</v>
          </cell>
          <cell r="L2990" t="str">
            <v>MAURICIO</v>
          </cell>
          <cell r="M2990" t="str">
            <v>MARCELO</v>
          </cell>
        </row>
        <row r="2991">
          <cell r="B2991">
            <v>5182195</v>
          </cell>
          <cell r="C2991" t="str">
            <v>VR BUZIM COMERCIO PROD ALIMENTICIOS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ES</v>
          </cell>
          <cell r="H2991" t="str">
            <v>DISTRIBUIÇÃO</v>
          </cell>
          <cell r="I2991" t="str">
            <v>FOOD SERVICE</v>
          </cell>
          <cell r="J2991" t="str">
            <v>MARCELO DUARTE</v>
          </cell>
          <cell r="K2991" t="str">
            <v>ITAMBÉ</v>
          </cell>
          <cell r="L2991" t="str">
            <v>RODRIGO</v>
          </cell>
          <cell r="M2991" t="str">
            <v>JESSICA</v>
          </cell>
        </row>
        <row r="2992">
          <cell r="B2992">
            <v>5184155</v>
          </cell>
          <cell r="C2992" t="str">
            <v>EJP COMERCIO DE ALIMENTOS LTDA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CE</v>
          </cell>
          <cell r="H2992" t="str">
            <v>DISTRIBUIÇÃO</v>
          </cell>
          <cell r="I2992" t="str">
            <v>FOOD SERVICE</v>
          </cell>
          <cell r="J2992" t="str">
            <v>WH FOOD SERVICE CE</v>
          </cell>
          <cell r="K2992" t="str">
            <v>ITAMBÉ</v>
          </cell>
          <cell r="L2992" t="str">
            <v>RODRIGO</v>
          </cell>
          <cell r="M2992" t="str">
            <v>MARIA LOURDES</v>
          </cell>
        </row>
        <row r="2993">
          <cell r="B2993">
            <v>5186266</v>
          </cell>
          <cell r="C2993" t="str">
            <v>SORVEPANI COMERCIAL E DISTRIBUIDORA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AM</v>
          </cell>
          <cell r="H2993" t="str">
            <v>DISTRIBUIÇÃO</v>
          </cell>
          <cell r="I2993" t="str">
            <v>FOOD SERVICE</v>
          </cell>
          <cell r="J2993" t="str">
            <v>CLAUDIO JORGE</v>
          </cell>
          <cell r="K2993" t="str">
            <v>ITAMBÉ</v>
          </cell>
          <cell r="L2993" t="str">
            <v>RODRIGO</v>
          </cell>
          <cell r="M2993" t="str">
            <v>MARCO AURELIO</v>
          </cell>
        </row>
        <row r="2994">
          <cell r="B2994">
            <v>5186815</v>
          </cell>
          <cell r="C2994" t="str">
            <v>PILLAR DOCES E EMBALAGENS LTDA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ES</v>
          </cell>
          <cell r="H2994" t="str">
            <v>DISTRIBUIÇÃO</v>
          </cell>
          <cell r="I2994" t="str">
            <v>FOOD SERVICE</v>
          </cell>
          <cell r="J2994" t="str">
            <v>MARCELO DUARTE</v>
          </cell>
          <cell r="K2994" t="str">
            <v>ITAMBÉ</v>
          </cell>
          <cell r="L2994" t="str">
            <v>RODRIGO</v>
          </cell>
          <cell r="M2994" t="str">
            <v>JESSICA</v>
          </cell>
        </row>
        <row r="2995">
          <cell r="B2995">
            <v>5186822</v>
          </cell>
          <cell r="C2995" t="str">
            <v>BERTINI INDUSTRIA E COMERCIO DE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PR</v>
          </cell>
          <cell r="H2995" t="str">
            <v>INGREDIENTS</v>
          </cell>
          <cell r="I2995" t="str">
            <v>INGREDIENTS</v>
          </cell>
          <cell r="J2995" t="str">
            <v>DUAS RODAS</v>
          </cell>
          <cell r="K2995" t="str">
            <v>ITAMBÉ</v>
          </cell>
          <cell r="L2995" t="str">
            <v>MAURICIO</v>
          </cell>
          <cell r="M2995" t="str">
            <v>MARCELO</v>
          </cell>
        </row>
        <row r="2996">
          <cell r="B2996">
            <v>5189644</v>
          </cell>
          <cell r="C2996" t="str">
            <v>BOCAO COMERCIO DE DOCES LTDA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SP</v>
          </cell>
          <cell r="H2996" t="str">
            <v>DISTRIBUIÇÃO</v>
          </cell>
          <cell r="I2996" t="str">
            <v>FOOD SERVICE</v>
          </cell>
          <cell r="J2996" t="str">
            <v>SP ITB FS FLAC REP.E COMERCIO</v>
          </cell>
          <cell r="K2996" t="str">
            <v>ITAMBÉ</v>
          </cell>
          <cell r="L2996" t="str">
            <v>RODRIGO</v>
          </cell>
          <cell r="M2996" t="str">
            <v>RAQUEL BARBOSA</v>
          </cell>
        </row>
        <row r="2997">
          <cell r="B2997">
            <v>5193349</v>
          </cell>
          <cell r="C2997" t="str">
            <v>SYACABA NO SORVETE LTDA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MG</v>
          </cell>
          <cell r="H2997" t="str">
            <v>INGREDIENTS</v>
          </cell>
          <cell r="I2997" t="str">
            <v>INGREDIENTS</v>
          </cell>
          <cell r="J2997" t="str">
            <v>HENRIQUE FERREIRA</v>
          </cell>
          <cell r="K2997" t="str">
            <v>ITAMBÉ</v>
          </cell>
          <cell r="L2997" t="str">
            <v>MAURICIO</v>
          </cell>
          <cell r="M2997" t="str">
            <v>JOEL</v>
          </cell>
        </row>
        <row r="2998">
          <cell r="B2998">
            <v>5194018</v>
          </cell>
          <cell r="C2998" t="str">
            <v>GURIRI EMBALAGENS LTDA ME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ES</v>
          </cell>
          <cell r="H2998" t="str">
            <v>DISTRIBUIÇÃO</v>
          </cell>
          <cell r="I2998" t="str">
            <v>FOOD SERVICE</v>
          </cell>
          <cell r="J2998" t="str">
            <v>MARCELO DUARTE</v>
          </cell>
          <cell r="K2998" t="str">
            <v>ITAMBÉ</v>
          </cell>
          <cell r="L2998" t="str">
            <v>RODRIGO</v>
          </cell>
          <cell r="M2998" t="str">
            <v>JESSICA</v>
          </cell>
        </row>
        <row r="2999">
          <cell r="B2999">
            <v>5194641</v>
          </cell>
          <cell r="C2999" t="str">
            <v>BEVERAGER EQUIPAMENTOS E BEBIDA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MG</v>
          </cell>
          <cell r="H2999" t="str">
            <v>INGREDIENTS</v>
          </cell>
          <cell r="I2999" t="str">
            <v>INGREDIENTS</v>
          </cell>
          <cell r="J2999" t="str">
            <v>HENRIQUE FERREIRA</v>
          </cell>
          <cell r="K2999" t="str">
            <v>ITAMBÉ</v>
          </cell>
          <cell r="L2999" t="str">
            <v>MAURICIO</v>
          </cell>
          <cell r="M2999" t="str">
            <v>JOEL</v>
          </cell>
        </row>
        <row r="3000">
          <cell r="B3000">
            <v>5195605</v>
          </cell>
          <cell r="C3000" t="str">
            <v>PLANETA DOCES E ALIMENTICIOS EIRELI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SP</v>
          </cell>
          <cell r="H3000" t="str">
            <v>DISTRIBUIÇÃO</v>
          </cell>
          <cell r="I3000" t="str">
            <v>FOOD SERVICE</v>
          </cell>
          <cell r="J3000" t="str">
            <v>SP ITB FS FLAC REP.E COMERCIO</v>
          </cell>
          <cell r="K3000" t="str">
            <v>ITAMBÉ</v>
          </cell>
          <cell r="L3000" t="str">
            <v>RODRIGO</v>
          </cell>
          <cell r="M3000" t="str">
            <v>RAQUEL BARBOSA</v>
          </cell>
        </row>
        <row r="3001">
          <cell r="B3001">
            <v>5196675</v>
          </cell>
          <cell r="C3001" t="str">
            <v>ROMAPAN ALIMENTOS LTDA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GO</v>
          </cell>
          <cell r="H3001" t="str">
            <v>DISTRIBUIÇÃO</v>
          </cell>
          <cell r="I3001" t="str">
            <v>FOOD SERVICE</v>
          </cell>
          <cell r="J3001" t="str">
            <v>MARCO AURELIO</v>
          </cell>
          <cell r="K3001" t="str">
            <v>ITAMBÉ</v>
          </cell>
          <cell r="L3001" t="str">
            <v>RODRIGO</v>
          </cell>
          <cell r="M3001" t="str">
            <v>MARCO AURELIO</v>
          </cell>
        </row>
        <row r="3002">
          <cell r="B3002">
            <v>5196867</v>
          </cell>
          <cell r="C3002" t="str">
            <v>DEPOSITO DE DOCES MALU LTDA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SP</v>
          </cell>
          <cell r="H3002" t="str">
            <v>DISTRIBUIÇÃO</v>
          </cell>
          <cell r="I3002" t="str">
            <v>FOOD SERVICE</v>
          </cell>
          <cell r="J3002" t="str">
            <v>SP ITB FS FLAC REP.E COMERCIO</v>
          </cell>
          <cell r="K3002" t="str">
            <v>ITAMBÉ</v>
          </cell>
          <cell r="L3002" t="str">
            <v>RODRIGO</v>
          </cell>
          <cell r="M3002" t="str">
            <v>RAQUEL BARBOSA</v>
          </cell>
        </row>
        <row r="3003">
          <cell r="B3003">
            <v>5198408</v>
          </cell>
          <cell r="C3003" t="str">
            <v>MARIA ISABEL TOMICH DUARTE 0150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MG</v>
          </cell>
          <cell r="H3003" t="str">
            <v>INGREDIENTS</v>
          </cell>
          <cell r="I3003" t="str">
            <v>INGREDIENTS</v>
          </cell>
          <cell r="J3003" t="str">
            <v>HENRIQUE FERREIRA</v>
          </cell>
          <cell r="K3003" t="str">
            <v>ITAMBÉ</v>
          </cell>
          <cell r="L3003" t="str">
            <v>MAURICIO</v>
          </cell>
          <cell r="M3003" t="str">
            <v>JOEL</v>
          </cell>
        </row>
        <row r="3004">
          <cell r="B3004">
            <v>5198698</v>
          </cell>
          <cell r="C3004" t="str">
            <v>PANDURATA ALIMENTOS LTDA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SP</v>
          </cell>
          <cell r="H3004" t="str">
            <v>INGREDIENTS</v>
          </cell>
          <cell r="I3004" t="str">
            <v>INGREDIENTS</v>
          </cell>
          <cell r="J3004" t="str">
            <v>JOEL ELEOTÉRIO</v>
          </cell>
          <cell r="K3004" t="str">
            <v>ITAMBÉ</v>
          </cell>
          <cell r="L3004" t="str">
            <v>MAURICIO</v>
          </cell>
          <cell r="M3004" t="str">
            <v>JOEL</v>
          </cell>
        </row>
        <row r="3005">
          <cell r="B3005">
            <v>5198979</v>
          </cell>
          <cell r="C3005" t="str">
            <v>PENIEL DIST DE MEDICAMENTOS E A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PR</v>
          </cell>
          <cell r="H3005" t="str">
            <v>DISTRIBUIÇÃO</v>
          </cell>
          <cell r="I3005" t="str">
            <v>FOOD SERVICE</v>
          </cell>
          <cell r="J3005" t="str">
            <v>ANGELICA BATISTELA</v>
          </cell>
          <cell r="K3005" t="str">
            <v>ITAMBÉ</v>
          </cell>
          <cell r="L3005" t="str">
            <v>RODRIGO</v>
          </cell>
          <cell r="M3005" t="str">
            <v>ANGELICA BATISTELA</v>
          </cell>
        </row>
        <row r="3006">
          <cell r="B3006">
            <v>5199005</v>
          </cell>
          <cell r="C3006" t="str">
            <v>IMAC INDUSTRIA DE MASSAS CONGEL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CE</v>
          </cell>
          <cell r="H3006" t="str">
            <v>DISTRIBUIÇÃO</v>
          </cell>
          <cell r="I3006" t="str">
            <v>FOOD SERVICE</v>
          </cell>
          <cell r="J3006" t="str">
            <v>WH FOOD SERVICE CE</v>
          </cell>
          <cell r="K3006" t="str">
            <v>ITAMBÉ</v>
          </cell>
          <cell r="L3006" t="str">
            <v>RODRIGO</v>
          </cell>
          <cell r="M3006" t="str">
            <v>MARIA LOURDES</v>
          </cell>
        </row>
        <row r="3007">
          <cell r="B3007">
            <v>5199893</v>
          </cell>
          <cell r="C3007" t="str">
            <v>JADE COM ATAC DE PROD EM SACHES LTD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SC</v>
          </cell>
          <cell r="H3007" t="str">
            <v>DISTRIBUIÇÃO</v>
          </cell>
          <cell r="I3007" t="str">
            <v>FOOD SERVICE</v>
          </cell>
          <cell r="J3007" t="str">
            <v>ANGELICA BATISTELA</v>
          </cell>
          <cell r="K3007" t="str">
            <v>ITAMBÉ</v>
          </cell>
          <cell r="L3007" t="str">
            <v>RODRIGO</v>
          </cell>
          <cell r="M3007" t="str">
            <v>ANGELICA BATISTELA</v>
          </cell>
        </row>
        <row r="3008">
          <cell r="B3008">
            <v>5200125</v>
          </cell>
          <cell r="C3008" t="str">
            <v>DOCA COM DE EMB LTDA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CE</v>
          </cell>
          <cell r="H3008" t="str">
            <v>DISTRIBUIÇÃO</v>
          </cell>
          <cell r="I3008" t="str">
            <v>FOOD SERVICE</v>
          </cell>
          <cell r="J3008" t="str">
            <v>WH FOOD SERVICE CE</v>
          </cell>
          <cell r="K3008" t="str">
            <v>ITAMBÉ</v>
          </cell>
          <cell r="L3008" t="str">
            <v>RODRIGO</v>
          </cell>
          <cell r="M3008" t="str">
            <v>MARIA LOURDES</v>
          </cell>
        </row>
        <row r="3009">
          <cell r="B3009">
            <v>5204939</v>
          </cell>
          <cell r="C3009" t="str">
            <v>UNICA COMERCIO E DISTRIBUICAO L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SP</v>
          </cell>
          <cell r="H3009" t="str">
            <v>QSR</v>
          </cell>
          <cell r="I3009" t="str">
            <v>FOOD SERVICE</v>
          </cell>
          <cell r="J3009" t="str">
            <v>VAGO QSR</v>
          </cell>
          <cell r="K3009" t="str">
            <v>ITAMBÉ</v>
          </cell>
          <cell r="L3009" t="str">
            <v>PEDRO</v>
          </cell>
          <cell r="M3009" t="str">
            <v>VAGO QSR</v>
          </cell>
        </row>
        <row r="3010">
          <cell r="B3010">
            <v>5206830</v>
          </cell>
          <cell r="C3010" t="str">
            <v>IND E COM DE SORVETES FRUTAMIX LTDA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MG</v>
          </cell>
          <cell r="H3010" t="str">
            <v>INGREDIENTS</v>
          </cell>
          <cell r="I3010" t="str">
            <v>INGREDIENTS</v>
          </cell>
          <cell r="J3010" t="str">
            <v>HENRIQUE FERREIRA</v>
          </cell>
          <cell r="K3010" t="str">
            <v>ITAMBÉ</v>
          </cell>
          <cell r="L3010" t="str">
            <v>MAURICIO</v>
          </cell>
          <cell r="M3010" t="str">
            <v>JOEL</v>
          </cell>
        </row>
        <row r="3011">
          <cell r="B3011">
            <v>5207394</v>
          </cell>
          <cell r="C3011" t="str">
            <v>NEWREST BRASIL S A AO T AEREO LTDA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RJ</v>
          </cell>
          <cell r="H3011" t="str">
            <v>QSR</v>
          </cell>
          <cell r="I3011" t="str">
            <v>FOOD SERVICE</v>
          </cell>
          <cell r="J3011" t="str">
            <v>ANA MENIQUETE</v>
          </cell>
          <cell r="K3011" t="str">
            <v>ITAMBÉ</v>
          </cell>
          <cell r="L3011" t="str">
            <v>PEDRO</v>
          </cell>
          <cell r="M3011" t="str">
            <v>ANA MENIQUETE</v>
          </cell>
        </row>
        <row r="3012">
          <cell r="B3012">
            <v>5207685</v>
          </cell>
          <cell r="C3012" t="str">
            <v>ESPECIALI INDUSTRIA DE ALIMENTO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MG</v>
          </cell>
          <cell r="H3012" t="str">
            <v>INGREDIENTS</v>
          </cell>
          <cell r="I3012" t="str">
            <v>INGREDIENTS</v>
          </cell>
          <cell r="J3012" t="str">
            <v>HENRIQUE FERREIRA</v>
          </cell>
          <cell r="K3012" t="str">
            <v>ITAMBÉ</v>
          </cell>
          <cell r="L3012" t="str">
            <v>MAURICIO</v>
          </cell>
          <cell r="M3012" t="str">
            <v>JOEL</v>
          </cell>
        </row>
        <row r="3013">
          <cell r="B3013">
            <v>5208028</v>
          </cell>
          <cell r="C3013" t="str">
            <v>MISTUREX COMERCIO ATACA DE ALIMENT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ES</v>
          </cell>
          <cell r="H3013" t="str">
            <v>INGREDIENTS</v>
          </cell>
          <cell r="I3013" t="str">
            <v>INGREDIENTS</v>
          </cell>
          <cell r="J3013" t="str">
            <v>TATIANA NITTA</v>
          </cell>
          <cell r="K3013" t="str">
            <v>ITAMBÉ</v>
          </cell>
          <cell r="L3013" t="str">
            <v>MAURICIO</v>
          </cell>
          <cell r="M3013" t="str">
            <v>TATIANA NITTA</v>
          </cell>
        </row>
        <row r="3014">
          <cell r="B3014">
            <v>5212486</v>
          </cell>
          <cell r="C3014" t="str">
            <v>FRUTAROM DO BRASIL IND E COM LT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MG</v>
          </cell>
          <cell r="H3014" t="str">
            <v>INGREDIENTS</v>
          </cell>
          <cell r="I3014" t="str">
            <v>INGREDIENTS</v>
          </cell>
          <cell r="J3014" t="str">
            <v>HENRIQUE FERREIRA</v>
          </cell>
          <cell r="K3014" t="str">
            <v>ITAMBÉ</v>
          </cell>
          <cell r="L3014" t="str">
            <v>MAURICIO</v>
          </cell>
          <cell r="M3014" t="str">
            <v>JOEL</v>
          </cell>
        </row>
        <row r="3015">
          <cell r="B3015">
            <v>5213484</v>
          </cell>
          <cell r="C3015" t="str">
            <v>HAVANA COMERCIO DE BEBIDAS LTDA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SP</v>
          </cell>
          <cell r="H3015" t="str">
            <v>DISTRIBUIÇÃO</v>
          </cell>
          <cell r="I3015" t="str">
            <v>FOOD SERVICE</v>
          </cell>
          <cell r="J3015" t="str">
            <v>SP ITB FS FLAC REP.E COMERCIO</v>
          </cell>
          <cell r="K3015" t="str">
            <v>ITAMBÉ</v>
          </cell>
          <cell r="L3015" t="str">
            <v>RODRIGO</v>
          </cell>
          <cell r="M3015" t="str">
            <v>RAQUEL BARBOSA</v>
          </cell>
        </row>
        <row r="3016">
          <cell r="B3016">
            <v>5214453</v>
          </cell>
          <cell r="C3016" t="str">
            <v>DIA DISTRIBUICAO E IMPORTACAO AFOGA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PE</v>
          </cell>
          <cell r="H3016" t="str">
            <v>DISTRIBUIÇÃO</v>
          </cell>
          <cell r="I3016" t="str">
            <v>FOOD SERVICE</v>
          </cell>
          <cell r="J3016" t="str">
            <v>CLAUDIO JORGE</v>
          </cell>
          <cell r="K3016" t="str">
            <v>ITAMBÉ</v>
          </cell>
          <cell r="L3016" t="str">
            <v>RODRIGO</v>
          </cell>
          <cell r="M3016" t="str">
            <v>MARIA LOURDES</v>
          </cell>
        </row>
        <row r="3017">
          <cell r="B3017">
            <v>5214670</v>
          </cell>
          <cell r="C3017" t="str">
            <v>LORENZ COMERCIO E DIST DE ALIM LTDA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MS</v>
          </cell>
          <cell r="H3017" t="str">
            <v>DISTRIBUIÇÃO</v>
          </cell>
          <cell r="I3017" t="str">
            <v>FOOD SERVICE</v>
          </cell>
          <cell r="J3017" t="str">
            <v>MARCO AURELIO</v>
          </cell>
          <cell r="K3017" t="str">
            <v>ITAMBÉ</v>
          </cell>
          <cell r="L3017" t="str">
            <v>RODRIGO</v>
          </cell>
          <cell r="M3017" t="str">
            <v>MARCO AURELIO</v>
          </cell>
        </row>
        <row r="3018">
          <cell r="B3018">
            <v>5216004</v>
          </cell>
          <cell r="C3018" t="str">
            <v>PANCRISTAL LTDA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PE</v>
          </cell>
          <cell r="H3018" t="str">
            <v>DISTRIBUIÇÃO</v>
          </cell>
          <cell r="I3018" t="str">
            <v>FOOD SERVICE</v>
          </cell>
          <cell r="J3018" t="str">
            <v>CLAUDIO JORGE</v>
          </cell>
          <cell r="K3018" t="str">
            <v>ITAMBÉ</v>
          </cell>
          <cell r="L3018" t="str">
            <v>RODRIGO</v>
          </cell>
          <cell r="M3018" t="str">
            <v>MARIA LOURDES</v>
          </cell>
        </row>
        <row r="3019">
          <cell r="B3019">
            <v>5216557</v>
          </cell>
          <cell r="C3019" t="str">
            <v>G A R DE LUCENA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SP</v>
          </cell>
          <cell r="H3019" t="str">
            <v>DISTRIBUIÇÃO</v>
          </cell>
          <cell r="I3019" t="str">
            <v>FOOD SERVICE</v>
          </cell>
          <cell r="J3019" t="str">
            <v>VAGO SP</v>
          </cell>
          <cell r="K3019" t="str">
            <v>ITAMBÉ</v>
          </cell>
          <cell r="L3019" t="str">
            <v>RODRIGO</v>
          </cell>
          <cell r="M3019" t="str">
            <v>RAQUEL BARBOSA</v>
          </cell>
        </row>
        <row r="3020">
          <cell r="B3020">
            <v>5219839</v>
          </cell>
          <cell r="C3020" t="str">
            <v>RIBERPAN COMERCIO DE ALIMENTOS LTDA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RS</v>
          </cell>
          <cell r="H3020" t="str">
            <v>DISTRIBUIÇÃO</v>
          </cell>
          <cell r="I3020" t="str">
            <v>FOOD SERVICE</v>
          </cell>
          <cell r="J3020" t="str">
            <v>ANGELICA BATISTELA</v>
          </cell>
          <cell r="K3020" t="str">
            <v>ITAMBÉ</v>
          </cell>
          <cell r="L3020" t="str">
            <v>RODRIGO</v>
          </cell>
          <cell r="M3020" t="str">
            <v>ANGELICA BATISTELA</v>
          </cell>
        </row>
        <row r="3021">
          <cell r="B3021">
            <v>5220998</v>
          </cell>
          <cell r="C3021" t="str">
            <v>GELADOM SORVETES LTDA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BA</v>
          </cell>
          <cell r="H3021" t="str">
            <v>DISTRIBUIÇÃO</v>
          </cell>
          <cell r="I3021" t="str">
            <v>FOOD SERVICE</v>
          </cell>
          <cell r="J3021" t="str">
            <v>CLAUDIO JORGE/LUIZ</v>
          </cell>
          <cell r="K3021" t="str">
            <v>ITAMBÉ</v>
          </cell>
          <cell r="L3021" t="str">
            <v>RODRIGO</v>
          </cell>
          <cell r="M3021" t="str">
            <v>MARIA LOURDES</v>
          </cell>
        </row>
        <row r="3022">
          <cell r="B3022">
            <v>5224043</v>
          </cell>
          <cell r="C3022" t="str">
            <v>MILANO COM VAREJ DE ALIMENTOS S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MG</v>
          </cell>
          <cell r="H3022" t="str">
            <v>QSR</v>
          </cell>
          <cell r="I3022" t="str">
            <v>FOOD SERVICE</v>
          </cell>
          <cell r="J3022" t="str">
            <v>ANA MENIQUETE</v>
          </cell>
          <cell r="K3022" t="str">
            <v>ITAMBÉ</v>
          </cell>
          <cell r="L3022" t="str">
            <v>PEDRO</v>
          </cell>
          <cell r="M3022" t="str">
            <v>ANA MENIQUETE</v>
          </cell>
        </row>
        <row r="3023">
          <cell r="B3023">
            <v>5224055</v>
          </cell>
          <cell r="C3023" t="str">
            <v>BRUXELAS INDUSTRIA E COMERCIO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SP</v>
          </cell>
          <cell r="H3023" t="str">
            <v>INGREDIENTS</v>
          </cell>
          <cell r="I3023" t="str">
            <v>INGREDIENTS</v>
          </cell>
          <cell r="J3023" t="str">
            <v>HENRIQUE FERREIRA</v>
          </cell>
          <cell r="K3023" t="str">
            <v>ITAMBÉ</v>
          </cell>
          <cell r="L3023" t="str">
            <v>MAURICIO</v>
          </cell>
          <cell r="M3023" t="str">
            <v>JOEL</v>
          </cell>
        </row>
        <row r="3024">
          <cell r="B3024">
            <v>5224404</v>
          </cell>
          <cell r="C3024" t="str">
            <v>HJA DISTRIBUIDORA E ATACADISTA LTDA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MG</v>
          </cell>
          <cell r="H3024" t="str">
            <v>DISTRIBUIÇÃO</v>
          </cell>
          <cell r="I3024" t="str">
            <v>FOOD SERVICE</v>
          </cell>
          <cell r="J3024" t="str">
            <v>MARCELO SILVA</v>
          </cell>
          <cell r="K3024" t="str">
            <v>ITAMBÉ</v>
          </cell>
          <cell r="L3024" t="str">
            <v>RODRIGO</v>
          </cell>
          <cell r="M3024" t="str">
            <v>CELIO MARTINS</v>
          </cell>
        </row>
        <row r="3025">
          <cell r="B3025">
            <v>5226360</v>
          </cell>
          <cell r="C3025" t="str">
            <v>GELA GOURMET LTDA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BA</v>
          </cell>
          <cell r="H3025" t="str">
            <v>DISTRIBUIÇÃO</v>
          </cell>
          <cell r="I3025" t="str">
            <v>FOOD SERVICE</v>
          </cell>
          <cell r="J3025" t="str">
            <v>CLAUDIO JORGE/LUIZ</v>
          </cell>
          <cell r="K3025" t="str">
            <v>ITAMBÉ</v>
          </cell>
          <cell r="L3025" t="str">
            <v>RODRIGO</v>
          </cell>
          <cell r="M3025" t="str">
            <v>MARIA LOURDES</v>
          </cell>
        </row>
        <row r="3026">
          <cell r="B3026">
            <v>5226805</v>
          </cell>
          <cell r="C3026" t="str">
            <v>OESA COMERCIO E REPRESENTACOES SA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MG</v>
          </cell>
          <cell r="H3026" t="str">
            <v>DISTRIBUIÇÃO</v>
          </cell>
          <cell r="I3026" t="str">
            <v>FOOD SERVICE</v>
          </cell>
          <cell r="J3026" t="str">
            <v>CELIO/MARANATHA</v>
          </cell>
          <cell r="K3026" t="str">
            <v>ITAMBÉ</v>
          </cell>
          <cell r="L3026" t="str">
            <v>RODRIGO</v>
          </cell>
          <cell r="M3026" t="str">
            <v>CELIO MARTINS</v>
          </cell>
        </row>
        <row r="3027">
          <cell r="B3027">
            <v>5226985</v>
          </cell>
          <cell r="C3027" t="str">
            <v>DISTRIBUIDORA E IMP IRMAOS AVELINO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SP</v>
          </cell>
          <cell r="H3027" t="str">
            <v>DISTRIBUIÇÃO</v>
          </cell>
          <cell r="I3027" t="str">
            <v>FOOD SERVICE</v>
          </cell>
          <cell r="J3027" t="str">
            <v>RAQUEL BARBOSA</v>
          </cell>
          <cell r="K3027" t="str">
            <v>ITAMBÉ</v>
          </cell>
          <cell r="L3027" t="str">
            <v>RODRIGO</v>
          </cell>
          <cell r="M3027" t="str">
            <v>RAQUEL BARBOSA</v>
          </cell>
        </row>
        <row r="3028">
          <cell r="B3028">
            <v>5227283</v>
          </cell>
          <cell r="C3028" t="str">
            <v>ACAITERIA EXPRESS LTDA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MG</v>
          </cell>
          <cell r="H3028" t="str">
            <v>INGREDIENTS</v>
          </cell>
          <cell r="I3028" t="str">
            <v>INGREDIENTS</v>
          </cell>
          <cell r="J3028" t="str">
            <v>HENRIQUE FERREIRA</v>
          </cell>
          <cell r="K3028" t="str">
            <v>ITAMBÉ</v>
          </cell>
          <cell r="L3028" t="str">
            <v>MAURICIO</v>
          </cell>
          <cell r="M3028" t="str">
            <v>JOEL</v>
          </cell>
        </row>
        <row r="3029">
          <cell r="B3029">
            <v>5227605</v>
          </cell>
          <cell r="C3029" t="str">
            <v>FORTE DIST DE GENERO ALIM DES E LIM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BA</v>
          </cell>
          <cell r="H3029" t="str">
            <v>DISTRIBUIÇÃO</v>
          </cell>
          <cell r="I3029" t="str">
            <v>FOOD SERVICE</v>
          </cell>
          <cell r="J3029" t="str">
            <v>CLAUDIO JORGE/LUIZ</v>
          </cell>
          <cell r="K3029" t="str">
            <v>ITAMBÉ</v>
          </cell>
          <cell r="L3029" t="str">
            <v>RODRIGO</v>
          </cell>
          <cell r="M3029" t="str">
            <v>MARIA LOURDES</v>
          </cell>
        </row>
        <row r="3030">
          <cell r="B3030">
            <v>5228735</v>
          </cell>
          <cell r="C3030" t="str">
            <v>JETRO CA FERREIRA ME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PR</v>
          </cell>
          <cell r="H3030" t="str">
            <v>INGREDIENTS</v>
          </cell>
          <cell r="I3030" t="str">
            <v>INGREDIENTS</v>
          </cell>
          <cell r="J3030" t="str">
            <v>DUAS RODAS</v>
          </cell>
          <cell r="K3030" t="str">
            <v>ITAMBÉ</v>
          </cell>
          <cell r="L3030" t="str">
            <v>MAURICIO</v>
          </cell>
          <cell r="M3030" t="str">
            <v>MARCELO</v>
          </cell>
        </row>
        <row r="3031">
          <cell r="B3031">
            <v>5229017</v>
          </cell>
          <cell r="C3031" t="str">
            <v>O MUNDO DOS CHOCOLATES LTDA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RN</v>
          </cell>
          <cell r="H3031" t="str">
            <v>DISTRIBUIÇÃO</v>
          </cell>
          <cell r="I3031" t="str">
            <v>FOOD SERVICE</v>
          </cell>
          <cell r="J3031" t="str">
            <v>CLAUDIO JORGE</v>
          </cell>
          <cell r="K3031" t="str">
            <v>ITAMBÉ</v>
          </cell>
          <cell r="L3031" t="str">
            <v>RODRIGO</v>
          </cell>
          <cell r="M3031" t="str">
            <v>MARIA LOURDES</v>
          </cell>
        </row>
        <row r="3032">
          <cell r="B3032">
            <v>5229130</v>
          </cell>
          <cell r="C3032" t="str">
            <v>PLATLOG IMPORTACAO LOGISTICA E DIST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SP</v>
          </cell>
          <cell r="H3032" t="str">
            <v>QSR</v>
          </cell>
          <cell r="I3032" t="str">
            <v>FOOD SERVICE</v>
          </cell>
          <cell r="J3032" t="str">
            <v>ANA MENIQUETE</v>
          </cell>
          <cell r="K3032" t="str">
            <v>ITAMBÉ</v>
          </cell>
          <cell r="L3032" t="str">
            <v>PEDRO</v>
          </cell>
          <cell r="M3032" t="str">
            <v>ANA MENIQUETE</v>
          </cell>
        </row>
        <row r="3033">
          <cell r="B3033">
            <v>5229525</v>
          </cell>
          <cell r="C3033" t="str">
            <v>LEVE BOLOS CONFEITARIA LTDA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PR</v>
          </cell>
          <cell r="H3033" t="str">
            <v>DISTRIBUIÇÃO</v>
          </cell>
          <cell r="I3033" t="str">
            <v>FOOD SERVICE</v>
          </cell>
          <cell r="J3033" t="str">
            <v>ANGELICA BATISTELA</v>
          </cell>
          <cell r="K3033" t="str">
            <v>ITAMBÉ</v>
          </cell>
          <cell r="L3033" t="str">
            <v>RODRIGO</v>
          </cell>
          <cell r="M3033" t="str">
            <v>ANGELICA BATISTELA</v>
          </cell>
        </row>
        <row r="3034">
          <cell r="B3034">
            <v>5229831</v>
          </cell>
          <cell r="C3034" t="str">
            <v>BRIGADEIRO INDUSTRIA E COMERCIO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RJ</v>
          </cell>
          <cell r="H3034" t="str">
            <v>INGREDIENTS</v>
          </cell>
          <cell r="I3034" t="str">
            <v>INGREDIENTS</v>
          </cell>
          <cell r="J3034" t="str">
            <v>TATIANA NITTA</v>
          </cell>
          <cell r="K3034" t="str">
            <v>ITAMBÉ</v>
          </cell>
          <cell r="L3034" t="str">
            <v>MAURICIO</v>
          </cell>
          <cell r="M3034" t="str">
            <v>TATIANA NITTA</v>
          </cell>
        </row>
        <row r="3035">
          <cell r="B3035">
            <v>5230104</v>
          </cell>
          <cell r="C3035" t="str">
            <v>FC DISTRIBUIDORA DE CHOCOLATES LTDA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PR</v>
          </cell>
          <cell r="H3035" t="str">
            <v>DISTRIBUIÇÃO</v>
          </cell>
          <cell r="I3035" t="str">
            <v>FOOD SERVICE</v>
          </cell>
          <cell r="J3035" t="str">
            <v>ANGELICA BATISTELA</v>
          </cell>
          <cell r="K3035" t="str">
            <v>ITAMBÉ</v>
          </cell>
          <cell r="L3035" t="str">
            <v>RODRIGO</v>
          </cell>
          <cell r="M3035" t="str">
            <v>ANGELICA BATISTELA</v>
          </cell>
        </row>
        <row r="3036">
          <cell r="B3036">
            <v>5230141</v>
          </cell>
          <cell r="C3036" t="str">
            <v>DADALTO E SILVA LTDA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ES</v>
          </cell>
          <cell r="H3036" t="str">
            <v>DISTRIBUIÇÃO</v>
          </cell>
          <cell r="I3036" t="str">
            <v>FOOD SERVICE</v>
          </cell>
          <cell r="J3036" t="str">
            <v>MARCELO DUARTE</v>
          </cell>
          <cell r="K3036" t="str">
            <v>ITAMBÉ</v>
          </cell>
          <cell r="L3036" t="str">
            <v>RODRIGO</v>
          </cell>
          <cell r="M3036" t="str">
            <v>JESSICA</v>
          </cell>
        </row>
        <row r="3037">
          <cell r="B3037">
            <v>5230884</v>
          </cell>
          <cell r="C3037" t="str">
            <v>PROREGI IND COM E IMPORT LTDA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MG</v>
          </cell>
          <cell r="H3037" t="str">
            <v>INGREDIENTS</v>
          </cell>
          <cell r="I3037" t="str">
            <v>INGREDIENTS</v>
          </cell>
          <cell r="J3037" t="str">
            <v>HENRIQUE FERREIRA</v>
          </cell>
          <cell r="K3037" t="str">
            <v>ITAMBÉ</v>
          </cell>
          <cell r="L3037" t="str">
            <v>MAURICIO</v>
          </cell>
          <cell r="M3037" t="str">
            <v>JOEL</v>
          </cell>
        </row>
        <row r="3038">
          <cell r="B3038">
            <v>5232460</v>
          </cell>
          <cell r="C3038" t="str">
            <v>GELATO LUCE COMERCIO LTDA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BA</v>
          </cell>
          <cell r="H3038" t="str">
            <v>DISTRIBUIÇÃO</v>
          </cell>
          <cell r="I3038" t="str">
            <v>FOOD SERVICE</v>
          </cell>
          <cell r="J3038" t="str">
            <v>CLAUDIO JORGE/LUIZ</v>
          </cell>
          <cell r="K3038" t="str">
            <v>ITAMBÉ</v>
          </cell>
          <cell r="L3038" t="str">
            <v>RODRIGO</v>
          </cell>
          <cell r="M3038" t="str">
            <v>MARIA LOURDES</v>
          </cell>
        </row>
        <row r="3039">
          <cell r="B3039">
            <v>5260909</v>
          </cell>
          <cell r="C3039" t="str">
            <v>BASEL LACTEOS SA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MG</v>
          </cell>
          <cell r="H3039" t="str">
            <v>INGREDIENTS</v>
          </cell>
          <cell r="I3039" t="str">
            <v>INGREDIENTS</v>
          </cell>
          <cell r="J3039" t="str">
            <v>HENRIQUE FERREIRA</v>
          </cell>
          <cell r="K3039" t="str">
            <v>ITAMBÉ</v>
          </cell>
          <cell r="L3039" t="str">
            <v>MAURICIO</v>
          </cell>
          <cell r="M3039" t="str">
            <v>JOEL</v>
          </cell>
        </row>
        <row r="3040">
          <cell r="B3040">
            <v>5261089</v>
          </cell>
          <cell r="C3040" t="str">
            <v>INTERFRIOS COM FRIOS LATCINIOS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SP</v>
          </cell>
          <cell r="H3040" t="str">
            <v>DISTRIBUIÇÃO</v>
          </cell>
          <cell r="I3040" t="str">
            <v>FOOD SERVICE</v>
          </cell>
          <cell r="J3040" t="str">
            <v>GUILHERME NASCIMENTO</v>
          </cell>
          <cell r="K3040" t="str">
            <v>ITAMBÉ</v>
          </cell>
          <cell r="L3040" t="str">
            <v>RODRIGO</v>
          </cell>
          <cell r="M3040" t="str">
            <v>ALEXANDRO</v>
          </cell>
        </row>
        <row r="3041">
          <cell r="B3041">
            <v>5262254</v>
          </cell>
          <cell r="C3041" t="str">
            <v>ABIRAILTON PADUA CUNHA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SP</v>
          </cell>
          <cell r="H3041" t="str">
            <v>DISTRIBUIÇÃO</v>
          </cell>
          <cell r="I3041" t="str">
            <v>FOOD SERVICE</v>
          </cell>
          <cell r="J3041" t="str">
            <v>FLAC 5</v>
          </cell>
          <cell r="K3041" t="str">
            <v>LACTALIS</v>
          </cell>
          <cell r="L3041" t="str">
            <v>RODRIGO</v>
          </cell>
          <cell r="M3041" t="str">
            <v>RAQUEL BARBOSA</v>
          </cell>
        </row>
        <row r="3042">
          <cell r="B3042">
            <v>5279458</v>
          </cell>
          <cell r="C3042" t="str">
            <v>LIGHTSWEET IND E COM DE ALIMENT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PR</v>
          </cell>
          <cell r="H3042" t="str">
            <v>INGREDIENTS</v>
          </cell>
          <cell r="I3042" t="str">
            <v>INGREDIENTS</v>
          </cell>
          <cell r="J3042" t="str">
            <v>MARCELO RODRIGUES</v>
          </cell>
          <cell r="K3042" t="str">
            <v>ITAMBÉ</v>
          </cell>
          <cell r="L3042" t="str">
            <v>MAURICIO</v>
          </cell>
          <cell r="M3042" t="str">
            <v>MARCELO</v>
          </cell>
        </row>
        <row r="3043">
          <cell r="B3043">
            <v>5296689</v>
          </cell>
          <cell r="C3043" t="str">
            <v>SL RESTAURANTE COM DE ALIM LTDA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SP</v>
          </cell>
          <cell r="H3043" t="str">
            <v>DISTRIBUIÇÃO</v>
          </cell>
          <cell r="I3043" t="str">
            <v>FOOD SERVICE</v>
          </cell>
          <cell r="J3043" t="str">
            <v>FLAC 3</v>
          </cell>
          <cell r="K3043" t="str">
            <v>LACTALIS</v>
          </cell>
          <cell r="L3043" t="str">
            <v>RODRIGO</v>
          </cell>
          <cell r="M3043" t="str">
            <v>RAQUEL BARBOSA</v>
          </cell>
        </row>
        <row r="3044">
          <cell r="B3044">
            <v>5302744</v>
          </cell>
          <cell r="C3044" t="str">
            <v>HCN COMERCIO DE PRODUTOS PARA C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SP</v>
          </cell>
          <cell r="H3044" t="str">
            <v>DISTRIBUIÇÃO</v>
          </cell>
          <cell r="I3044" t="str">
            <v>FOOD SERVICE</v>
          </cell>
          <cell r="J3044" t="str">
            <v>SP ITB FS FLAC REP.E COMERCIO</v>
          </cell>
          <cell r="K3044" t="str">
            <v>ITAMBÉ</v>
          </cell>
          <cell r="L3044" t="str">
            <v>RODRIGO</v>
          </cell>
          <cell r="M3044" t="str">
            <v>RAQUEL BARBOSA</v>
          </cell>
        </row>
        <row r="3045">
          <cell r="B3045">
            <v>5308411</v>
          </cell>
          <cell r="C3045" t="str">
            <v>ORGANIZACOES BRAZALMEIDA COMERCIO D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MG</v>
          </cell>
          <cell r="H3045" t="str">
            <v>DISTRIBUIÇÃO</v>
          </cell>
          <cell r="I3045" t="str">
            <v>FOOD SERVICE</v>
          </cell>
          <cell r="J3045" t="str">
            <v>CELIO MARTINS</v>
          </cell>
          <cell r="K3045" t="str">
            <v>ITAMBÉ</v>
          </cell>
          <cell r="L3045" t="str">
            <v>RODRIGO</v>
          </cell>
          <cell r="M3045" t="str">
            <v>CELIO MARTINS</v>
          </cell>
        </row>
        <row r="3046">
          <cell r="B3046">
            <v>5310560</v>
          </cell>
          <cell r="C3046" t="str">
            <v>ARTPAN COMERCIO DE ALIMENTOS LTDA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MS</v>
          </cell>
          <cell r="H3046" t="str">
            <v>DISTRIBUIÇÃO</v>
          </cell>
          <cell r="I3046" t="str">
            <v>FOOD SERVICE</v>
          </cell>
          <cell r="J3046" t="str">
            <v>MARCO AURELIO</v>
          </cell>
          <cell r="K3046" t="str">
            <v>ITAMBÉ</v>
          </cell>
          <cell r="L3046" t="str">
            <v>RODRIGO</v>
          </cell>
          <cell r="M3046" t="str">
            <v>MARCO AURELIO</v>
          </cell>
        </row>
        <row r="3047">
          <cell r="B3047">
            <v>5313336</v>
          </cell>
          <cell r="C3047" t="str">
            <v>M C COMERCIO DE DOCES E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AM</v>
          </cell>
          <cell r="H3047" t="str">
            <v>INGREDIENTS</v>
          </cell>
          <cell r="I3047" t="str">
            <v>INGREDIENTS</v>
          </cell>
          <cell r="J3047" t="str">
            <v>AM ITB FS I DA SILVA SANTOS</v>
          </cell>
          <cell r="K3047" t="str">
            <v>ITAMBÉ</v>
          </cell>
          <cell r="L3047" t="str">
            <v>MAURICIO</v>
          </cell>
          <cell r="M3047" t="str">
            <v>JOEL</v>
          </cell>
        </row>
        <row r="3048">
          <cell r="B3048">
            <v>5313456</v>
          </cell>
          <cell r="C3048" t="str">
            <v>PORTEFRIO DISTRIBUIDORA DE GENEROS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RJ</v>
          </cell>
          <cell r="H3048" t="str">
            <v>DISTRIBUIÇÃO</v>
          </cell>
          <cell r="I3048" t="str">
            <v>FOOD SERVICE</v>
          </cell>
          <cell r="J3048" t="str">
            <v>JULIANA CORDEIRO</v>
          </cell>
          <cell r="K3048" t="str">
            <v>ITAMBÉ</v>
          </cell>
          <cell r="L3048" t="str">
            <v>RODRIGO</v>
          </cell>
          <cell r="M3048" t="str">
            <v>JESSICA</v>
          </cell>
        </row>
        <row r="3049">
          <cell r="B3049">
            <v>5314195</v>
          </cell>
          <cell r="C3049" t="str">
            <v>PANIFICADORA E CONFEITARIA SANTELMO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SC</v>
          </cell>
          <cell r="H3049" t="str">
            <v>DISTRIBUIÇÃO</v>
          </cell>
          <cell r="I3049" t="str">
            <v>FOOD SERVICE</v>
          </cell>
          <cell r="J3049" t="str">
            <v>ANGELICA BATISTELA</v>
          </cell>
          <cell r="K3049" t="str">
            <v>ITAMBÉ</v>
          </cell>
          <cell r="L3049" t="str">
            <v>RODRIGO</v>
          </cell>
          <cell r="M3049" t="str">
            <v>ANGELICA BATISTELA</v>
          </cell>
        </row>
        <row r="3050">
          <cell r="B3050">
            <v>5316223</v>
          </cell>
          <cell r="C3050" t="str">
            <v>DM MERCADO LTDA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SP</v>
          </cell>
          <cell r="H3050" t="str">
            <v>DISTRIBUIÇÃO</v>
          </cell>
          <cell r="I3050" t="str">
            <v>FOOD SERVICE</v>
          </cell>
          <cell r="J3050" t="str">
            <v>SP ITB FS FLAC REP.E COMERCIO</v>
          </cell>
          <cell r="K3050" t="str">
            <v>ITAMBÉ</v>
          </cell>
          <cell r="L3050" t="str">
            <v>RODRIGO</v>
          </cell>
          <cell r="M3050" t="str">
            <v>RAQUEL BARBOSA</v>
          </cell>
        </row>
        <row r="3051">
          <cell r="B3051">
            <v>5318875</v>
          </cell>
          <cell r="C3051" t="str">
            <v>OESA COMERCIO E REPRESENTACOES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MG</v>
          </cell>
          <cell r="H3051" t="str">
            <v>DISTRIBUIÇÃO</v>
          </cell>
          <cell r="I3051" t="str">
            <v>FOOD SERVICE</v>
          </cell>
          <cell r="J3051" t="str">
            <v>CELIO/MARANATHA</v>
          </cell>
          <cell r="K3051" t="str">
            <v>ITAMBÉ</v>
          </cell>
          <cell r="L3051" t="str">
            <v>RODRIGO</v>
          </cell>
          <cell r="M3051" t="str">
            <v>CELIO MARTINS</v>
          </cell>
        </row>
        <row r="3052">
          <cell r="B3052">
            <v>5321782</v>
          </cell>
          <cell r="C3052" t="str">
            <v>CENTER COMERCIO DE EMBALAGENS L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PR</v>
          </cell>
          <cell r="H3052" t="str">
            <v>DISTRIBUIÇÃO</v>
          </cell>
          <cell r="I3052" t="str">
            <v>FOOD SERVICE</v>
          </cell>
          <cell r="J3052" t="str">
            <v>ANGELICA BATISTELA</v>
          </cell>
          <cell r="K3052" t="str">
            <v>ITAMBÉ</v>
          </cell>
          <cell r="L3052" t="str">
            <v>RODRIGO</v>
          </cell>
          <cell r="M3052" t="str">
            <v>ANGELICA BATISTELA</v>
          </cell>
        </row>
        <row r="3053">
          <cell r="B3053">
            <v>5324461</v>
          </cell>
          <cell r="C3053" t="str">
            <v>RODOLUKI COMERCIO LOGISTICA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SP</v>
          </cell>
          <cell r="H3053" t="str">
            <v>QSR</v>
          </cell>
          <cell r="I3053" t="str">
            <v>FOOD SERVICE</v>
          </cell>
          <cell r="J3053" t="str">
            <v>ANA MENIQUETE</v>
          </cell>
          <cell r="K3053" t="str">
            <v>ITAMBÉ</v>
          </cell>
          <cell r="L3053" t="str">
            <v>PEDRO</v>
          </cell>
          <cell r="M3053" t="str">
            <v>ANA MENIQUETE</v>
          </cell>
        </row>
        <row r="3054">
          <cell r="B3054">
            <v>5335146</v>
          </cell>
          <cell r="C3054" t="str">
            <v>BERRY S INDUSTRIA DE SORVETES L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MG</v>
          </cell>
          <cell r="H3054" t="str">
            <v>INGREDIENTS</v>
          </cell>
          <cell r="I3054" t="str">
            <v>INGREDIENTS</v>
          </cell>
          <cell r="J3054" t="str">
            <v>HENRIQUE FERREIRA</v>
          </cell>
          <cell r="K3054" t="str">
            <v>ITAMBÉ</v>
          </cell>
          <cell r="L3054" t="str">
            <v>MAURICIO</v>
          </cell>
          <cell r="M3054" t="str">
            <v>JOEL</v>
          </cell>
        </row>
        <row r="3055">
          <cell r="B3055">
            <v>5335635</v>
          </cell>
          <cell r="C3055" t="str">
            <v>SUSANA SALES SIQUEIRA 159179698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BA</v>
          </cell>
          <cell r="H3055" t="str">
            <v>INGREDIENTS</v>
          </cell>
          <cell r="I3055" t="str">
            <v>INGREDIENTS</v>
          </cell>
          <cell r="J3055" t="str">
            <v>BA ITB FS ML FLAVORS</v>
          </cell>
          <cell r="K3055" t="str">
            <v>ITAMBÉ</v>
          </cell>
          <cell r="L3055" t="str">
            <v>MAURICIO</v>
          </cell>
          <cell r="M3055" t="str">
            <v>JOEL</v>
          </cell>
        </row>
        <row r="3056">
          <cell r="B3056">
            <v>5338420</v>
          </cell>
          <cell r="C3056" t="str">
            <v>ERLAN SA EM RECUPERACAO JUDICIA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MG</v>
          </cell>
          <cell r="H3056" t="str">
            <v>INGREDIENTS</v>
          </cell>
          <cell r="I3056" t="str">
            <v>INGREDIENTS</v>
          </cell>
          <cell r="J3056" t="str">
            <v>HENRIQUE FERREIRA</v>
          </cell>
          <cell r="K3056" t="str">
            <v>ITAMBÉ</v>
          </cell>
          <cell r="L3056" t="str">
            <v>MAURICIO</v>
          </cell>
          <cell r="M3056" t="str">
            <v>JOEL</v>
          </cell>
        </row>
        <row r="3057">
          <cell r="B3057">
            <v>5340677</v>
          </cell>
          <cell r="C3057" t="str">
            <v>M SANTOS IANSEN SORVETERIA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PR</v>
          </cell>
          <cell r="H3057" t="str">
            <v>INGREDIENTS</v>
          </cell>
          <cell r="I3057" t="str">
            <v>INGREDIENTS</v>
          </cell>
          <cell r="J3057" t="str">
            <v>TATIANA NITTA</v>
          </cell>
          <cell r="K3057" t="str">
            <v>ITAMBÉ</v>
          </cell>
          <cell r="L3057" t="str">
            <v>MAURICIO</v>
          </cell>
          <cell r="M3057" t="str">
            <v>TATIANA NITTA</v>
          </cell>
        </row>
        <row r="3058">
          <cell r="B3058">
            <v>5341225</v>
          </cell>
          <cell r="C3058" t="str">
            <v>CAPODIFOGLIO E CIA LTDA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SP</v>
          </cell>
          <cell r="H3058" t="str">
            <v>INGREDIENTS</v>
          </cell>
          <cell r="I3058" t="str">
            <v>INGREDIENTS</v>
          </cell>
          <cell r="J3058" t="str">
            <v>TATIANA NITTA</v>
          </cell>
          <cell r="K3058" t="str">
            <v>ITAMBÉ</v>
          </cell>
          <cell r="L3058" t="str">
            <v>MAURICIO</v>
          </cell>
          <cell r="M3058" t="str">
            <v>TATIANA NITTA</v>
          </cell>
        </row>
        <row r="3059">
          <cell r="B3059">
            <v>5346808</v>
          </cell>
          <cell r="C3059" t="str">
            <v>AZ ALIMENTOS SAUDAVEIS LTDA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PR</v>
          </cell>
          <cell r="H3059" t="str">
            <v>DISTRIBUIÇÃO</v>
          </cell>
          <cell r="I3059" t="str">
            <v>FOOD SERVICE</v>
          </cell>
          <cell r="J3059" t="str">
            <v>ANGELICA BATISTELA</v>
          </cell>
          <cell r="K3059" t="str">
            <v>ITAMBÉ</v>
          </cell>
          <cell r="L3059" t="str">
            <v>RODRIGO</v>
          </cell>
          <cell r="M3059" t="str">
            <v>ANGELICA BATISTELA</v>
          </cell>
        </row>
        <row r="3060">
          <cell r="B3060">
            <v>5347144</v>
          </cell>
          <cell r="C3060" t="str">
            <v>MBF IND E COM DE ALIMENTOS LTDA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SP</v>
          </cell>
          <cell r="H3060" t="str">
            <v>INGREDIENTS</v>
          </cell>
          <cell r="I3060" t="str">
            <v>INGREDIENTS</v>
          </cell>
          <cell r="J3060" t="str">
            <v>TATIANA NITTA</v>
          </cell>
          <cell r="K3060" t="str">
            <v>ITAMBÉ</v>
          </cell>
          <cell r="L3060" t="str">
            <v>MAURICIO</v>
          </cell>
          <cell r="M3060" t="str">
            <v>TATIANA NITTA</v>
          </cell>
        </row>
        <row r="3061">
          <cell r="B3061">
            <v>5348271</v>
          </cell>
          <cell r="C3061" t="str">
            <v>CENTRAL MIX LTDA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MG</v>
          </cell>
          <cell r="H3061" t="str">
            <v>DISTRIBUIÇÃO</v>
          </cell>
          <cell r="I3061" t="str">
            <v>FOOD SERVICE</v>
          </cell>
          <cell r="J3061" t="str">
            <v>MARCELO SILVA</v>
          </cell>
          <cell r="K3061" t="str">
            <v>ITAMBÉ</v>
          </cell>
          <cell r="L3061" t="str">
            <v>RODRIGO</v>
          </cell>
          <cell r="M3061" t="str">
            <v>CELIO MARTINS</v>
          </cell>
        </row>
        <row r="3062">
          <cell r="B3062">
            <v>5348916</v>
          </cell>
          <cell r="C3062" t="str">
            <v>TOTAL CREAM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SP</v>
          </cell>
          <cell r="H3062" t="str">
            <v>INGREDIENTS</v>
          </cell>
          <cell r="I3062" t="str">
            <v>INGREDIENTS</v>
          </cell>
          <cell r="J3062" t="str">
            <v>SP ITB FS LUIZ PEREIRA</v>
          </cell>
          <cell r="K3062" t="str">
            <v>ITAMBÉ</v>
          </cell>
          <cell r="L3062" t="str">
            <v>MAURICIO</v>
          </cell>
          <cell r="M3062" t="str">
            <v>TATIANA NITTA</v>
          </cell>
        </row>
        <row r="3063">
          <cell r="B3063">
            <v>5349287</v>
          </cell>
          <cell r="C3063" t="str">
            <v>IDEAL CESTAS DE ALIMENTOS LTDA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MG</v>
          </cell>
          <cell r="H3063" t="str">
            <v>DISTRIBUIÇÃO</v>
          </cell>
          <cell r="I3063" t="str">
            <v>FOOD SERVICE</v>
          </cell>
          <cell r="J3063" t="str">
            <v>CELIO MARTINS</v>
          </cell>
          <cell r="K3063" t="str">
            <v>ITAMBÉ</v>
          </cell>
          <cell r="L3063" t="str">
            <v>RODRIGO</v>
          </cell>
          <cell r="M3063" t="str">
            <v>CELIO MARTINS</v>
          </cell>
        </row>
        <row r="3064">
          <cell r="B3064">
            <v>5349403</v>
          </cell>
          <cell r="C3064" t="str">
            <v>PARADELA DIST DE ALIMENTOS LTDA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RJ</v>
          </cell>
          <cell r="H3064" t="str">
            <v>DISTRIBUIÇÃO</v>
          </cell>
          <cell r="I3064" t="str">
            <v>FOOD SERVICE</v>
          </cell>
          <cell r="J3064" t="str">
            <v>JULIANA CORDEIRO</v>
          </cell>
          <cell r="K3064" t="str">
            <v>ITAMBÉ</v>
          </cell>
          <cell r="L3064" t="str">
            <v>RODRIGO</v>
          </cell>
          <cell r="M3064" t="str">
            <v>JESSICA</v>
          </cell>
        </row>
        <row r="3065">
          <cell r="B3065">
            <v>5349486</v>
          </cell>
          <cell r="C3065" t="str">
            <v>CAPITAL DAS CESTAS LTDA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MG</v>
          </cell>
          <cell r="H3065" t="str">
            <v>DISTRIBUIÇÃO</v>
          </cell>
          <cell r="I3065" t="str">
            <v>FOOD SERVICE</v>
          </cell>
          <cell r="J3065" t="str">
            <v>CELIO MARTINS</v>
          </cell>
          <cell r="K3065" t="str">
            <v>ITAMBÉ</v>
          </cell>
          <cell r="L3065" t="str">
            <v>RODRIGO</v>
          </cell>
          <cell r="M3065" t="str">
            <v>CELIO MARTINS</v>
          </cell>
        </row>
        <row r="3066">
          <cell r="B3066">
            <v>5350810</v>
          </cell>
          <cell r="C3066" t="str">
            <v>COMERCIO DE ALIM NOVA PITOKO LT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RJ</v>
          </cell>
          <cell r="H3066" t="str">
            <v>DISTRIBUIÇÃO</v>
          </cell>
          <cell r="I3066" t="str">
            <v>FOOD SERVICE</v>
          </cell>
          <cell r="J3066" t="str">
            <v>JULIANA CORDEIRO</v>
          </cell>
          <cell r="K3066" t="str">
            <v>ITAMBÉ</v>
          </cell>
          <cell r="L3066" t="str">
            <v>RODRIGO</v>
          </cell>
          <cell r="M3066" t="str">
            <v>JESSICA</v>
          </cell>
        </row>
        <row r="3067">
          <cell r="B3067">
            <v>5351400</v>
          </cell>
          <cell r="C3067" t="str">
            <v>HARALD IND E COM DE ALIMENTOS L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SP</v>
          </cell>
          <cell r="H3067" t="str">
            <v>INGREDIENTS</v>
          </cell>
          <cell r="I3067" t="str">
            <v>INGREDIENTS</v>
          </cell>
          <cell r="J3067" t="str">
            <v>TATIANA NITTA</v>
          </cell>
          <cell r="K3067" t="str">
            <v>ITAMBÉ</v>
          </cell>
          <cell r="L3067" t="str">
            <v>MAURICIO</v>
          </cell>
          <cell r="M3067" t="str">
            <v>TATIANA NITTA</v>
          </cell>
        </row>
        <row r="3068">
          <cell r="B3068">
            <v>5351706</v>
          </cell>
          <cell r="C3068" t="str">
            <v>BPM IND E COM DE ALIMENTOS S A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SP</v>
          </cell>
          <cell r="H3068" t="str">
            <v>INGREDIENTS</v>
          </cell>
          <cell r="I3068" t="str">
            <v>INGREDIENTS</v>
          </cell>
          <cell r="J3068" t="str">
            <v>MARCELO RODRIGUES</v>
          </cell>
          <cell r="K3068" t="str">
            <v>ITAMBÉ</v>
          </cell>
          <cell r="L3068" t="str">
            <v>MAURICIO</v>
          </cell>
          <cell r="M3068" t="str">
            <v>MARCELO</v>
          </cell>
        </row>
        <row r="3069">
          <cell r="B3069">
            <v>5352967</v>
          </cell>
          <cell r="C3069" t="str">
            <v>RESTAURANTE DONA LUCINHA LTDA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SP</v>
          </cell>
          <cell r="H3069" t="str">
            <v>DISTRIBUIÇÃO</v>
          </cell>
          <cell r="I3069" t="str">
            <v>FOOD SERVICE</v>
          </cell>
          <cell r="J3069" t="str">
            <v>FLAC 5</v>
          </cell>
          <cell r="K3069" t="str">
            <v>LACTALIS</v>
          </cell>
          <cell r="L3069" t="str">
            <v>RODRIGO</v>
          </cell>
          <cell r="M3069" t="str">
            <v>RAQUEL BARBOSA</v>
          </cell>
        </row>
        <row r="3070">
          <cell r="B3070">
            <v>5353215</v>
          </cell>
          <cell r="C3070" t="str">
            <v>SORVET E LANCH SABOR E ARTE LTD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MG</v>
          </cell>
          <cell r="H3070" t="str">
            <v>INGREDIENTS</v>
          </cell>
          <cell r="I3070" t="str">
            <v>INGREDIENTS</v>
          </cell>
          <cell r="J3070" t="str">
            <v>HENRIQUE FERREIRA</v>
          </cell>
          <cell r="K3070" t="str">
            <v>ITAMBÉ</v>
          </cell>
          <cell r="L3070" t="str">
            <v>MAURICIO</v>
          </cell>
          <cell r="M3070" t="str">
            <v>JOEL</v>
          </cell>
        </row>
        <row r="3071">
          <cell r="B3071">
            <v>5353685</v>
          </cell>
          <cell r="C3071" t="str">
            <v>GANTE COMERCIO DE DOCES LTDA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SP</v>
          </cell>
          <cell r="H3071" t="str">
            <v>INGREDIENTS</v>
          </cell>
          <cell r="I3071" t="str">
            <v>INGREDIENTS</v>
          </cell>
          <cell r="J3071" t="str">
            <v>HENRIQUE FERREIRA</v>
          </cell>
          <cell r="K3071" t="str">
            <v>ITAMBÉ</v>
          </cell>
          <cell r="L3071" t="str">
            <v>MAURICIO</v>
          </cell>
          <cell r="M3071" t="str">
            <v>JOEL</v>
          </cell>
        </row>
        <row r="3072">
          <cell r="B3072">
            <v>5353844</v>
          </cell>
          <cell r="C3072" t="str">
            <v>FEITO CHOCOLATE LTDA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PR</v>
          </cell>
          <cell r="H3072" t="str">
            <v>DISTRIBUIÇÃO</v>
          </cell>
          <cell r="I3072" t="str">
            <v>FOOD SERVICE</v>
          </cell>
          <cell r="J3072" t="str">
            <v>ANGELICA BATISTELA</v>
          </cell>
          <cell r="K3072" t="str">
            <v>ITAMBÉ</v>
          </cell>
          <cell r="L3072" t="str">
            <v>RODRIGO</v>
          </cell>
          <cell r="M3072" t="str">
            <v>ANGELICA BATISTELA</v>
          </cell>
        </row>
        <row r="3073">
          <cell r="B3073">
            <v>5355986</v>
          </cell>
          <cell r="C3073" t="str">
            <v>FUNCHAL IND E COM DE PAPEIS LTD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SP</v>
          </cell>
          <cell r="H3073" t="str">
            <v>DISTRIBUIÇÃO</v>
          </cell>
          <cell r="I3073" t="str">
            <v>FOOD SERVICE</v>
          </cell>
          <cell r="J3073" t="str">
            <v>VAGO SP</v>
          </cell>
          <cell r="K3073" t="str">
            <v>ITAMBÉ</v>
          </cell>
          <cell r="L3073" t="str">
            <v>RODRIGO</v>
          </cell>
          <cell r="M3073" t="str">
            <v>RAQUEL BARBOSA</v>
          </cell>
        </row>
        <row r="3074">
          <cell r="B3074">
            <v>5363625</v>
          </cell>
          <cell r="C3074" t="str">
            <v>WEPROTEIN COMERCIO LTDA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SP</v>
          </cell>
          <cell r="H3074" t="str">
            <v>QSR</v>
          </cell>
          <cell r="I3074" t="str">
            <v>FOOD SERVICE</v>
          </cell>
          <cell r="J3074" t="str">
            <v>VAGO QSR</v>
          </cell>
          <cell r="K3074" t="str">
            <v>LACTALIS</v>
          </cell>
          <cell r="L3074" t="str">
            <v>PEDRO</v>
          </cell>
          <cell r="M3074" t="str">
            <v>VAGO QSR</v>
          </cell>
        </row>
        <row r="3075">
          <cell r="B3075">
            <v>5261001</v>
          </cell>
          <cell r="C3075" t="str">
            <v>DONA CARMELA RESTAURANTE</v>
          </cell>
          <cell r="D3075" t="str">
            <v>7001</v>
          </cell>
          <cell r="E3075" t="str">
            <v>0749</v>
          </cell>
          <cell r="F3075" t="str">
            <v>C5</v>
          </cell>
          <cell r="G3075" t="str">
            <v>SP</v>
          </cell>
          <cell r="H3075" t="str">
            <v>DISTRIBUIÇÃO</v>
          </cell>
          <cell r="I3075" t="str">
            <v>FOOD SERVICE</v>
          </cell>
          <cell r="J3075" t="str">
            <v>FLAC 5</v>
          </cell>
          <cell r="K3075" t="str">
            <v>LACTALIS</v>
          </cell>
          <cell r="L3075" t="str">
            <v>RODRIGO</v>
          </cell>
          <cell r="M3075" t="str">
            <v>RAQUEL BARBOSA</v>
          </cell>
        </row>
        <row r="3076">
          <cell r="B3076">
            <v>5335946</v>
          </cell>
          <cell r="C3076" t="str">
            <v>MW EDITORA E ILUSTRACOES LTDA</v>
          </cell>
          <cell r="D3076" t="str">
            <v>7001</v>
          </cell>
          <cell r="E3076" t="str">
            <v>0749</v>
          </cell>
          <cell r="F3076" t="str">
            <v>C5</v>
          </cell>
          <cell r="G3076" t="str">
            <v>SP</v>
          </cell>
          <cell r="H3076" t="str">
            <v>DISTRIBUIÇÃO</v>
          </cell>
          <cell r="I3076" t="str">
            <v>FOOD SERVICE</v>
          </cell>
          <cell r="J3076" t="str">
            <v>FLAC 2</v>
          </cell>
          <cell r="K3076" t="str">
            <v>LACTALIS</v>
          </cell>
          <cell r="L3076" t="str">
            <v>RODRIGO</v>
          </cell>
          <cell r="M3076" t="str">
            <v>RAQUEL BARBOSA</v>
          </cell>
        </row>
        <row r="3077">
          <cell r="B3077">
            <v>5339004</v>
          </cell>
          <cell r="C3077" t="str">
            <v>P S DISTRIBUIDORA LTDA</v>
          </cell>
          <cell r="D3077" t="str">
            <v>4001</v>
          </cell>
          <cell r="E3077" t="str">
            <v>0455</v>
          </cell>
          <cell r="F3077" t="str">
            <v>C1</v>
          </cell>
          <cell r="G3077" t="str">
            <v>PR</v>
          </cell>
          <cell r="H3077" t="str">
            <v>INGREDIENTS</v>
          </cell>
          <cell r="I3077" t="str">
            <v>INGREDIENTS</v>
          </cell>
          <cell r="J3077" t="str">
            <v>MARCELO RODRIGUES</v>
          </cell>
          <cell r="K3077" t="str">
            <v>LACTALIS</v>
          </cell>
          <cell r="L3077" t="str">
            <v>MAURICIO</v>
          </cell>
          <cell r="M3077" t="str">
            <v>MARCELO</v>
          </cell>
        </row>
        <row r="3078">
          <cell r="B3078">
            <v>5356134</v>
          </cell>
          <cell r="C3078" t="str">
            <v>56165588 TAL ADRU DE OLIVEIRA</v>
          </cell>
          <cell r="D3078" t="str">
            <v>7001</v>
          </cell>
          <cell r="E3078" t="str">
            <v>0749</v>
          </cell>
          <cell r="F3078" t="str">
            <v>C5</v>
          </cell>
          <cell r="G3078" t="str">
            <v>SP</v>
          </cell>
          <cell r="H3078" t="str">
            <v>DISTRIBUIÇÃO</v>
          </cell>
          <cell r="I3078" t="str">
            <v>FOOD SERVICE</v>
          </cell>
          <cell r="J3078" t="str">
            <v>FLAC 7</v>
          </cell>
          <cell r="K3078" t="str">
            <v>LACTALIS</v>
          </cell>
          <cell r="L3078" t="str">
            <v>RODRIGO</v>
          </cell>
          <cell r="M3078" t="str">
            <v>RAQUEL BARBOSA</v>
          </cell>
        </row>
        <row r="3079">
          <cell r="B3079">
            <v>5361702</v>
          </cell>
          <cell r="C3079" t="str">
            <v>ENRICO V M SUMMO PADARIA ARTESA</v>
          </cell>
          <cell r="D3079" t="str">
            <v>7001</v>
          </cell>
          <cell r="E3079" t="str">
            <v>0749</v>
          </cell>
          <cell r="F3079" t="str">
            <v>C5</v>
          </cell>
          <cell r="G3079" t="str">
            <v>SP</v>
          </cell>
          <cell r="H3079" t="str">
            <v>DISTRIBUIÇÃO</v>
          </cell>
          <cell r="I3079" t="str">
            <v>FOOD SERVICE</v>
          </cell>
          <cell r="J3079" t="str">
            <v>FLAC 3</v>
          </cell>
          <cell r="K3079" t="str">
            <v>LACTALIS</v>
          </cell>
          <cell r="L3079" t="str">
            <v>RODRIGO</v>
          </cell>
          <cell r="M3079" t="str">
            <v>RAQUEL BARBOSA</v>
          </cell>
        </row>
        <row r="3080">
          <cell r="B3080">
            <v>5233833</v>
          </cell>
          <cell r="C3080" t="str">
            <v>CBAF COMERCIO DE ALIMENTOS LTDA</v>
          </cell>
          <cell r="D3080" t="str">
            <v>6001</v>
          </cell>
          <cell r="E3080" t="str">
            <v>6125</v>
          </cell>
          <cell r="F3080" t="str">
            <v>C1</v>
          </cell>
          <cell r="G3080" t="str">
            <v>SP</v>
          </cell>
          <cell r="H3080" t="str">
            <v>QSR</v>
          </cell>
          <cell r="I3080" t="str">
            <v>FOOD SERVICE</v>
          </cell>
          <cell r="J3080" t="str">
            <v>VAGO QSR</v>
          </cell>
          <cell r="K3080" t="str">
            <v>ITAMBÉ</v>
          </cell>
          <cell r="L3080" t="str">
            <v>PEDRO</v>
          </cell>
          <cell r="M3080" t="str">
            <v>VAGO QSR</v>
          </cell>
        </row>
        <row r="3081">
          <cell r="B3081">
            <v>5332394</v>
          </cell>
          <cell r="C3081" t="str">
            <v>CB RECIFE RESTAURANTE E ALIMENT</v>
          </cell>
          <cell r="D3081" t="str">
            <v>3001</v>
          </cell>
          <cell r="E3081" t="str">
            <v>0127</v>
          </cell>
          <cell r="F3081" t="str">
            <v>C1</v>
          </cell>
          <cell r="G3081" t="str">
            <v>PE</v>
          </cell>
          <cell r="H3081" t="str">
            <v>QSR</v>
          </cell>
          <cell r="I3081" t="str">
            <v>FOOD SERVICE</v>
          </cell>
          <cell r="J3081" t="str">
            <v>VAGO QSR</v>
          </cell>
          <cell r="K3081" t="str">
            <v>ITAMBÉ</v>
          </cell>
          <cell r="L3081" t="str">
            <v>PEDRO</v>
          </cell>
          <cell r="M3081" t="str">
            <v>VAGO QSR</v>
          </cell>
        </row>
        <row r="3082">
          <cell r="B3082">
            <v>5350697</v>
          </cell>
          <cell r="C3082" t="str">
            <v>CB MARKET PLACE COM DE ALI LTDA</v>
          </cell>
          <cell r="D3082" t="str">
            <v>6001</v>
          </cell>
          <cell r="E3082" t="str">
            <v>6125</v>
          </cell>
          <cell r="F3082" t="str">
            <v>C1</v>
          </cell>
          <cell r="G3082" t="str">
            <v>SP</v>
          </cell>
          <cell r="H3082" t="str">
            <v>QSR</v>
          </cell>
          <cell r="I3082" t="str">
            <v>FOOD SERVICE</v>
          </cell>
          <cell r="J3082" t="str">
            <v>VAGO QSR</v>
          </cell>
          <cell r="K3082" t="str">
            <v>ITAMBÉ</v>
          </cell>
          <cell r="L3082" t="str">
            <v>PEDRO</v>
          </cell>
          <cell r="M3082" t="str">
            <v>VAGO QSR</v>
          </cell>
        </row>
        <row r="3083">
          <cell r="B3083">
            <v>5350701</v>
          </cell>
          <cell r="C3083" t="str">
            <v>CB SANTO ANDRE COMERCIO DE ALIM</v>
          </cell>
          <cell r="D3083" t="str">
            <v>6001</v>
          </cell>
          <cell r="E3083" t="str">
            <v>6125</v>
          </cell>
          <cell r="F3083" t="str">
            <v>C1</v>
          </cell>
          <cell r="G3083" t="str">
            <v>SP</v>
          </cell>
          <cell r="H3083" t="str">
            <v>QSR</v>
          </cell>
          <cell r="I3083" t="str">
            <v>FOOD SERVICE</v>
          </cell>
          <cell r="J3083" t="str">
            <v>VAGO QSR</v>
          </cell>
          <cell r="K3083" t="str">
            <v>ITAMBÉ</v>
          </cell>
          <cell r="L3083" t="str">
            <v>PEDRO</v>
          </cell>
          <cell r="M3083" t="str">
            <v>VAGO QSR</v>
          </cell>
        </row>
        <row r="3084">
          <cell r="B3084">
            <v>5350702</v>
          </cell>
          <cell r="C3084" t="str">
            <v>CB SAO JOSE DO RIO PRETO COM DE</v>
          </cell>
          <cell r="D3084" t="str">
            <v>6001</v>
          </cell>
          <cell r="E3084" t="str">
            <v>6125</v>
          </cell>
          <cell r="F3084" t="str">
            <v>C1</v>
          </cell>
          <cell r="G3084" t="str">
            <v>SP</v>
          </cell>
          <cell r="H3084" t="str">
            <v>QSR</v>
          </cell>
          <cell r="I3084" t="str">
            <v>FOOD SERVICE</v>
          </cell>
          <cell r="J3084" t="str">
            <v>VAGO QSR</v>
          </cell>
          <cell r="K3084" t="str">
            <v>ITAMBÉ</v>
          </cell>
          <cell r="L3084" t="str">
            <v>PEDRO</v>
          </cell>
          <cell r="M3084" t="str">
            <v>VAGO QSR</v>
          </cell>
        </row>
        <row r="3085">
          <cell r="B3085">
            <v>5350705</v>
          </cell>
          <cell r="C3085" t="str">
            <v>CB SP MARKET COMERCIO DE ALIMEN</v>
          </cell>
          <cell r="D3085" t="str">
            <v>6001</v>
          </cell>
          <cell r="E3085" t="str">
            <v>6125</v>
          </cell>
          <cell r="F3085" t="str">
            <v>C1</v>
          </cell>
          <cell r="G3085" t="str">
            <v>SP</v>
          </cell>
          <cell r="H3085" t="str">
            <v>QSR</v>
          </cell>
          <cell r="I3085" t="str">
            <v>FOOD SERVICE</v>
          </cell>
          <cell r="J3085" t="str">
            <v>VAGO QSR</v>
          </cell>
          <cell r="K3085" t="str">
            <v>ITAMBÉ</v>
          </cell>
          <cell r="L3085" t="str">
            <v>PEDRO</v>
          </cell>
          <cell r="M3085" t="str">
            <v>VAGO QSR</v>
          </cell>
        </row>
        <row r="3086">
          <cell r="B3086">
            <v>5351708</v>
          </cell>
          <cell r="C3086" t="str">
            <v>CB RIO NORTE SHOP COM DE ALI LT</v>
          </cell>
          <cell r="D3086" t="str">
            <v>6001</v>
          </cell>
          <cell r="E3086" t="str">
            <v>6169</v>
          </cell>
          <cell r="F3086" t="str">
            <v>C1</v>
          </cell>
          <cell r="G3086" t="str">
            <v>RJ</v>
          </cell>
          <cell r="H3086" t="str">
            <v>QSR</v>
          </cell>
          <cell r="I3086" t="str">
            <v>FOOD SERVICE</v>
          </cell>
          <cell r="J3086" t="str">
            <v>VAGO QSR</v>
          </cell>
          <cell r="K3086" t="str">
            <v>ITAMBÉ</v>
          </cell>
          <cell r="L3086" t="str">
            <v>PEDRO</v>
          </cell>
          <cell r="M3086" t="str">
            <v>VAGO QSR</v>
          </cell>
        </row>
        <row r="3087">
          <cell r="B3087">
            <v>5351859</v>
          </cell>
          <cell r="C3087" t="str">
            <v>COCO BAMBU SL COMER DE ALIM LTD</v>
          </cell>
          <cell r="D3087" t="str">
            <v>3001</v>
          </cell>
          <cell r="E3087" t="str">
            <v>0128</v>
          </cell>
          <cell r="F3087" t="str">
            <v>C1</v>
          </cell>
          <cell r="G3087" t="str">
            <v>MA</v>
          </cell>
          <cell r="H3087" t="str">
            <v>QSR</v>
          </cell>
          <cell r="I3087" t="str">
            <v>FOOD SERVICE</v>
          </cell>
          <cell r="J3087" t="str">
            <v>VAGO QSR</v>
          </cell>
          <cell r="K3087" t="str">
            <v>ITAMBÉ</v>
          </cell>
          <cell r="L3087" t="str">
            <v>PEDRO</v>
          </cell>
          <cell r="M3087" t="str">
            <v>VAGO QSR</v>
          </cell>
        </row>
        <row r="3088">
          <cell r="B3088">
            <v>5351862</v>
          </cell>
          <cell r="C3088" t="str">
            <v>CB MINAS COMERCIO DE ALIMENTOS</v>
          </cell>
          <cell r="D3088" t="str">
            <v>3001</v>
          </cell>
          <cell r="E3088" t="str">
            <v>0122</v>
          </cell>
          <cell r="F3088" t="str">
            <v>C1</v>
          </cell>
          <cell r="G3088" t="str">
            <v>MG</v>
          </cell>
          <cell r="H3088" t="str">
            <v>QSR</v>
          </cell>
          <cell r="I3088" t="str">
            <v>FOOD SERVICE</v>
          </cell>
          <cell r="J3088" t="str">
            <v>VAGO QSR</v>
          </cell>
          <cell r="K3088" t="str">
            <v>ITAMBÉ</v>
          </cell>
          <cell r="L3088" t="str">
            <v>PEDRO</v>
          </cell>
          <cell r="M3088" t="str">
            <v>VAGO QSR</v>
          </cell>
        </row>
        <row r="3089">
          <cell r="B3089">
            <v>5351871</v>
          </cell>
          <cell r="C3089" t="str">
            <v>CB CONCEITO MARINGA COM DE ALI</v>
          </cell>
          <cell r="D3089" t="str">
            <v>3001</v>
          </cell>
          <cell r="E3089" t="str">
            <v>0126</v>
          </cell>
          <cell r="F3089" t="str">
            <v>C1</v>
          </cell>
          <cell r="G3089" t="str">
            <v>PR</v>
          </cell>
          <cell r="H3089" t="str">
            <v>QSR</v>
          </cell>
          <cell r="I3089" t="str">
            <v>FOOD SERVICE</v>
          </cell>
          <cell r="J3089" t="str">
            <v>VAGO QSR</v>
          </cell>
          <cell r="K3089" t="str">
            <v>ITAMBÉ</v>
          </cell>
          <cell r="L3089" t="str">
            <v>PEDRO</v>
          </cell>
          <cell r="M3089" t="str">
            <v>VAGO QSR</v>
          </cell>
        </row>
        <row r="3090">
          <cell r="B3090">
            <v>5351895</v>
          </cell>
          <cell r="C3090" t="str">
            <v>CB RIO NORTE SHOP COM DE ALI LT</v>
          </cell>
          <cell r="D3090" t="str">
            <v>6001</v>
          </cell>
          <cell r="E3090" t="str">
            <v>6169</v>
          </cell>
          <cell r="F3090" t="str">
            <v>C1</v>
          </cell>
          <cell r="G3090" t="str">
            <v>RJ</v>
          </cell>
          <cell r="H3090" t="str">
            <v>QSR</v>
          </cell>
          <cell r="I3090" t="str">
            <v>FOOD SERVICE</v>
          </cell>
          <cell r="J3090" t="str">
            <v>VAGO QSR</v>
          </cell>
          <cell r="K3090" t="str">
            <v>ITAMBÉ</v>
          </cell>
          <cell r="L3090" t="str">
            <v>PEDRO</v>
          </cell>
          <cell r="M3090" t="str">
            <v>VAGO QSR</v>
          </cell>
        </row>
        <row r="3091">
          <cell r="B3091">
            <v>5352110</v>
          </cell>
          <cell r="C3091" t="str">
            <v>COCO BAMBU F DO M COM DE AL LTD</v>
          </cell>
          <cell r="D3091" t="str">
            <v>6001</v>
          </cell>
          <cell r="E3091" t="str">
            <v>6127</v>
          </cell>
          <cell r="F3091" t="str">
            <v>C1</v>
          </cell>
          <cell r="G3091" t="str">
            <v>CE</v>
          </cell>
          <cell r="H3091" t="str">
            <v>QSR</v>
          </cell>
          <cell r="I3091" t="str">
            <v>FOOD SERVICE</v>
          </cell>
          <cell r="J3091" t="str">
            <v>VAGO QSR</v>
          </cell>
          <cell r="K3091" t="str">
            <v>ITAMBÉ</v>
          </cell>
          <cell r="L3091" t="str">
            <v>PEDRO</v>
          </cell>
          <cell r="M3091" t="str">
            <v>VAGO QSR</v>
          </cell>
        </row>
        <row r="3092">
          <cell r="B3092">
            <v>5353735</v>
          </cell>
          <cell r="C3092" t="str">
            <v>COCO BAMBU GOIANIA COM DE ALIM</v>
          </cell>
          <cell r="D3092" t="str">
            <v>3001</v>
          </cell>
          <cell r="E3092" t="str">
            <v>0123</v>
          </cell>
          <cell r="F3092" t="str">
            <v>C1</v>
          </cell>
          <cell r="G3092" t="str">
            <v>GO</v>
          </cell>
          <cell r="H3092" t="str">
            <v>QSR</v>
          </cell>
          <cell r="I3092" t="str">
            <v>FOOD SERVICE</v>
          </cell>
          <cell r="J3092" t="str">
            <v>VAGO QSR</v>
          </cell>
          <cell r="K3092" t="str">
            <v>ITAMBÉ</v>
          </cell>
          <cell r="L3092" t="str">
            <v>PEDRO</v>
          </cell>
          <cell r="M3092" t="str">
            <v>VAGO QSR</v>
          </cell>
        </row>
        <row r="3093">
          <cell r="B3093">
            <v>5363597</v>
          </cell>
          <cell r="C3093" t="str">
            <v>CB MINAS COMERCIO DE ALIM LTDA</v>
          </cell>
          <cell r="D3093" t="str">
            <v>3001</v>
          </cell>
          <cell r="E3093" t="str">
            <v>0122</v>
          </cell>
          <cell r="F3093" t="str">
            <v>C1</v>
          </cell>
          <cell r="G3093" t="str">
            <v>MG</v>
          </cell>
          <cell r="H3093" t="str">
            <v>QSR</v>
          </cell>
          <cell r="I3093" t="str">
            <v>FOOD SERVICE</v>
          </cell>
          <cell r="J3093" t="str">
            <v>VAGO QSR</v>
          </cell>
          <cell r="K3093" t="str">
            <v>ITAMBÉ</v>
          </cell>
          <cell r="L3093" t="str">
            <v>PEDRO</v>
          </cell>
          <cell r="M3093" t="str">
            <v>VAGO QSR</v>
          </cell>
        </row>
        <row r="3094">
          <cell r="B3094">
            <v>5363598</v>
          </cell>
          <cell r="C3094" t="str">
            <v>CB RIO VOLTA REDONDA COM DE AL</v>
          </cell>
          <cell r="D3094" t="str">
            <v>6001</v>
          </cell>
          <cell r="E3094" t="str">
            <v>6169</v>
          </cell>
          <cell r="F3094" t="str">
            <v>C1</v>
          </cell>
          <cell r="G3094" t="str">
            <v>RJ</v>
          </cell>
          <cell r="H3094" t="str">
            <v>QSR</v>
          </cell>
          <cell r="I3094" t="str">
            <v>FOOD SERVICE</v>
          </cell>
          <cell r="J3094" t="str">
            <v>VAGO QSR</v>
          </cell>
          <cell r="K3094" t="str">
            <v>ITAMBÉ</v>
          </cell>
          <cell r="L3094" t="str">
            <v>PEDRO</v>
          </cell>
          <cell r="M3094" t="str">
            <v>VAGO QSR</v>
          </cell>
        </row>
        <row r="3095">
          <cell r="B3095">
            <v>5363952</v>
          </cell>
          <cell r="C3095" t="str">
            <v>BRASIL FOOD LTDA</v>
          </cell>
          <cell r="D3095" t="str">
            <v>3001</v>
          </cell>
          <cell r="E3095" t="str">
            <v>0028</v>
          </cell>
          <cell r="F3095" t="str">
            <v>C1</v>
          </cell>
          <cell r="G3095" t="str">
            <v>PB</v>
          </cell>
          <cell r="H3095" t="str">
            <v>INGREDIENTS</v>
          </cell>
          <cell r="I3095" t="str">
            <v>INGREDIENTS</v>
          </cell>
          <cell r="J3095" t="str">
            <v>JOEL ELEOTÉRIO</v>
          </cell>
          <cell r="K3095" t="str">
            <v>ITAMBÉ</v>
          </cell>
          <cell r="L3095" t="str">
            <v>MAURICIO</v>
          </cell>
          <cell r="M3095" t="str">
            <v>JOEL</v>
          </cell>
        </row>
        <row r="3096">
          <cell r="B3096">
            <v>5001681</v>
          </cell>
          <cell r="C3096" t="str">
            <v>CATERAIR SERV DE BORDO E HOTELA</v>
          </cell>
          <cell r="D3096" t="str">
            <v>7001</v>
          </cell>
          <cell r="E3096" t="str">
            <v>0739</v>
          </cell>
          <cell r="F3096" t="str">
            <v>C1</v>
          </cell>
          <cell r="G3096" t="str">
            <v>RJ</v>
          </cell>
          <cell r="H3096" t="str">
            <v>QSR</v>
          </cell>
          <cell r="I3096" t="str">
            <v>FOOD SERVICE</v>
          </cell>
          <cell r="J3096" t="str">
            <v>ANA MENIQUETE</v>
          </cell>
          <cell r="K3096" t="str">
            <v>LACTALIS</v>
          </cell>
          <cell r="L3096" t="str">
            <v>PEDRO</v>
          </cell>
          <cell r="M3096" t="str">
            <v>ANA MENIQUETE</v>
          </cell>
        </row>
        <row r="3097">
          <cell r="B3097">
            <v>5200105</v>
          </cell>
          <cell r="C3097" t="str">
            <v>NPEREIRA IMPORTACAO E COMERCIO</v>
          </cell>
          <cell r="D3097" t="str">
            <v>7001</v>
          </cell>
          <cell r="E3097" t="str">
            <v>0749</v>
          </cell>
          <cell r="F3097" t="str">
            <v>C5</v>
          </cell>
          <cell r="G3097" t="str">
            <v>SP</v>
          </cell>
          <cell r="H3097" t="str">
            <v>DISTRIBUIÇÃO</v>
          </cell>
          <cell r="I3097" t="str">
            <v>FOOD SERVICE</v>
          </cell>
          <cell r="J3097" t="str">
            <v>FLAC 8</v>
          </cell>
          <cell r="K3097" t="str">
            <v>LACTALIS</v>
          </cell>
          <cell r="L3097" t="str">
            <v>RODRIGO</v>
          </cell>
          <cell r="M3097" t="str">
            <v>RAQUEL BARBOSA</v>
          </cell>
        </row>
        <row r="3098">
          <cell r="B3098">
            <v>5348319</v>
          </cell>
          <cell r="C3098" t="str">
            <v>MARIAS RESTAURANTE LTDA</v>
          </cell>
          <cell r="D3098" t="str">
            <v>7001</v>
          </cell>
          <cell r="E3098" t="str">
            <v>0749</v>
          </cell>
          <cell r="F3098" t="str">
            <v>C5</v>
          </cell>
          <cell r="G3098" t="str">
            <v>SP</v>
          </cell>
          <cell r="H3098" t="str">
            <v>DISTRIBUIÇÃO</v>
          </cell>
          <cell r="I3098" t="str">
            <v>FOOD SERVICE</v>
          </cell>
          <cell r="J3098" t="str">
            <v>FLAC 6</v>
          </cell>
          <cell r="K3098" t="str">
            <v>LACTALIS</v>
          </cell>
          <cell r="L3098" t="str">
            <v>RODRIGO</v>
          </cell>
          <cell r="M3098" t="str">
            <v>RAQUEL BARBOSA</v>
          </cell>
        </row>
        <row r="3099">
          <cell r="B3099">
            <v>5350654</v>
          </cell>
          <cell r="C3099" t="str">
            <v>CB ANHEMBI COMERCIO DE ALIMENTO</v>
          </cell>
          <cell r="D3099" t="str">
            <v>6001</v>
          </cell>
          <cell r="E3099" t="str">
            <v>6125</v>
          </cell>
          <cell r="F3099" t="str">
            <v>C1</v>
          </cell>
          <cell r="G3099" t="str">
            <v>SP</v>
          </cell>
          <cell r="H3099" t="str">
            <v>QSR</v>
          </cell>
          <cell r="I3099" t="str">
            <v>FOOD SERVICE</v>
          </cell>
          <cell r="J3099" t="str">
            <v>VAGO QSR</v>
          </cell>
          <cell r="K3099" t="str">
            <v>ITAMBÉ</v>
          </cell>
          <cell r="L3099" t="str">
            <v>PEDRO</v>
          </cell>
          <cell r="M3099" t="str">
            <v>VAGO QSR</v>
          </cell>
        </row>
        <row r="3100">
          <cell r="B3100">
            <v>5363589</v>
          </cell>
          <cell r="C3100" t="str">
            <v>CB MINAS COMERCIO DE ALIM LTDA</v>
          </cell>
          <cell r="D3100" t="str">
            <v>3001</v>
          </cell>
          <cell r="E3100" t="str">
            <v>0122</v>
          </cell>
          <cell r="F3100" t="str">
            <v>C1</v>
          </cell>
          <cell r="G3100" t="str">
            <v>MG</v>
          </cell>
          <cell r="H3100" t="str">
            <v>QSR</v>
          </cell>
          <cell r="I3100" t="str">
            <v>FOOD SERVICE</v>
          </cell>
          <cell r="J3100" t="str">
            <v>VAGO QSR</v>
          </cell>
          <cell r="K3100" t="str">
            <v>ITAMBÉ</v>
          </cell>
          <cell r="L3100" t="str">
            <v>PEDRO</v>
          </cell>
          <cell r="M3100" t="str">
            <v>VAGO QSR</v>
          </cell>
        </row>
        <row r="3101">
          <cell r="B3101">
            <v>5363628</v>
          </cell>
          <cell r="C3101" t="str">
            <v>INDUSTRIA DE SORVETES E GELO PI</v>
          </cell>
          <cell r="D3101" t="str">
            <v>3001</v>
          </cell>
          <cell r="E3101" t="str">
            <v>0028</v>
          </cell>
          <cell r="F3101" t="str">
            <v>C1</v>
          </cell>
          <cell r="G3101" t="str">
            <v>MG</v>
          </cell>
          <cell r="H3101" t="str">
            <v>INGREDIENTS</v>
          </cell>
          <cell r="I3101" t="str">
            <v>INGREDIENTS</v>
          </cell>
          <cell r="J3101" t="str">
            <v>MG ITB FS HENRIQUE WAGNER</v>
          </cell>
          <cell r="K3101" t="str">
            <v>ITAMBÉ</v>
          </cell>
          <cell r="L3101" t="str">
            <v>MAURICIO</v>
          </cell>
          <cell r="M3101" t="str">
            <v>TATIANA NITTA</v>
          </cell>
        </row>
        <row r="3102">
          <cell r="B3102">
            <v>5223996</v>
          </cell>
          <cell r="C3102" t="str">
            <v>PLASTIC DISTRIBUIDORA LTDA</v>
          </cell>
          <cell r="D3102" t="str">
            <v>6001</v>
          </cell>
          <cell r="E3102" t="str">
            <v>6169</v>
          </cell>
          <cell r="F3102" t="str">
            <v>C1</v>
          </cell>
          <cell r="G3102" t="str">
            <v>ES</v>
          </cell>
          <cell r="H3102" t="str">
            <v>DISTRIBUIÇÃO</v>
          </cell>
          <cell r="I3102" t="str">
            <v>FOOD SERVICE</v>
          </cell>
          <cell r="J3102" t="str">
            <v>MARCELO DUARTE</v>
          </cell>
          <cell r="K3102" t="str">
            <v>ITAMBÉ</v>
          </cell>
          <cell r="L3102" t="str">
            <v>RODRIGO</v>
          </cell>
          <cell r="M3102" t="str">
            <v>JESSICA</v>
          </cell>
        </row>
        <row r="3103">
          <cell r="B3103">
            <v>5363590</v>
          </cell>
          <cell r="C3103" t="str">
            <v>CB RIO BARRA DA TIJ COM D ALIM</v>
          </cell>
          <cell r="D3103" t="str">
            <v>6001</v>
          </cell>
          <cell r="E3103" t="str">
            <v>6169</v>
          </cell>
          <cell r="F3103" t="str">
            <v>C1</v>
          </cell>
          <cell r="G3103" t="str">
            <v>RJ</v>
          </cell>
          <cell r="H3103" t="str">
            <v>QSR</v>
          </cell>
          <cell r="I3103" t="str">
            <v>FOOD SERVICE</v>
          </cell>
          <cell r="J3103" t="str">
            <v>VAGO QSR</v>
          </cell>
          <cell r="K3103" t="str">
            <v>ITAMBÉ</v>
          </cell>
          <cell r="L3103" t="str">
            <v>PEDRO</v>
          </cell>
          <cell r="M3103" t="str">
            <v>VAGO QSR</v>
          </cell>
        </row>
        <row r="3104">
          <cell r="B3104">
            <v>5210879</v>
          </cell>
          <cell r="C3104" t="str">
            <v>CB RIO BOTAFOGO C DE ALIMENTOS LTDA</v>
          </cell>
          <cell r="D3104" t="str">
            <v>6001</v>
          </cell>
          <cell r="E3104" t="str">
            <v>6169</v>
          </cell>
          <cell r="F3104" t="str">
            <v>C1</v>
          </cell>
          <cell r="G3104" t="str">
            <v>RJ</v>
          </cell>
          <cell r="H3104" t="str">
            <v>QSR</v>
          </cell>
          <cell r="I3104" t="str">
            <v>FOOD SERVICE</v>
          </cell>
          <cell r="J3104" t="str">
            <v>VAGO QSR</v>
          </cell>
          <cell r="K3104" t="str">
            <v>ITAMBÉ</v>
          </cell>
          <cell r="L3104" t="str">
            <v>PEDRO</v>
          </cell>
          <cell r="M3104" t="str">
            <v>VAGO QSR</v>
          </cell>
        </row>
        <row r="3105">
          <cell r="B3105">
            <v>5325105</v>
          </cell>
          <cell r="C3105" t="str">
            <v>DINAMARCA INDUSTRIA E COM DE AL</v>
          </cell>
          <cell r="D3105" t="str">
            <v>4001</v>
          </cell>
          <cell r="E3105" t="str">
            <v>0455</v>
          </cell>
          <cell r="F3105" t="str">
            <v>C1</v>
          </cell>
          <cell r="G3105" t="str">
            <v>PR</v>
          </cell>
          <cell r="H3105" t="str">
            <v>INGREDIENTS</v>
          </cell>
          <cell r="I3105" t="str">
            <v>INGREDIENTS</v>
          </cell>
          <cell r="J3105" t="str">
            <v>MARCELO RODRIGUES</v>
          </cell>
          <cell r="K3105" t="str">
            <v>LACTALIS</v>
          </cell>
          <cell r="L3105" t="str">
            <v>MAURICIO</v>
          </cell>
          <cell r="M3105" t="str">
            <v>MARCELO</v>
          </cell>
        </row>
        <row r="3106">
          <cell r="B3106">
            <v>5361885</v>
          </cell>
          <cell r="C3106" t="str">
            <v>CAMARA TRADE NEG INTERNACIONAIS</v>
          </cell>
          <cell r="D3106" t="str">
            <v>4001</v>
          </cell>
          <cell r="E3106" t="str">
            <v>0423</v>
          </cell>
          <cell r="F3106" t="str">
            <v>C5</v>
          </cell>
          <cell r="G3106" t="str">
            <v>MG</v>
          </cell>
          <cell r="H3106" t="str">
            <v>INGREDIENTS</v>
          </cell>
          <cell r="I3106" t="str">
            <v>INGREDIENTS</v>
          </cell>
          <cell r="J3106" t="str">
            <v>DLUM</v>
          </cell>
          <cell r="K3106" t="str">
            <v>LACTALIS</v>
          </cell>
          <cell r="L3106" t="str">
            <v>MAURICIO</v>
          </cell>
          <cell r="M3106" t="str">
            <v>JOEL</v>
          </cell>
        </row>
        <row r="3107">
          <cell r="B3107">
            <v>5363062</v>
          </cell>
          <cell r="C3107" t="str">
            <v>RS BOLOS E DOCES LTDA</v>
          </cell>
          <cell r="D3107" t="str">
            <v>7001</v>
          </cell>
          <cell r="E3107" t="str">
            <v>0749</v>
          </cell>
          <cell r="F3107" t="str">
            <v>C5</v>
          </cell>
          <cell r="G3107" t="str">
            <v>SP</v>
          </cell>
          <cell r="H3107" t="str">
            <v>DISTRIBUIÇÃO</v>
          </cell>
          <cell r="I3107" t="str">
            <v>FOOD SERVICE</v>
          </cell>
          <cell r="J3107" t="str">
            <v>FLAC 4</v>
          </cell>
          <cell r="K3107" t="str">
            <v>LACTALIS</v>
          </cell>
          <cell r="L3107" t="str">
            <v>RODRIGO</v>
          </cell>
          <cell r="M3107" t="str">
            <v>RAQUEL BARBOSA</v>
          </cell>
        </row>
        <row r="3108">
          <cell r="B3108">
            <v>5363451</v>
          </cell>
          <cell r="C3108" t="str">
            <v>CIA FERRASA DE EMPREENDIMENTOS</v>
          </cell>
          <cell r="D3108" t="str">
            <v>7001</v>
          </cell>
          <cell r="E3108" t="str">
            <v>0722</v>
          </cell>
          <cell r="F3108" t="str">
            <v>C1</v>
          </cell>
          <cell r="G3108" t="str">
            <v>SP</v>
          </cell>
          <cell r="H3108" t="str">
            <v>QSR</v>
          </cell>
          <cell r="I3108" t="str">
            <v>FOOD SERVICE</v>
          </cell>
          <cell r="J3108" t="str">
            <v>VAGO QSR</v>
          </cell>
          <cell r="K3108" t="str">
            <v>LACTALIS</v>
          </cell>
          <cell r="L3108" t="str">
            <v>PEDRO</v>
          </cell>
          <cell r="M3108" t="str">
            <v>VAGO QSR</v>
          </cell>
        </row>
        <row r="3109">
          <cell r="B3109">
            <v>5363626</v>
          </cell>
          <cell r="C3109" t="str">
            <v>WEPROTEIN COMERCIO LTDA</v>
          </cell>
          <cell r="D3109" t="str">
            <v>7001</v>
          </cell>
          <cell r="E3109" t="str">
            <v>0722</v>
          </cell>
          <cell r="F3109" t="str">
            <v>C1</v>
          </cell>
          <cell r="G3109" t="str">
            <v>SP</v>
          </cell>
          <cell r="H3109" t="str">
            <v>QSR</v>
          </cell>
          <cell r="I3109" t="str">
            <v>FOOD SERVICE</v>
          </cell>
          <cell r="J3109" t="str">
            <v>VAGO QSR</v>
          </cell>
          <cell r="K3109" t="str">
            <v>LACTALIS</v>
          </cell>
          <cell r="L3109" t="str">
            <v>PEDRO</v>
          </cell>
          <cell r="M3109" t="str">
            <v>VAGO QSR</v>
          </cell>
        </row>
        <row r="3110">
          <cell r="B3110">
            <v>5363627</v>
          </cell>
          <cell r="C3110" t="str">
            <v>WEPROTEIN COMERCIO LTDA</v>
          </cell>
          <cell r="D3110" t="str">
            <v>7001</v>
          </cell>
          <cell r="E3110" t="str">
            <v>0722</v>
          </cell>
          <cell r="F3110" t="str">
            <v>C1</v>
          </cell>
          <cell r="G3110" t="str">
            <v>SP</v>
          </cell>
          <cell r="H3110" t="str">
            <v>QSR</v>
          </cell>
          <cell r="I3110" t="str">
            <v>FOOD SERVICE</v>
          </cell>
          <cell r="J3110" t="str">
            <v>VAGO QSR</v>
          </cell>
          <cell r="K3110" t="str">
            <v>LACTALIS</v>
          </cell>
          <cell r="L3110" t="str">
            <v>PEDRO</v>
          </cell>
          <cell r="M3110" t="str">
            <v>VAGO QSR</v>
          </cell>
        </row>
        <row r="3111">
          <cell r="B3111">
            <v>5363949</v>
          </cell>
          <cell r="C3111" t="str">
            <v>FUNCHAL INDUSTRIA E COMERC DE P</v>
          </cell>
          <cell r="D3111" t="str">
            <v>6001</v>
          </cell>
          <cell r="E3111" t="str">
            <v>6125</v>
          </cell>
          <cell r="F3111" t="str">
            <v>C1</v>
          </cell>
          <cell r="G3111" t="str">
            <v>SP</v>
          </cell>
          <cell r="H3111" t="str">
            <v>DISTRIBUIÇÃO</v>
          </cell>
          <cell r="I3111" t="str">
            <v>FOOD SERVICE</v>
          </cell>
          <cell r="J3111" t="str">
            <v>VAGO SP</v>
          </cell>
          <cell r="K3111" t="str">
            <v>ITAMBÉ</v>
          </cell>
          <cell r="L3111" t="str">
            <v>RODRIGO</v>
          </cell>
          <cell r="M3111" t="str">
            <v>RAQUEL BARBOSA</v>
          </cell>
        </row>
        <row r="3112">
          <cell r="B3112">
            <v>5089548</v>
          </cell>
          <cell r="C3112" t="str">
            <v>COOPERATIVA AGROINDUSTRIAL SERR</v>
          </cell>
          <cell r="D3112" t="str">
            <v>6001</v>
          </cell>
          <cell r="E3112" t="str">
            <v>6028</v>
          </cell>
          <cell r="F3112" t="str">
            <v>C1</v>
          </cell>
          <cell r="G3112" t="str">
            <v>SP</v>
          </cell>
          <cell r="H3112" t="str">
            <v>INGREDIENTS</v>
          </cell>
          <cell r="I3112" t="str">
            <v>INGREDIENTS</v>
          </cell>
          <cell r="J3112" t="str">
            <v>TATIANA NITTA</v>
          </cell>
          <cell r="K3112" t="str">
            <v>ITAMBÉ</v>
          </cell>
          <cell r="L3112" t="str">
            <v>MAURICIO</v>
          </cell>
          <cell r="M3112" t="str">
            <v>TATIANA NITTA</v>
          </cell>
        </row>
        <row r="3113">
          <cell r="B3113">
            <v>5206128</v>
          </cell>
          <cell r="C3113" t="str">
            <v>NUTRIWAY FOODS INDUSTRIA</v>
          </cell>
          <cell r="D3113" t="str">
            <v>3001</v>
          </cell>
          <cell r="E3113" t="str">
            <v>0122</v>
          </cell>
          <cell r="F3113" t="str">
            <v>C1</v>
          </cell>
          <cell r="G3113" t="str">
            <v>MG</v>
          </cell>
          <cell r="H3113" t="str">
            <v>INGREDIENTS</v>
          </cell>
          <cell r="I3113" t="str">
            <v>INGREDIENTS</v>
          </cell>
          <cell r="J3113" t="str">
            <v>MARCELO RODRIGUES</v>
          </cell>
          <cell r="K3113" t="str">
            <v>ITAMBÉ</v>
          </cell>
          <cell r="L3113" t="str">
            <v>MAURICIO</v>
          </cell>
          <cell r="M3113" t="str">
            <v>MARCELO</v>
          </cell>
        </row>
        <row r="3114">
          <cell r="B3114">
            <v>5231168</v>
          </cell>
          <cell r="C3114" t="str">
            <v>CRIATIVIDADE DAS FESTAS LTDA</v>
          </cell>
          <cell r="D3114" t="str">
            <v>3001</v>
          </cell>
          <cell r="E3114" t="str">
            <v>0122</v>
          </cell>
          <cell r="F3114" t="str">
            <v>C1</v>
          </cell>
          <cell r="G3114" t="str">
            <v>MG</v>
          </cell>
          <cell r="H3114" t="str">
            <v>DISTRIBUIÇÃO</v>
          </cell>
          <cell r="I3114" t="str">
            <v>FOOD SERVICE</v>
          </cell>
          <cell r="J3114" t="str">
            <v>CELIO MARTINS</v>
          </cell>
          <cell r="K3114" t="str">
            <v>ITAMBÉ</v>
          </cell>
          <cell r="L3114" t="str">
            <v>RODRIGO</v>
          </cell>
          <cell r="M3114" t="str">
            <v>CELIO MARTINS</v>
          </cell>
        </row>
        <row r="3115">
          <cell r="B3115">
            <v>5278284</v>
          </cell>
          <cell r="C3115" t="str">
            <v>PANIF CONF A LUXUOSA LTDA</v>
          </cell>
          <cell r="D3115" t="str">
            <v>7001</v>
          </cell>
          <cell r="E3115" t="str">
            <v>0749</v>
          </cell>
          <cell r="F3115" t="str">
            <v>C5</v>
          </cell>
          <cell r="G3115" t="str">
            <v>SP</v>
          </cell>
          <cell r="H3115" t="str">
            <v>DISTRIBUIÇÃO</v>
          </cell>
          <cell r="I3115" t="str">
            <v>FOOD SERVICE</v>
          </cell>
          <cell r="J3115" t="str">
            <v>FLAC 2</v>
          </cell>
          <cell r="K3115" t="str">
            <v>LACTALIS</v>
          </cell>
          <cell r="L3115" t="str">
            <v>RODRIGO</v>
          </cell>
          <cell r="M3115" t="str">
            <v>RAQUEL BARBOSA</v>
          </cell>
        </row>
        <row r="3116">
          <cell r="B3116">
            <v>5358934</v>
          </cell>
          <cell r="C3116" t="str">
            <v>NUPRECINHO LTDA</v>
          </cell>
          <cell r="D3116" t="str">
            <v>6001</v>
          </cell>
          <cell r="E3116" t="str">
            <v>6125</v>
          </cell>
          <cell r="F3116" t="str">
            <v>C1</v>
          </cell>
          <cell r="G3116" t="str">
            <v>SP</v>
          </cell>
          <cell r="H3116" t="str">
            <v>DISTRIBUIÇÃO</v>
          </cell>
          <cell r="I3116" t="str">
            <v>FOOD SERVICE</v>
          </cell>
          <cell r="J3116" t="str">
            <v>RAQUEL BARBOSA</v>
          </cell>
          <cell r="K3116" t="str">
            <v>ITAMBÉ</v>
          </cell>
          <cell r="L3116" t="str">
            <v>RODRIGO</v>
          </cell>
          <cell r="M3116" t="str">
            <v>RAQUEL BARBOSA</v>
          </cell>
        </row>
        <row r="3117">
          <cell r="B3117">
            <v>5364029</v>
          </cell>
          <cell r="C3117" t="str">
            <v>MAILDE BISTRO LTDA</v>
          </cell>
          <cell r="D3117" t="str">
            <v>7001</v>
          </cell>
          <cell r="E3117" t="str">
            <v>0756</v>
          </cell>
          <cell r="F3117" t="str">
            <v>C1</v>
          </cell>
          <cell r="G3117" t="str">
            <v>SC</v>
          </cell>
          <cell r="H3117" t="str">
            <v>QSR</v>
          </cell>
          <cell r="I3117" t="str">
            <v>FOOD SERVICE</v>
          </cell>
          <cell r="J3117" t="str">
            <v>VAGO QSR</v>
          </cell>
          <cell r="K3117" t="str">
            <v>LACTALIS</v>
          </cell>
          <cell r="L3117" t="str">
            <v>PEDRO</v>
          </cell>
          <cell r="M3117" t="str">
            <v>VAGO QSR</v>
          </cell>
        </row>
        <row r="3118">
          <cell r="B3118">
            <v>5000443</v>
          </cell>
          <cell r="C3118" t="str">
            <v>BIG TE LANCHES LTDA ME</v>
          </cell>
          <cell r="D3118" t="str">
            <v>3001</v>
          </cell>
          <cell r="E3118" t="str">
            <v>0028</v>
          </cell>
          <cell r="F3118" t="str">
            <v>C1</v>
          </cell>
          <cell r="G3118" t="str">
            <v>MG</v>
          </cell>
          <cell r="H3118" t="str">
            <v>INGREDIENTS</v>
          </cell>
          <cell r="I3118" t="str">
            <v>INGREDIENTS</v>
          </cell>
          <cell r="J3118" t="str">
            <v>HENRIQUE FERREIRA</v>
          </cell>
          <cell r="K3118" t="str">
            <v>ITAMBÉ</v>
          </cell>
          <cell r="L3118" t="str">
            <v>MAURICIO</v>
          </cell>
          <cell r="M3118" t="str">
            <v>JOEL</v>
          </cell>
        </row>
        <row r="3119">
          <cell r="B3119">
            <v>5161469</v>
          </cell>
          <cell r="C3119" t="str">
            <v>FORCA TOTAL DIST DE GENE ALIM L</v>
          </cell>
          <cell r="D3119" t="str">
            <v>6001</v>
          </cell>
          <cell r="E3119" t="str">
            <v>6169</v>
          </cell>
          <cell r="F3119" t="str">
            <v>C1</v>
          </cell>
          <cell r="G3119" t="str">
            <v>RJ</v>
          </cell>
          <cell r="H3119" t="str">
            <v>DISTRIBUIÇÃO</v>
          </cell>
          <cell r="I3119" t="str">
            <v>FOOD SERVICE</v>
          </cell>
          <cell r="J3119" t="str">
            <v>LUCIANA MARTINS</v>
          </cell>
          <cell r="K3119" t="str">
            <v>ITAMBÉ</v>
          </cell>
          <cell r="L3119" t="str">
            <v>RODRIGO</v>
          </cell>
          <cell r="M3119" t="str">
            <v>JESSICA</v>
          </cell>
        </row>
        <row r="3120">
          <cell r="B3120">
            <v>5161469</v>
          </cell>
          <cell r="C3120" t="str">
            <v>FORCA TOTAL DIST DE GENE ALIM L</v>
          </cell>
          <cell r="D3120" t="str">
            <v>7001</v>
          </cell>
          <cell r="E3120" t="str">
            <v>0739</v>
          </cell>
          <cell r="F3120" t="str">
            <v>C1</v>
          </cell>
          <cell r="G3120" t="str">
            <v>RJ</v>
          </cell>
          <cell r="H3120" t="str">
            <v>DISTRIBUIÇÃO</v>
          </cell>
          <cell r="I3120" t="str">
            <v>FOOD SERVICE</v>
          </cell>
          <cell r="J3120" t="str">
            <v>LUCIANA MARTINS</v>
          </cell>
          <cell r="K3120" t="str">
            <v>LACTALIS</v>
          </cell>
          <cell r="L3120" t="str">
            <v>RODRIGO</v>
          </cell>
          <cell r="M3120" t="str">
            <v>JESSICA</v>
          </cell>
        </row>
        <row r="3121">
          <cell r="B3121">
            <v>5161469</v>
          </cell>
          <cell r="C3121" t="str">
            <v>FORCA TOTAL DIST DE GENE ALIM L</v>
          </cell>
          <cell r="D3121" t="str">
            <v>3001</v>
          </cell>
          <cell r="E3121" t="str">
            <v>0169</v>
          </cell>
          <cell r="F3121" t="str">
            <v>C1</v>
          </cell>
          <cell r="G3121" t="str">
            <v>RJ</v>
          </cell>
          <cell r="H3121" t="str">
            <v>DISTRIBUIÇÃO</v>
          </cell>
          <cell r="I3121" t="str">
            <v>FOOD SERVICE</v>
          </cell>
          <cell r="J3121" t="str">
            <v>JESSICA CARLA</v>
          </cell>
          <cell r="K3121" t="str">
            <v>ITAMBÉ</v>
          </cell>
          <cell r="L3121" t="str">
            <v>RODRIGO</v>
          </cell>
          <cell r="M3121" t="str">
            <v>JESSICA</v>
          </cell>
        </row>
        <row r="3122">
          <cell r="B3122">
            <v>5191281</v>
          </cell>
          <cell r="C3122" t="str">
            <v>ND FESTAS LTDA</v>
          </cell>
          <cell r="D3122" t="str">
            <v>3001</v>
          </cell>
          <cell r="E3122" t="str">
            <v>0122</v>
          </cell>
          <cell r="F3122" t="str">
            <v>C1</v>
          </cell>
          <cell r="G3122" t="str">
            <v>MG</v>
          </cell>
          <cell r="H3122" t="str">
            <v>DISTRIBUIÇÃO</v>
          </cell>
          <cell r="I3122" t="str">
            <v>FOOD SERVICE</v>
          </cell>
          <cell r="J3122" t="str">
            <v>CELIO MARTINS</v>
          </cell>
          <cell r="K3122" t="str">
            <v>ITAMBÉ</v>
          </cell>
          <cell r="L3122" t="str">
            <v>RODRIGO</v>
          </cell>
          <cell r="M3122" t="str">
            <v>CELIO MARTINS</v>
          </cell>
        </row>
        <row r="3123">
          <cell r="B3123">
            <v>5363451</v>
          </cell>
          <cell r="C3123" t="str">
            <v>CIA FERRASA DE EMPREENDIMENTOS</v>
          </cell>
          <cell r="D3123" t="str">
            <v>6001</v>
          </cell>
          <cell r="E3123" t="str">
            <v>6125</v>
          </cell>
          <cell r="F3123" t="str">
            <v>C1</v>
          </cell>
          <cell r="G3123" t="str">
            <v>SP</v>
          </cell>
          <cell r="H3123" t="str">
            <v>QSR</v>
          </cell>
          <cell r="I3123" t="str">
            <v>FOOD SERVICE</v>
          </cell>
          <cell r="J3123" t="str">
            <v>VAGO QSR</v>
          </cell>
          <cell r="K3123" t="str">
            <v>ITAMBÉ</v>
          </cell>
          <cell r="L3123" t="str">
            <v>PEDRO</v>
          </cell>
          <cell r="M3123" t="str">
            <v>VAGO QSR</v>
          </cell>
        </row>
        <row r="3124">
          <cell r="B3124">
            <v>5364430</v>
          </cell>
          <cell r="C3124" t="str">
            <v>ULTRABRASIL IND E COM D A E P S</v>
          </cell>
          <cell r="D3124" t="str">
            <v>4001</v>
          </cell>
          <cell r="E3124" t="str">
            <v>0458</v>
          </cell>
          <cell r="F3124" t="str">
            <v>C1</v>
          </cell>
          <cell r="G3124" t="str">
            <v>MG</v>
          </cell>
          <cell r="H3124" t="str">
            <v>INGREDIENTS</v>
          </cell>
          <cell r="I3124" t="str">
            <v>INGREDIENTS</v>
          </cell>
          <cell r="J3124" t="str">
            <v>MARCELO RODRIGUES</v>
          </cell>
          <cell r="K3124" t="str">
            <v>LACTALIS</v>
          </cell>
          <cell r="L3124" t="str">
            <v>MAURICIO</v>
          </cell>
          <cell r="M3124" t="str">
            <v>MARCELO</v>
          </cell>
        </row>
        <row r="3125">
          <cell r="B3125">
            <v>5364495</v>
          </cell>
          <cell r="C3125" t="str">
            <v>3D SALGADOS LTDA</v>
          </cell>
          <cell r="D3125" t="str">
            <v>6001</v>
          </cell>
          <cell r="E3125" t="str">
            <v>6028</v>
          </cell>
          <cell r="F3125" t="str">
            <v>C1</v>
          </cell>
          <cell r="G3125" t="str">
            <v>RJ</v>
          </cell>
          <cell r="H3125" t="str">
            <v>INGREDIENTS</v>
          </cell>
          <cell r="I3125" t="str">
            <v>INGREDIENTS</v>
          </cell>
          <cell r="J3125" t="str">
            <v>RJ ITB FS L T MARTINS</v>
          </cell>
          <cell r="K3125" t="str">
            <v>ITAMBÉ</v>
          </cell>
          <cell r="L3125" t="str">
            <v>MAURICIO</v>
          </cell>
          <cell r="M3125" t="str">
            <v>TATIANA NITTA</v>
          </cell>
        </row>
        <row r="3126">
          <cell r="B3126">
            <v>5364496</v>
          </cell>
          <cell r="C3126" t="str">
            <v>CONVENIENCIA DABELA DE COELH DA</v>
          </cell>
          <cell r="D3126" t="str">
            <v>6001</v>
          </cell>
          <cell r="E3126" t="str">
            <v>6028</v>
          </cell>
          <cell r="F3126" t="str">
            <v>C1</v>
          </cell>
          <cell r="G3126" t="str">
            <v>RJ</v>
          </cell>
          <cell r="H3126" t="str">
            <v>INGREDIENTS</v>
          </cell>
          <cell r="I3126" t="str">
            <v>INGREDIENTS</v>
          </cell>
          <cell r="J3126" t="str">
            <v>RJ ITB FS L T MARTINS</v>
          </cell>
          <cell r="K3126" t="str">
            <v>ITAMBÉ</v>
          </cell>
          <cell r="L3126" t="str">
            <v>MAURICIO</v>
          </cell>
          <cell r="M3126" t="str">
            <v>TATIANA NITTA</v>
          </cell>
        </row>
        <row r="3127">
          <cell r="B3127">
            <v>5036214</v>
          </cell>
          <cell r="C3127" t="str">
            <v>ESPACO CHEF COMERCIO E DIST LTDA</v>
          </cell>
          <cell r="D3127" t="str">
            <v>6001</v>
          </cell>
          <cell r="E3127" t="str">
            <v>6075</v>
          </cell>
          <cell r="F3127" t="str">
            <v>C1</v>
          </cell>
          <cell r="G3127" t="str">
            <v>CE</v>
          </cell>
          <cell r="H3127" t="str">
            <v>DISTRIBUIÇÃO</v>
          </cell>
          <cell r="I3127" t="str">
            <v>FOOD SERVICE</v>
          </cell>
          <cell r="J3127" t="str">
            <v>WH FOOD SERVICE CE</v>
          </cell>
          <cell r="K3127" t="str">
            <v>ITAMBÉ</v>
          </cell>
          <cell r="L3127" t="str">
            <v>RODRIGO</v>
          </cell>
          <cell r="M3127" t="str">
            <v>MARIA LOURDES</v>
          </cell>
        </row>
        <row r="3128">
          <cell r="B3128">
            <v>5234713</v>
          </cell>
          <cell r="C3128" t="str">
            <v>OSMAR NICOLINI COMERCIO E DISTR</v>
          </cell>
          <cell r="D3128" t="str">
            <v>4001</v>
          </cell>
          <cell r="E3128" t="str">
            <v>0566</v>
          </cell>
          <cell r="F3128" t="str">
            <v>C7</v>
          </cell>
          <cell r="G3128" t="str">
            <v>RS</v>
          </cell>
          <cell r="H3128" t="str">
            <v>OUTROS</v>
          </cell>
          <cell r="I3128" t="str">
            <v>OUTROS</v>
          </cell>
          <cell r="J3128" t="str">
            <v>OUTROS</v>
          </cell>
          <cell r="K3128" t="str">
            <v>OUTROS</v>
          </cell>
          <cell r="L3128" t="str">
            <v>OUTROS</v>
          </cell>
          <cell r="M3128" t="str">
            <v>OUTROS</v>
          </cell>
        </row>
        <row r="3129">
          <cell r="B3129">
            <v>5248563</v>
          </cell>
          <cell r="C3129" t="str">
            <v>SANDRA MARGARETE COELHO</v>
          </cell>
          <cell r="D3129" t="str">
            <v>4001</v>
          </cell>
          <cell r="E3129" t="str">
            <v>0566</v>
          </cell>
          <cell r="F3129" t="str">
            <v>C7</v>
          </cell>
          <cell r="G3129" t="str">
            <v>RS</v>
          </cell>
          <cell r="H3129" t="str">
            <v>OUTROS</v>
          </cell>
          <cell r="I3129" t="str">
            <v>OUTROS</v>
          </cell>
          <cell r="J3129" t="str">
            <v>OUTROS</v>
          </cell>
          <cell r="K3129" t="str">
            <v>OUTROS</v>
          </cell>
          <cell r="L3129" t="str">
            <v>OUTROS</v>
          </cell>
          <cell r="M3129" t="str">
            <v>OUTROS</v>
          </cell>
        </row>
        <row r="3130">
          <cell r="B3130">
            <v>5279596</v>
          </cell>
          <cell r="C3130" t="str">
            <v>J JOSE POSADA CIA LTDA</v>
          </cell>
          <cell r="D3130" t="str">
            <v>4001</v>
          </cell>
          <cell r="E3130" t="str">
            <v>0566</v>
          </cell>
          <cell r="F3130" t="str">
            <v>C7</v>
          </cell>
          <cell r="G3130" t="str">
            <v>RS</v>
          </cell>
          <cell r="H3130" t="str">
            <v>OUTROS</v>
          </cell>
          <cell r="I3130" t="str">
            <v>OUTROS</v>
          </cell>
          <cell r="J3130" t="str">
            <v>OUTROS</v>
          </cell>
          <cell r="K3130" t="str">
            <v>OUTROS</v>
          </cell>
          <cell r="L3130" t="str">
            <v>OUTROS</v>
          </cell>
          <cell r="M3130" t="str">
            <v>OUTROS</v>
          </cell>
        </row>
        <row r="3131">
          <cell r="B3131">
            <v>5287946</v>
          </cell>
          <cell r="C3131" t="str">
            <v>SUPERMERCADO GUANABARA S A</v>
          </cell>
          <cell r="D3131" t="str">
            <v>4001</v>
          </cell>
          <cell r="E3131" t="str">
            <v>0566</v>
          </cell>
          <cell r="F3131" t="str">
            <v>C7</v>
          </cell>
          <cell r="G3131" t="str">
            <v>RS</v>
          </cell>
          <cell r="H3131" t="str">
            <v>OUTROS</v>
          </cell>
          <cell r="I3131" t="str">
            <v>OUTROS</v>
          </cell>
          <cell r="J3131" t="str">
            <v>OUTROS</v>
          </cell>
          <cell r="K3131" t="str">
            <v>OUTROS</v>
          </cell>
          <cell r="L3131" t="str">
            <v>OUTROS</v>
          </cell>
          <cell r="M3131" t="str">
            <v>OUTROS</v>
          </cell>
        </row>
        <row r="3132">
          <cell r="B3132">
            <v>5363950</v>
          </cell>
          <cell r="C3132" t="str">
            <v>FUNCHAL INDUSTRIA E COMERCIO DE PAP</v>
          </cell>
          <cell r="D3132" t="str">
            <v>6001</v>
          </cell>
          <cell r="E3132" t="str">
            <v>6125</v>
          </cell>
          <cell r="F3132" t="str">
            <v>C1</v>
          </cell>
          <cell r="G3132" t="str">
            <v>SP</v>
          </cell>
          <cell r="H3132" t="str">
            <v>DISTRIBUIÇÃO</v>
          </cell>
          <cell r="I3132" t="str">
            <v>FOOD SERVICE</v>
          </cell>
          <cell r="J3132" t="str">
            <v>VAGO SP</v>
          </cell>
          <cell r="K3132" t="str">
            <v>ITAMBÉ</v>
          </cell>
          <cell r="L3132" t="str">
            <v>RODRIGO</v>
          </cell>
          <cell r="M3132" t="str">
            <v>RAQUEL BARBOSA</v>
          </cell>
        </row>
        <row r="3133">
          <cell r="B3133">
            <v>5315376</v>
          </cell>
          <cell r="C3133" t="str">
            <v>MATILDA PAULISTA RESTAURANTE LT</v>
          </cell>
          <cell r="D3133" t="str">
            <v>7001</v>
          </cell>
          <cell r="E3133" t="str">
            <v>0749</v>
          </cell>
          <cell r="F3133" t="str">
            <v>C5</v>
          </cell>
          <cell r="G3133" t="str">
            <v>SP</v>
          </cell>
          <cell r="H3133" t="str">
            <v>DISTRIBUIÇÃO</v>
          </cell>
          <cell r="I3133" t="str">
            <v>FOOD SERVICE</v>
          </cell>
          <cell r="J3133" t="str">
            <v>FLAC 3</v>
          </cell>
          <cell r="K3133" t="str">
            <v>LACTALIS</v>
          </cell>
          <cell r="L3133" t="str">
            <v>RODRIGO</v>
          </cell>
          <cell r="M3133" t="str">
            <v>RAQUEL BARBOSA</v>
          </cell>
        </row>
        <row r="3134">
          <cell r="B3134">
            <v>5226499</v>
          </cell>
          <cell r="C3134" t="str">
            <v>NEWREST BR SERV AUX AO TRANS AEREO</v>
          </cell>
          <cell r="D3134" t="str">
            <v>6001</v>
          </cell>
          <cell r="E3134" t="str">
            <v>6125</v>
          </cell>
          <cell r="F3134" t="str">
            <v>C1</v>
          </cell>
          <cell r="G3134" t="str">
            <v>SP</v>
          </cell>
          <cell r="H3134" t="str">
            <v>QSR</v>
          </cell>
          <cell r="I3134" t="str">
            <v>FOOD SERVICE</v>
          </cell>
          <cell r="J3134" t="str">
            <v>ANA MENIQUETE</v>
          </cell>
          <cell r="K3134" t="str">
            <v>ITAMBÉ</v>
          </cell>
          <cell r="L3134" t="str">
            <v>PEDRO</v>
          </cell>
          <cell r="M3134" t="str">
            <v>ANA MENIQUETE</v>
          </cell>
        </row>
        <row r="3135">
          <cell r="B3135">
            <v>5348324</v>
          </cell>
          <cell r="C3135" t="str">
            <v>DIST NORD DE CONFEIT E PANIF LT</v>
          </cell>
          <cell r="D3135" t="str">
            <v>7001</v>
          </cell>
          <cell r="E3135" t="str">
            <v>0558</v>
          </cell>
          <cell r="F3135" t="str">
            <v>C5</v>
          </cell>
          <cell r="G3135" t="str">
            <v>BA</v>
          </cell>
          <cell r="H3135" t="str">
            <v>DISTRIBUIÇÃO</v>
          </cell>
          <cell r="I3135" t="str">
            <v>FOOD SERVICE</v>
          </cell>
          <cell r="J3135" t="str">
            <v>CLAUDIO JORGE</v>
          </cell>
          <cell r="K3135" t="str">
            <v>LACTALIS</v>
          </cell>
          <cell r="L3135" t="str">
            <v>RODRIGO</v>
          </cell>
          <cell r="M3135" t="str">
            <v>MARIA LOURDES</v>
          </cell>
        </row>
        <row r="3136">
          <cell r="B3136">
            <v>5349839</v>
          </cell>
          <cell r="C3136" t="str">
            <v>REDE SUL CENTRO DE DIS DE ALIME</v>
          </cell>
          <cell r="D3136" t="str">
            <v>4001</v>
          </cell>
          <cell r="E3136" t="str">
            <v>0566</v>
          </cell>
          <cell r="F3136" t="str">
            <v>C7</v>
          </cell>
          <cell r="G3136" t="str">
            <v>RS</v>
          </cell>
          <cell r="H3136" t="str">
            <v>OUTROS</v>
          </cell>
          <cell r="I3136" t="str">
            <v>OUTROS</v>
          </cell>
          <cell r="J3136" t="str">
            <v>OUTROS</v>
          </cell>
          <cell r="K3136" t="str">
            <v>OUTROS</v>
          </cell>
          <cell r="L3136" t="str">
            <v>OUTROS</v>
          </cell>
          <cell r="M3136" t="str">
            <v>OUTROS</v>
          </cell>
        </row>
        <row r="3137">
          <cell r="B3137">
            <v>5364487</v>
          </cell>
          <cell r="C3137" t="str">
            <v>SORVETERIA DEVILLE LTDA</v>
          </cell>
          <cell r="D3137" t="str">
            <v>3001</v>
          </cell>
          <cell r="E3137" t="str">
            <v>0028</v>
          </cell>
          <cell r="F3137" t="str">
            <v>C1</v>
          </cell>
          <cell r="G3137" t="str">
            <v>SC</v>
          </cell>
          <cell r="H3137" t="str">
            <v>INGREDIENTS</v>
          </cell>
          <cell r="I3137" t="str">
            <v>INGREDIENTS</v>
          </cell>
          <cell r="J3137" t="str">
            <v>DUAS RODAS</v>
          </cell>
          <cell r="K3137" t="str">
            <v>ITAMBÉ</v>
          </cell>
          <cell r="L3137" t="str">
            <v>MAURICIO</v>
          </cell>
          <cell r="M3137" t="str">
            <v>MARCELO</v>
          </cell>
        </row>
        <row r="3138">
          <cell r="B3138">
            <v>5364488</v>
          </cell>
          <cell r="C3138" t="str">
            <v>OCLIDES JOSE PAZIN</v>
          </cell>
          <cell r="D3138" t="str">
            <v>3001</v>
          </cell>
          <cell r="E3138" t="str">
            <v>0028</v>
          </cell>
          <cell r="F3138" t="str">
            <v>C1</v>
          </cell>
          <cell r="G3138" t="str">
            <v>SC</v>
          </cell>
          <cell r="H3138" t="str">
            <v>INGREDIENTS</v>
          </cell>
          <cell r="I3138" t="str">
            <v>INGREDIENTS</v>
          </cell>
          <cell r="J3138" t="str">
            <v>DUAS RODAS</v>
          </cell>
          <cell r="K3138" t="str">
            <v>ITAMBÉ</v>
          </cell>
          <cell r="L3138" t="str">
            <v>MAURICIO</v>
          </cell>
          <cell r="M3138" t="str">
            <v>MARCELO</v>
          </cell>
        </row>
        <row r="3139">
          <cell r="B3139">
            <v>5225860</v>
          </cell>
          <cell r="C3139" t="str">
            <v>DISPAN DISTRIBUIDORA DE ALIMENTOS L</v>
          </cell>
          <cell r="D3139" t="str">
            <v>4001</v>
          </cell>
          <cell r="E3139" t="str">
            <v>0536</v>
          </cell>
          <cell r="F3139" t="str">
            <v>C5</v>
          </cell>
          <cell r="G3139" t="str">
            <v>PE</v>
          </cell>
          <cell r="H3139" t="str">
            <v>DISTRIBUIÇÃO</v>
          </cell>
          <cell r="I3139" t="str">
            <v>FOOD SERVICE</v>
          </cell>
          <cell r="J3139" t="str">
            <v>CLAUDIO JORGE/AMANDA SANDS</v>
          </cell>
          <cell r="K3139" t="str">
            <v>LACTALIS</v>
          </cell>
          <cell r="L3139" t="str">
            <v>RODRIGO</v>
          </cell>
          <cell r="M3139" t="str">
            <v>MARIA LOURDES</v>
          </cell>
        </row>
        <row r="3140">
          <cell r="B3140">
            <v>5255804</v>
          </cell>
          <cell r="C3140" t="str">
            <v>COMFRIO FOOD SERVICE LTDA</v>
          </cell>
          <cell r="D3140" t="str">
            <v>6001</v>
          </cell>
          <cell r="E3140" t="str">
            <v>6125</v>
          </cell>
          <cell r="F3140" t="str">
            <v>C1</v>
          </cell>
          <cell r="G3140" t="str">
            <v>SP</v>
          </cell>
          <cell r="H3140" t="str">
            <v>QSR</v>
          </cell>
          <cell r="I3140" t="str">
            <v>FOOD SERVICE</v>
          </cell>
          <cell r="J3140" t="str">
            <v>VAGO QSR</v>
          </cell>
          <cell r="K3140" t="str">
            <v>ITAMBÉ</v>
          </cell>
          <cell r="L3140" t="str">
            <v>PEDRO</v>
          </cell>
          <cell r="M3140" t="str">
            <v>VAGO QSR</v>
          </cell>
        </row>
        <row r="3141">
          <cell r="B3141">
            <v>5364210</v>
          </cell>
          <cell r="C3141" t="str">
            <v>RB FOODS LTDA</v>
          </cell>
          <cell r="D3141" t="str">
            <v>7001</v>
          </cell>
          <cell r="E3141" t="str">
            <v>0749</v>
          </cell>
          <cell r="F3141" t="str">
            <v>C5</v>
          </cell>
          <cell r="G3141" t="str">
            <v>SP</v>
          </cell>
          <cell r="H3141" t="str">
            <v>DISTRIBUIÇÃO</v>
          </cell>
          <cell r="I3141" t="str">
            <v>FOOD SERVICE</v>
          </cell>
          <cell r="J3141" t="str">
            <v>FLAC 2</v>
          </cell>
          <cell r="K3141" t="str">
            <v>LACTALIS</v>
          </cell>
          <cell r="L3141" t="str">
            <v>RODRIGO</v>
          </cell>
          <cell r="M3141" t="str">
            <v>RAQUEL BARBOSA</v>
          </cell>
        </row>
        <row r="3142">
          <cell r="B3142">
            <v>5348856</v>
          </cell>
          <cell r="C3142" t="str">
            <v>CONFRARIA DO CAFE GOURMET LTDA</v>
          </cell>
          <cell r="D3142" t="str">
            <v>7001</v>
          </cell>
          <cell r="E3142" t="str">
            <v>0749</v>
          </cell>
          <cell r="F3142" t="str">
            <v>C5</v>
          </cell>
          <cell r="G3142" t="str">
            <v>SP</v>
          </cell>
          <cell r="H3142" t="str">
            <v>DISTRIBUIÇÃO</v>
          </cell>
          <cell r="I3142" t="str">
            <v>FOOD SERVICE</v>
          </cell>
          <cell r="J3142" t="str">
            <v>FLAC 3</v>
          </cell>
          <cell r="K3142" t="str">
            <v>LACTALIS</v>
          </cell>
          <cell r="L3142" t="str">
            <v>RODRIGO</v>
          </cell>
          <cell r="M3142" t="str">
            <v>RAQUEL BARBOSA</v>
          </cell>
        </row>
        <row r="3143">
          <cell r="B3143">
            <v>5363619</v>
          </cell>
          <cell r="C3143" t="str">
            <v>ANGA ALIMENTACAO E SERVICOS LTD</v>
          </cell>
          <cell r="D3143" t="str">
            <v>7001</v>
          </cell>
          <cell r="E3143" t="str">
            <v>0749</v>
          </cell>
          <cell r="F3143" t="str">
            <v>C5</v>
          </cell>
          <cell r="G3143" t="str">
            <v>SP</v>
          </cell>
          <cell r="H3143" t="str">
            <v>DISTRIBUIÇÃO</v>
          </cell>
          <cell r="I3143" t="str">
            <v>FOOD SERVICE</v>
          </cell>
          <cell r="J3143" t="str">
            <v>FLAC 1</v>
          </cell>
          <cell r="K3143" t="str">
            <v>LACTALIS</v>
          </cell>
          <cell r="L3143" t="str">
            <v>RODRIGO</v>
          </cell>
          <cell r="M3143" t="str">
            <v>RAQUEL BARBOSA</v>
          </cell>
        </row>
        <row r="3144">
          <cell r="B3144">
            <v>5364616</v>
          </cell>
          <cell r="C3144" t="str">
            <v>PISTACHIO BAKERY LTDA</v>
          </cell>
          <cell r="D3144" t="str">
            <v>7001</v>
          </cell>
          <cell r="E3144" t="str">
            <v>0749</v>
          </cell>
          <cell r="F3144" t="str">
            <v>C5</v>
          </cell>
          <cell r="G3144" t="str">
            <v>SP</v>
          </cell>
          <cell r="H3144" t="str">
            <v>DISTRIBUIÇÃO</v>
          </cell>
          <cell r="I3144" t="str">
            <v>FOOD SERVICE</v>
          </cell>
          <cell r="J3144" t="str">
            <v>FLAC 6</v>
          </cell>
          <cell r="K3144" t="str">
            <v>LACTALIS</v>
          </cell>
          <cell r="L3144" t="str">
            <v>RODRIGO</v>
          </cell>
          <cell r="M3144" t="str">
            <v>RAQUEL BARBOSA</v>
          </cell>
        </row>
        <row r="3145">
          <cell r="B3145">
            <v>5012038</v>
          </cell>
          <cell r="C3145" t="str">
            <v>HARALD INDUSTRIA E COMERCIO ALI</v>
          </cell>
          <cell r="D3145" t="str">
            <v>4001</v>
          </cell>
          <cell r="E3145" t="str">
            <v>0437</v>
          </cell>
          <cell r="F3145" t="str">
            <v>C1</v>
          </cell>
          <cell r="G3145" t="str">
            <v>SP</v>
          </cell>
          <cell r="H3145" t="str">
            <v>INGREDIENTS</v>
          </cell>
          <cell r="I3145" t="str">
            <v>INGREDIENTS</v>
          </cell>
          <cell r="J3145" t="str">
            <v>TATIANA NITTA</v>
          </cell>
          <cell r="K3145" t="str">
            <v>LACTALIS</v>
          </cell>
          <cell r="L3145" t="str">
            <v>MAURICIO</v>
          </cell>
          <cell r="M3145" t="str">
            <v>TATIANA NITTA</v>
          </cell>
        </row>
        <row r="3146">
          <cell r="B3146">
            <v>5271951</v>
          </cell>
          <cell r="C3146" t="str">
            <v>HOTELARIA ACCOR BRASIL SA</v>
          </cell>
          <cell r="D3146" t="str">
            <v>7001</v>
          </cell>
          <cell r="E3146" t="str">
            <v>0749</v>
          </cell>
          <cell r="F3146" t="str">
            <v>C5</v>
          </cell>
          <cell r="G3146" t="str">
            <v>SP</v>
          </cell>
          <cell r="H3146" t="str">
            <v>DISTRIBUIÇÃO</v>
          </cell>
          <cell r="I3146" t="str">
            <v>FOOD SERVICE</v>
          </cell>
          <cell r="J3146" t="str">
            <v>FLAC 2</v>
          </cell>
          <cell r="K3146" t="str">
            <v>LACTALIS</v>
          </cell>
          <cell r="L3146" t="str">
            <v>RODRIGO</v>
          </cell>
          <cell r="M3146" t="str">
            <v>RAQUEL BARBOSA</v>
          </cell>
        </row>
        <row r="3147">
          <cell r="B3147">
            <v>5315383</v>
          </cell>
          <cell r="C3147" t="str">
            <v>MATILDA PAULISTA RESTAURANTE LT</v>
          </cell>
          <cell r="D3147" t="str">
            <v>7001</v>
          </cell>
          <cell r="E3147" t="str">
            <v>0749</v>
          </cell>
          <cell r="F3147" t="str">
            <v>C5</v>
          </cell>
          <cell r="G3147" t="str">
            <v>SP</v>
          </cell>
          <cell r="H3147" t="str">
            <v>DISTRIBUIÇÃO</v>
          </cell>
          <cell r="I3147" t="str">
            <v>FOOD SERVICE</v>
          </cell>
          <cell r="J3147" t="str">
            <v>FLAC 4</v>
          </cell>
          <cell r="K3147" t="str">
            <v>LACTALIS</v>
          </cell>
          <cell r="L3147" t="str">
            <v>RODRIGO</v>
          </cell>
          <cell r="M3147" t="str">
            <v>RAQUEL BARBOSA</v>
          </cell>
        </row>
        <row r="3148">
          <cell r="B3148">
            <v>5364722</v>
          </cell>
          <cell r="C3148" t="str">
            <v>AM COFFEE E CO LTDA</v>
          </cell>
          <cell r="D3148" t="str">
            <v>7001</v>
          </cell>
          <cell r="E3148" t="str">
            <v>0749</v>
          </cell>
          <cell r="F3148" t="str">
            <v>C5</v>
          </cell>
          <cell r="G3148" t="str">
            <v>SP</v>
          </cell>
          <cell r="H3148" t="str">
            <v>DISTRIBUIÇÃO</v>
          </cell>
          <cell r="I3148" t="str">
            <v>FOOD SERVICE</v>
          </cell>
          <cell r="J3148" t="str">
            <v>FLAC 3</v>
          </cell>
          <cell r="K3148" t="str">
            <v>LACTALIS</v>
          </cell>
          <cell r="L3148" t="str">
            <v>RODRIGO</v>
          </cell>
          <cell r="M3148" t="str">
            <v>RAQUEL BARBOSA</v>
          </cell>
        </row>
        <row r="3149">
          <cell r="B3149">
            <v>5363953</v>
          </cell>
          <cell r="C3149" t="str">
            <v>ITHALA MONIQUE OLIVEIRA</v>
          </cell>
          <cell r="D3149" t="str">
            <v>3001</v>
          </cell>
          <cell r="E3149" t="str">
            <v>0028</v>
          </cell>
          <cell r="F3149" t="str">
            <v>C1</v>
          </cell>
          <cell r="G3149" t="str">
            <v>PB</v>
          </cell>
          <cell r="H3149" t="str">
            <v>INGREDIENTS</v>
          </cell>
          <cell r="I3149" t="str">
            <v>INGREDIENTS</v>
          </cell>
          <cell r="J3149" t="str">
            <v>JOEL ELEOTÉRIO</v>
          </cell>
          <cell r="K3149" t="str">
            <v>ITAMBÉ</v>
          </cell>
          <cell r="L3149" t="str">
            <v>MAURICIO</v>
          </cell>
          <cell r="M3149" t="str">
            <v>JOEL</v>
          </cell>
        </row>
        <row r="3150">
          <cell r="B3150">
            <v>5229510</v>
          </cell>
          <cell r="C3150" t="str">
            <v>DLVA DISTRIB DE PROD ALIMEN LTD</v>
          </cell>
          <cell r="D3150" t="str">
            <v>6001</v>
          </cell>
          <cell r="E3150" t="str">
            <v>6028</v>
          </cell>
          <cell r="F3150" t="str">
            <v>C1</v>
          </cell>
          <cell r="G3150" t="str">
            <v>SP</v>
          </cell>
          <cell r="H3150" t="str">
            <v>INGREDIENTS</v>
          </cell>
          <cell r="I3150" t="str">
            <v>INGREDIENTS</v>
          </cell>
          <cell r="J3150" t="str">
            <v>ITB FS SPLENDI REPRESENTAÇÕES</v>
          </cell>
          <cell r="K3150" t="str">
            <v>ITAMBÉ</v>
          </cell>
          <cell r="L3150" t="str">
            <v>MAURICIO</v>
          </cell>
          <cell r="M3150" t="str">
            <v>TATIANA NITTA</v>
          </cell>
        </row>
        <row r="3151">
          <cell r="B3151">
            <v>5234713</v>
          </cell>
          <cell r="C3151" t="str">
            <v>OSMAR NICOLINI COMERCIO E DISTR</v>
          </cell>
          <cell r="D3151" t="str">
            <v>4001</v>
          </cell>
          <cell r="E3151" t="str">
            <v>0593</v>
          </cell>
          <cell r="F3151" t="str">
            <v>C7</v>
          </cell>
          <cell r="G3151" t="str">
            <v>RS</v>
          </cell>
          <cell r="H3151" t="str">
            <v>OUTROS</v>
          </cell>
          <cell r="I3151" t="str">
            <v>OUTROS</v>
          </cell>
          <cell r="J3151" t="str">
            <v>OUTROS</v>
          </cell>
          <cell r="K3151" t="str">
            <v>OUTROS</v>
          </cell>
          <cell r="L3151" t="str">
            <v>OUTROS</v>
          </cell>
          <cell r="M3151" t="str">
            <v>OUTROS</v>
          </cell>
        </row>
        <row r="3152">
          <cell r="B3152">
            <v>5248563</v>
          </cell>
          <cell r="C3152" t="str">
            <v>SANDRA MARGARETE COELHO</v>
          </cell>
          <cell r="D3152" t="str">
            <v>4001</v>
          </cell>
          <cell r="E3152" t="str">
            <v>0593</v>
          </cell>
          <cell r="F3152" t="str">
            <v>C7</v>
          </cell>
          <cell r="G3152" t="str">
            <v>RS</v>
          </cell>
          <cell r="H3152" t="str">
            <v>OUTROS</v>
          </cell>
          <cell r="I3152" t="str">
            <v>OUTROS</v>
          </cell>
          <cell r="J3152" t="str">
            <v>OUTROS</v>
          </cell>
          <cell r="K3152" t="str">
            <v>OUTROS</v>
          </cell>
          <cell r="L3152" t="str">
            <v>OUTROS</v>
          </cell>
          <cell r="M3152" t="str">
            <v>OUTROS</v>
          </cell>
        </row>
        <row r="3153">
          <cell r="B3153">
            <v>5279596</v>
          </cell>
          <cell r="C3153" t="str">
            <v>J JOSE POSADA CIA LTDA</v>
          </cell>
          <cell r="D3153" t="str">
            <v>4001</v>
          </cell>
          <cell r="E3153" t="str">
            <v>0593</v>
          </cell>
          <cell r="F3153" t="str">
            <v>C7</v>
          </cell>
          <cell r="G3153" t="str">
            <v>RS</v>
          </cell>
          <cell r="H3153" t="str">
            <v>OUTROS</v>
          </cell>
          <cell r="I3153" t="str">
            <v>OUTROS</v>
          </cell>
          <cell r="J3153" t="str">
            <v>OUTROS</v>
          </cell>
          <cell r="K3153" t="str">
            <v>OUTROS</v>
          </cell>
          <cell r="L3153" t="str">
            <v>OUTROS</v>
          </cell>
          <cell r="M3153" t="str">
            <v>OUTROS</v>
          </cell>
        </row>
        <row r="3154">
          <cell r="B3154">
            <v>5287946</v>
          </cell>
          <cell r="C3154" t="str">
            <v>SUPERMERCADO GUANABARA S A</v>
          </cell>
          <cell r="D3154" t="str">
            <v>4001</v>
          </cell>
          <cell r="E3154" t="str">
            <v>0593</v>
          </cell>
          <cell r="F3154" t="str">
            <v>C7</v>
          </cell>
          <cell r="G3154" t="str">
            <v>RS</v>
          </cell>
          <cell r="H3154" t="str">
            <v>OUTROS</v>
          </cell>
          <cell r="I3154" t="str">
            <v>OUTROS</v>
          </cell>
          <cell r="J3154" t="str">
            <v>OUTROS</v>
          </cell>
          <cell r="K3154" t="str">
            <v>OUTROS</v>
          </cell>
          <cell r="L3154" t="str">
            <v>OUTROS</v>
          </cell>
          <cell r="M3154" t="str">
            <v>OUTROS</v>
          </cell>
        </row>
        <row r="3155">
          <cell r="B3155">
            <v>5349839</v>
          </cell>
          <cell r="C3155" t="str">
            <v>REDE SUL CENTRO DE DIS DE ALIMENTOS</v>
          </cell>
          <cell r="D3155" t="str">
            <v>4001</v>
          </cell>
          <cell r="E3155" t="str">
            <v>0593</v>
          </cell>
          <cell r="F3155" t="str">
            <v>C7</v>
          </cell>
          <cell r="G3155" t="str">
            <v>RS</v>
          </cell>
          <cell r="H3155" t="str">
            <v>OUTROS</v>
          </cell>
          <cell r="I3155" t="str">
            <v>OUTROS</v>
          </cell>
          <cell r="J3155" t="str">
            <v>OUTROS</v>
          </cell>
          <cell r="K3155" t="str">
            <v>OUTROS</v>
          </cell>
          <cell r="L3155" t="str">
            <v>OUTROS</v>
          </cell>
          <cell r="M3155" t="str">
            <v>OUTROS</v>
          </cell>
        </row>
        <row r="3156">
          <cell r="B3156">
            <v>5364697</v>
          </cell>
          <cell r="C3156" t="str">
            <v>REI DOS GELADOS LTDA</v>
          </cell>
          <cell r="D3156" t="str">
            <v>6001</v>
          </cell>
          <cell r="E3156" t="str">
            <v>6028</v>
          </cell>
          <cell r="F3156" t="str">
            <v>C1</v>
          </cell>
          <cell r="G3156" t="str">
            <v>RJ</v>
          </cell>
          <cell r="H3156" t="str">
            <v>INGREDIENTS</v>
          </cell>
          <cell r="I3156" t="str">
            <v>INGREDIENTS</v>
          </cell>
          <cell r="J3156" t="str">
            <v>RJ ITB FS L T MARTINS</v>
          </cell>
          <cell r="K3156" t="str">
            <v>ITAMBÉ</v>
          </cell>
          <cell r="L3156" t="str">
            <v>MAURICIO</v>
          </cell>
          <cell r="M3156" t="str">
            <v>TATIANA NITTA</v>
          </cell>
        </row>
        <row r="3157">
          <cell r="B3157">
            <v>5364794</v>
          </cell>
          <cell r="C3157" t="str">
            <v>RSOL DISTRIBUIDORA LTDA</v>
          </cell>
          <cell r="D3157" t="str">
            <v>3001</v>
          </cell>
          <cell r="E3157" t="str">
            <v>0028</v>
          </cell>
          <cell r="F3157" t="str">
            <v>C1</v>
          </cell>
          <cell r="G3157" t="str">
            <v>PR</v>
          </cell>
          <cell r="H3157" t="str">
            <v>INGREDIENTS</v>
          </cell>
          <cell r="I3157" t="str">
            <v>INGREDIENTS</v>
          </cell>
          <cell r="J3157" t="str">
            <v>MARCELO RODRIGUES</v>
          </cell>
          <cell r="K3157" t="str">
            <v>ITAMBÉ</v>
          </cell>
          <cell r="L3157" t="str">
            <v>MAURICIO</v>
          </cell>
          <cell r="M3157" t="str">
            <v>MARCELO</v>
          </cell>
        </row>
        <row r="3158">
          <cell r="B3158">
            <v>5151341</v>
          </cell>
          <cell r="C3158" t="str">
            <v>FORMAGGIO DISTRIB ALIMENTOS LTDA</v>
          </cell>
          <cell r="D3158" t="str">
            <v>4001</v>
          </cell>
          <cell r="E3158" t="str">
            <v>0536</v>
          </cell>
          <cell r="F3158" t="str">
            <v>C5</v>
          </cell>
          <cell r="G3158" t="str">
            <v>PE</v>
          </cell>
          <cell r="H3158" t="str">
            <v>DISTRIBUIÇÃO</v>
          </cell>
          <cell r="I3158" t="str">
            <v>FOOD SERVICE</v>
          </cell>
          <cell r="J3158" t="str">
            <v>CLAUDIO JORGE</v>
          </cell>
          <cell r="K3158" t="str">
            <v>LACTALIS</v>
          </cell>
          <cell r="L3158" t="str">
            <v>RODRIGO</v>
          </cell>
          <cell r="M3158" t="str">
            <v>MARIA LOURDES</v>
          </cell>
        </row>
        <row r="3159">
          <cell r="B3159">
            <v>5189657</v>
          </cell>
          <cell r="C3159" t="str">
            <v>CHARLOTE RIO ALIMENTOS LTDA</v>
          </cell>
          <cell r="D3159" t="str">
            <v>6001</v>
          </cell>
          <cell r="E3159" t="str">
            <v>6169</v>
          </cell>
          <cell r="F3159" t="str">
            <v>C1</v>
          </cell>
          <cell r="G3159" t="str">
            <v>RJ</v>
          </cell>
          <cell r="H3159" t="str">
            <v>DISTRIBUIÇÃO</v>
          </cell>
          <cell r="I3159" t="str">
            <v>FOOD SERVICE</v>
          </cell>
          <cell r="J3159" t="str">
            <v>JULIANA CORDEIRO</v>
          </cell>
          <cell r="K3159" t="str">
            <v>ITAMBÉ</v>
          </cell>
          <cell r="L3159" t="str">
            <v>RODRIGO</v>
          </cell>
          <cell r="M3159" t="str">
            <v>JESSICA</v>
          </cell>
        </row>
        <row r="3160">
          <cell r="B3160">
            <v>5364934</v>
          </cell>
          <cell r="C3160" t="str">
            <v>24855276 FABRICIO AMORIM FERREI</v>
          </cell>
          <cell r="D3160" t="str">
            <v>7001</v>
          </cell>
          <cell r="E3160" t="str">
            <v>0749</v>
          </cell>
          <cell r="F3160" t="str">
            <v>C5</v>
          </cell>
          <cell r="G3160" t="str">
            <v>SP</v>
          </cell>
          <cell r="H3160" t="str">
            <v>DISTRIBUIÇÃO</v>
          </cell>
          <cell r="I3160" t="str">
            <v>FOOD SERVICE</v>
          </cell>
          <cell r="J3160" t="str">
            <v>FLAC 2</v>
          </cell>
          <cell r="K3160" t="str">
            <v>LACTALIS</v>
          </cell>
          <cell r="L3160" t="str">
            <v>RODRIGO</v>
          </cell>
          <cell r="M3160" t="str">
            <v>RAQUEL BARBOSA</v>
          </cell>
        </row>
        <row r="3161">
          <cell r="B3161">
            <v>5364976</v>
          </cell>
          <cell r="C3161" t="str">
            <v>65459689 VIVIANE BUZZO RODRIGUE</v>
          </cell>
          <cell r="D3161" t="str">
            <v>7001</v>
          </cell>
          <cell r="E3161" t="str">
            <v>0749</v>
          </cell>
          <cell r="F3161" t="str">
            <v>C5</v>
          </cell>
          <cell r="G3161" t="str">
            <v>SP</v>
          </cell>
          <cell r="H3161" t="str">
            <v>DISTRIBUIÇÃO</v>
          </cell>
          <cell r="I3161" t="str">
            <v>FOOD SERVICE</v>
          </cell>
          <cell r="J3161" t="str">
            <v>FLAC 2</v>
          </cell>
          <cell r="K3161" t="str">
            <v>LACTALIS</v>
          </cell>
          <cell r="L3161" t="str">
            <v>RODRIGO</v>
          </cell>
          <cell r="M3161" t="str">
            <v>RAQUEL BARBOSA</v>
          </cell>
        </row>
        <row r="3162">
          <cell r="B3162">
            <v>5274344</v>
          </cell>
          <cell r="C3162" t="str">
            <v>BERSAGLIO COMERCIO DE ALIM LTDA</v>
          </cell>
          <cell r="D3162" t="str">
            <v>4001</v>
          </cell>
          <cell r="E3162" t="str">
            <v>0593</v>
          </cell>
          <cell r="F3162" t="str">
            <v>C7</v>
          </cell>
          <cell r="G3162" t="str">
            <v>RS</v>
          </cell>
          <cell r="H3162" t="str">
            <v>OUTROS</v>
          </cell>
          <cell r="I3162" t="str">
            <v>OUTROS</v>
          </cell>
          <cell r="J3162" t="str">
            <v>OUTROS</v>
          </cell>
          <cell r="K3162" t="str">
            <v>OUTROS</v>
          </cell>
          <cell r="L3162" t="str">
            <v>OUTROS</v>
          </cell>
          <cell r="M3162" t="str">
            <v>OUTROS</v>
          </cell>
        </row>
        <row r="3163">
          <cell r="B3163">
            <v>5338402</v>
          </cell>
          <cell r="C3163" t="str">
            <v>ALCREMO IND E COM DE LATICINIOS</v>
          </cell>
          <cell r="D3163" t="str">
            <v>4001</v>
          </cell>
          <cell r="E3163" t="str">
            <v>0458</v>
          </cell>
          <cell r="F3163" t="str">
            <v>C1</v>
          </cell>
          <cell r="G3163" t="str">
            <v>MG</v>
          </cell>
          <cell r="H3163" t="str">
            <v>INGREDIENTS</v>
          </cell>
          <cell r="I3163" t="str">
            <v>INGREDIENTS</v>
          </cell>
          <cell r="J3163" t="str">
            <v>JOEL ELEOTÉRIO</v>
          </cell>
          <cell r="K3163" t="str">
            <v>LACTALIS</v>
          </cell>
          <cell r="L3163" t="str">
            <v>MAURICIO</v>
          </cell>
          <cell r="M3163" t="str">
            <v>JOEL</v>
          </cell>
        </row>
        <row r="3164">
          <cell r="B3164">
            <v>5332556</v>
          </cell>
          <cell r="C3164" t="str">
            <v>CB CURITIBA COMERCIO DE ALIMENTOS L</v>
          </cell>
          <cell r="D3164" t="str">
            <v>3001</v>
          </cell>
          <cell r="E3164" t="str">
            <v>0126</v>
          </cell>
          <cell r="F3164" t="str">
            <v>C1</v>
          </cell>
          <cell r="G3164" t="str">
            <v>PR</v>
          </cell>
          <cell r="H3164" t="str">
            <v>QSR</v>
          </cell>
          <cell r="I3164" t="str">
            <v>FOOD SERVICE</v>
          </cell>
          <cell r="J3164" t="str">
            <v>VAGO QSR</v>
          </cell>
          <cell r="K3164" t="str">
            <v>ITAMBÉ</v>
          </cell>
          <cell r="L3164" t="str">
            <v>PEDRO</v>
          </cell>
          <cell r="M3164" t="str">
            <v>VAGO QSR</v>
          </cell>
        </row>
        <row r="3165">
          <cell r="B3165">
            <v>5332557</v>
          </cell>
          <cell r="C3165" t="str">
            <v>CB CURITIBA COMERCIO DE ALIMENT</v>
          </cell>
          <cell r="D3165" t="str">
            <v>3001</v>
          </cell>
          <cell r="E3165" t="str">
            <v>0126</v>
          </cell>
          <cell r="F3165" t="str">
            <v>C1</v>
          </cell>
          <cell r="G3165" t="str">
            <v>PR</v>
          </cell>
          <cell r="H3165" t="str">
            <v>QSR</v>
          </cell>
          <cell r="I3165" t="str">
            <v>FOOD SERVICE</v>
          </cell>
          <cell r="J3165" t="str">
            <v>VAGO QSR</v>
          </cell>
          <cell r="K3165" t="str">
            <v>ITAMBÉ</v>
          </cell>
          <cell r="L3165" t="str">
            <v>PEDRO</v>
          </cell>
          <cell r="M3165" t="str">
            <v>VAGO QSR</v>
          </cell>
        </row>
        <row r="3166">
          <cell r="B3166">
            <v>5336831</v>
          </cell>
          <cell r="C3166" t="str">
            <v>COMERCIO VAREJISTA DE SORVETES</v>
          </cell>
          <cell r="D3166" t="str">
            <v>6001</v>
          </cell>
          <cell r="E3166" t="str">
            <v>6125</v>
          </cell>
          <cell r="F3166" t="str">
            <v>C1</v>
          </cell>
          <cell r="G3166" t="str">
            <v>SP</v>
          </cell>
          <cell r="H3166" t="str">
            <v>QSR</v>
          </cell>
          <cell r="I3166" t="str">
            <v>FOOD SERVICE</v>
          </cell>
          <cell r="J3166" t="str">
            <v>NUTRI</v>
          </cell>
          <cell r="K3166" t="str">
            <v>ITAMBÉ</v>
          </cell>
          <cell r="L3166" t="str">
            <v>PEDRO</v>
          </cell>
          <cell r="M3166" t="str">
            <v>VAGO QSR</v>
          </cell>
        </row>
        <row r="3167">
          <cell r="B3167">
            <v>5352422</v>
          </cell>
          <cell r="C3167" t="str">
            <v>CB LAGO NORTE COM DE ALIM LTDA</v>
          </cell>
          <cell r="D3167" t="str">
            <v>6001</v>
          </cell>
          <cell r="E3167" t="str">
            <v>6123</v>
          </cell>
          <cell r="F3167" t="str">
            <v>C1</v>
          </cell>
          <cell r="G3167" t="str">
            <v>DF</v>
          </cell>
          <cell r="H3167" t="str">
            <v>QSR</v>
          </cell>
          <cell r="I3167" t="str">
            <v>FOOD SERVICE</v>
          </cell>
          <cell r="J3167" t="str">
            <v>VAGO QSR</v>
          </cell>
          <cell r="K3167" t="str">
            <v>ITAMBÉ</v>
          </cell>
          <cell r="L3167" t="str">
            <v>PEDRO</v>
          </cell>
          <cell r="M3167" t="str">
            <v>VAGO QSR</v>
          </cell>
        </row>
        <row r="3168">
          <cell r="B3168">
            <v>5363138</v>
          </cell>
          <cell r="C3168" t="str">
            <v>MY FLY SERVICOS E EVENTOS LTDA</v>
          </cell>
          <cell r="D3168" t="str">
            <v>6001</v>
          </cell>
          <cell r="E3168" t="str">
            <v>6169</v>
          </cell>
          <cell r="F3168" t="str">
            <v>C1</v>
          </cell>
          <cell r="G3168" t="str">
            <v>RJ</v>
          </cell>
          <cell r="H3168" t="str">
            <v>DISTRIBUIÇÃO</v>
          </cell>
          <cell r="I3168" t="str">
            <v>FOOD SERVICE</v>
          </cell>
          <cell r="J3168" t="str">
            <v>LUCIANA MARTINS</v>
          </cell>
          <cell r="K3168" t="str">
            <v>ITAMBÉ</v>
          </cell>
          <cell r="L3168" t="str">
            <v>RODRIGO</v>
          </cell>
          <cell r="M3168" t="str">
            <v>JESSICA</v>
          </cell>
        </row>
        <row r="3169">
          <cell r="B3169">
            <v>5302247</v>
          </cell>
          <cell r="C3169" t="str">
            <v>LACTICINIOS TIROL LTDA</v>
          </cell>
          <cell r="D3169" t="str">
            <v>4001</v>
          </cell>
          <cell r="E3169" t="str">
            <v>0546</v>
          </cell>
          <cell r="F3169" t="str">
            <v>C1</v>
          </cell>
          <cell r="G3169" t="str">
            <v>RS</v>
          </cell>
          <cell r="H3169" t="str">
            <v>OUTROS</v>
          </cell>
          <cell r="I3169" t="str">
            <v>OUTROS</v>
          </cell>
          <cell r="J3169" t="str">
            <v>SERVIÇO TIROL</v>
          </cell>
          <cell r="K3169" t="str">
            <v>OUTROS</v>
          </cell>
          <cell r="L3169" t="str">
            <v>OUTROS</v>
          </cell>
          <cell r="M3169" t="str">
            <v>SERVIÇO TIROL</v>
          </cell>
        </row>
        <row r="3170">
          <cell r="B3170">
            <v>5307454</v>
          </cell>
          <cell r="C3170" t="str">
            <v>YA CULTURA COMIDA E ARTE LTDA</v>
          </cell>
          <cell r="D3170" t="str">
            <v>7001</v>
          </cell>
          <cell r="E3170" t="str">
            <v>0749</v>
          </cell>
          <cell r="F3170" t="str">
            <v>C5</v>
          </cell>
          <cell r="G3170" t="str">
            <v>SP</v>
          </cell>
          <cell r="H3170" t="str">
            <v>DISTRIBUIÇÃO</v>
          </cell>
          <cell r="I3170" t="str">
            <v>FOOD SERVICE</v>
          </cell>
          <cell r="J3170" t="str">
            <v>FLAC 4</v>
          </cell>
          <cell r="K3170" t="str">
            <v>LACTALIS</v>
          </cell>
          <cell r="L3170" t="str">
            <v>RODRIGO</v>
          </cell>
          <cell r="M3170" t="str">
            <v>RAQUEL BARBOSA</v>
          </cell>
        </row>
        <row r="3171">
          <cell r="B3171">
            <v>5350700</v>
          </cell>
          <cell r="C3171" t="str">
            <v>CB RP COMERCIO DE ALIMEN LTDA</v>
          </cell>
          <cell r="D3171" t="str">
            <v>6001</v>
          </cell>
          <cell r="E3171" t="str">
            <v>6125</v>
          </cell>
          <cell r="F3171" t="str">
            <v>C1</v>
          </cell>
          <cell r="G3171" t="str">
            <v>SP</v>
          </cell>
          <cell r="H3171" t="str">
            <v>QSR</v>
          </cell>
          <cell r="I3171" t="str">
            <v>FOOD SERVICE</v>
          </cell>
          <cell r="J3171" t="str">
            <v>VAGO QSR</v>
          </cell>
          <cell r="K3171" t="str">
            <v>ITAMBÉ</v>
          </cell>
          <cell r="L3171" t="str">
            <v>PEDRO</v>
          </cell>
          <cell r="M3171" t="str">
            <v>VAGO QSR</v>
          </cell>
        </row>
        <row r="3172">
          <cell r="B3172">
            <v>5350703</v>
          </cell>
          <cell r="C3172" t="str">
            <v>CB S JOSE DOS CAMPOS COM DE AL</v>
          </cell>
          <cell r="D3172" t="str">
            <v>6001</v>
          </cell>
          <cell r="E3172" t="str">
            <v>6125</v>
          </cell>
          <cell r="F3172" t="str">
            <v>C1</v>
          </cell>
          <cell r="G3172" t="str">
            <v>SP</v>
          </cell>
          <cell r="H3172" t="str">
            <v>QSR</v>
          </cell>
          <cell r="I3172" t="str">
            <v>FOOD SERVICE</v>
          </cell>
          <cell r="J3172" t="str">
            <v>VAGO QSR</v>
          </cell>
          <cell r="K3172" t="str">
            <v>ITAMBÉ</v>
          </cell>
          <cell r="L3172" t="str">
            <v>PEDRO</v>
          </cell>
          <cell r="M3172" t="str">
            <v>VAGO QSR</v>
          </cell>
        </row>
        <row r="3173">
          <cell r="B3173">
            <v>5351896</v>
          </cell>
          <cell r="C3173" t="str">
            <v>CB FLORIANOPOLIS COM DE ALIM LT</v>
          </cell>
          <cell r="D3173" t="str">
            <v>3001</v>
          </cell>
          <cell r="E3173" t="str">
            <v>0126</v>
          </cell>
          <cell r="F3173" t="str">
            <v>C1</v>
          </cell>
          <cell r="G3173" t="str">
            <v>SC</v>
          </cell>
          <cell r="H3173" t="str">
            <v>QSR</v>
          </cell>
          <cell r="I3173" t="str">
            <v>FOOD SERVICE</v>
          </cell>
          <cell r="J3173" t="str">
            <v>VAGO QSR</v>
          </cell>
          <cell r="K3173" t="str">
            <v>ITAMBÉ</v>
          </cell>
          <cell r="L3173" t="str">
            <v>PEDRO</v>
          </cell>
          <cell r="M3173" t="str">
            <v>VAGO QSR</v>
          </cell>
        </row>
        <row r="3174">
          <cell r="B3174">
            <v>5351897</v>
          </cell>
          <cell r="C3174" t="str">
            <v>CB FLORIANOPOLIS COM DE ALIM LT</v>
          </cell>
          <cell r="D3174" t="str">
            <v>3001</v>
          </cell>
          <cell r="E3174" t="str">
            <v>0126</v>
          </cell>
          <cell r="F3174" t="str">
            <v>C1</v>
          </cell>
          <cell r="G3174" t="str">
            <v>SC</v>
          </cell>
          <cell r="H3174" t="str">
            <v>QSR</v>
          </cell>
          <cell r="I3174" t="str">
            <v>FOOD SERVICE</v>
          </cell>
          <cell r="J3174" t="str">
            <v>VAGO QSR</v>
          </cell>
          <cell r="K3174" t="str">
            <v>ITAMBÉ</v>
          </cell>
          <cell r="L3174" t="str">
            <v>PEDRO</v>
          </cell>
          <cell r="M3174" t="str">
            <v>VAGO QSR</v>
          </cell>
        </row>
        <row r="3175">
          <cell r="B3175">
            <v>5363757</v>
          </cell>
          <cell r="C3175" t="str">
            <v>CB MACEIO COMERCIO DE ALIMENTOS</v>
          </cell>
          <cell r="D3175" t="str">
            <v>3001</v>
          </cell>
          <cell r="E3175" t="str">
            <v>0127</v>
          </cell>
          <cell r="F3175" t="str">
            <v>C1</v>
          </cell>
          <cell r="G3175" t="str">
            <v>AL</v>
          </cell>
          <cell r="H3175" t="str">
            <v>QSR</v>
          </cell>
          <cell r="I3175" t="str">
            <v>FOOD SERVICE</v>
          </cell>
          <cell r="J3175" t="str">
            <v>VAGO QSR</v>
          </cell>
          <cell r="K3175" t="str">
            <v>ITAMBÉ</v>
          </cell>
          <cell r="L3175" t="str">
            <v>PEDRO</v>
          </cell>
          <cell r="M3175" t="str">
            <v>VAGO QSR</v>
          </cell>
        </row>
        <row r="3176">
          <cell r="B3176">
            <v>5170377</v>
          </cell>
          <cell r="C3176" t="str">
            <v>NUTRIBOM SORVETES EILRELI ME</v>
          </cell>
          <cell r="D3176" t="str">
            <v>6001</v>
          </cell>
          <cell r="E3176" t="str">
            <v>6028</v>
          </cell>
          <cell r="F3176" t="str">
            <v>C1</v>
          </cell>
          <cell r="G3176" t="str">
            <v>RJ</v>
          </cell>
          <cell r="H3176" t="str">
            <v>INGREDIENTS</v>
          </cell>
          <cell r="I3176" t="str">
            <v>INGREDIENTS</v>
          </cell>
          <cell r="J3176" t="str">
            <v>RJ ITB FS L T MARTINS</v>
          </cell>
          <cell r="K3176" t="str">
            <v>ITAMBÉ</v>
          </cell>
          <cell r="L3176" t="str">
            <v>MAURICIO</v>
          </cell>
          <cell r="M3176" t="str">
            <v>TATIANA NITTA</v>
          </cell>
        </row>
        <row r="3177">
          <cell r="B3177">
            <v>5336752</v>
          </cell>
          <cell r="C3177" t="str">
            <v>LUNAR DISTRIBUIDORA LTDA</v>
          </cell>
          <cell r="D3177" t="str">
            <v>4001</v>
          </cell>
          <cell r="E3177" t="str">
            <v>0593</v>
          </cell>
          <cell r="F3177" t="str">
            <v>C7</v>
          </cell>
          <cell r="G3177" t="str">
            <v>RS</v>
          </cell>
          <cell r="H3177" t="str">
            <v>OUTROS</v>
          </cell>
          <cell r="I3177" t="str">
            <v>OUTROS</v>
          </cell>
          <cell r="J3177" t="str">
            <v>OUTROS</v>
          </cell>
          <cell r="K3177" t="str">
            <v>OUTROS</v>
          </cell>
          <cell r="L3177" t="str">
            <v>OUTROS</v>
          </cell>
          <cell r="M3177" t="str">
            <v>OUTROS</v>
          </cell>
        </row>
        <row r="3178">
          <cell r="B3178">
            <v>5171786</v>
          </cell>
          <cell r="C3178" t="str">
            <v>GR SERVICOS E ALIMENTACAO LTDA</v>
          </cell>
          <cell r="D3178" t="str">
            <v>3001</v>
          </cell>
          <cell r="E3178" t="str">
            <v>0126</v>
          </cell>
          <cell r="F3178" t="str">
            <v>C1</v>
          </cell>
          <cell r="G3178" t="str">
            <v>PR</v>
          </cell>
          <cell r="H3178" t="str">
            <v>QSR</v>
          </cell>
          <cell r="I3178" t="str">
            <v>FOOD SERVICE</v>
          </cell>
          <cell r="J3178" t="str">
            <v>NUTRI</v>
          </cell>
          <cell r="K3178" t="str">
            <v>ITAMBÉ</v>
          </cell>
          <cell r="L3178" t="str">
            <v>PEDRO</v>
          </cell>
          <cell r="M3178" t="str">
            <v>VAGO QSR</v>
          </cell>
        </row>
        <row r="3179">
          <cell r="B3179">
            <v>5286590</v>
          </cell>
          <cell r="C3179" t="str">
            <v>INSTITUTO DAS IRMAS DA SANTA CR</v>
          </cell>
          <cell r="D3179" t="str">
            <v>7001</v>
          </cell>
          <cell r="E3179" t="str">
            <v>0749</v>
          </cell>
          <cell r="F3179" t="str">
            <v>C5</v>
          </cell>
          <cell r="G3179" t="str">
            <v>SP</v>
          </cell>
          <cell r="H3179" t="str">
            <v>DISTRIBUIÇÃO</v>
          </cell>
          <cell r="I3179" t="str">
            <v>FOOD SERVICE</v>
          </cell>
          <cell r="J3179" t="str">
            <v>FLAC 2</v>
          </cell>
          <cell r="K3179" t="str">
            <v>LACTALIS</v>
          </cell>
          <cell r="L3179" t="str">
            <v>RODRIGO</v>
          </cell>
          <cell r="M3179" t="str">
            <v>RAQUEL BARBOSA</v>
          </cell>
        </row>
        <row r="3180">
          <cell r="B3180">
            <v>5364907</v>
          </cell>
          <cell r="C3180" t="str">
            <v>LANCHONETE E SORVETERIA POLAR L</v>
          </cell>
          <cell r="D3180" t="str">
            <v>3001</v>
          </cell>
          <cell r="E3180" t="str">
            <v>0126</v>
          </cell>
          <cell r="F3180" t="str">
            <v>C1</v>
          </cell>
          <cell r="G3180" t="str">
            <v>SC</v>
          </cell>
          <cell r="H3180" t="str">
            <v>INGREDIENTS</v>
          </cell>
          <cell r="I3180" t="str">
            <v>INGREDIENTS</v>
          </cell>
          <cell r="J3180" t="str">
            <v>SC ITB FS BRESCIA REPRESENTACO</v>
          </cell>
          <cell r="K3180" t="str">
            <v>ITAMBÉ</v>
          </cell>
          <cell r="L3180" t="str">
            <v>MAURICIO</v>
          </cell>
          <cell r="M3180" t="str">
            <v>MARCELO</v>
          </cell>
        </row>
        <row r="3181">
          <cell r="B3181">
            <v>5364858</v>
          </cell>
          <cell r="C3181" t="str">
            <v>MEBEZ INDUSTRIA ALIMENTICIA LTDA</v>
          </cell>
          <cell r="D3181" t="str">
            <v>3001</v>
          </cell>
          <cell r="E3181" t="str">
            <v>0127</v>
          </cell>
          <cell r="F3181" t="str">
            <v>C1</v>
          </cell>
          <cell r="G3181" t="str">
            <v>PB</v>
          </cell>
          <cell r="H3181" t="str">
            <v>INGREDIENTS</v>
          </cell>
          <cell r="I3181" t="str">
            <v>INGREDIENTS</v>
          </cell>
          <cell r="J3181" t="str">
            <v>ITB FS W S REPRESENTAÇÕES</v>
          </cell>
          <cell r="K3181" t="str">
            <v>ITAMBÉ</v>
          </cell>
          <cell r="L3181" t="str">
            <v>MAURICIO</v>
          </cell>
          <cell r="M3181" t="str">
            <v>JOEL</v>
          </cell>
        </row>
        <row r="3182">
          <cell r="B3182">
            <v>5365324</v>
          </cell>
          <cell r="C3182" t="str">
            <v>X SANBAR BRAZIL LTDA</v>
          </cell>
          <cell r="D3182" t="str">
            <v>6001</v>
          </cell>
          <cell r="E3182" t="str">
            <v>6028</v>
          </cell>
          <cell r="F3182" t="str">
            <v>C1</v>
          </cell>
          <cell r="G3182" t="str">
            <v>SP</v>
          </cell>
          <cell r="H3182" t="str">
            <v>INGREDIENTS</v>
          </cell>
          <cell r="I3182" t="str">
            <v>INGREDIENTS</v>
          </cell>
          <cell r="J3182" t="str">
            <v>TATIANA NITTA</v>
          </cell>
          <cell r="K3182" t="str">
            <v>ITAMBÉ</v>
          </cell>
          <cell r="L3182" t="str">
            <v>MAURICIO</v>
          </cell>
          <cell r="M3182" t="str">
            <v>TATIANA NITTA</v>
          </cell>
        </row>
        <row r="3183">
          <cell r="B3183">
            <v>5172087</v>
          </cell>
          <cell r="C3183" t="str">
            <v>ASSOC CONGREG DE SANTA CATARINA</v>
          </cell>
          <cell r="D3183" t="str">
            <v>6001</v>
          </cell>
          <cell r="E3183" t="str">
            <v>6125</v>
          </cell>
          <cell r="F3183" t="str">
            <v>C1</v>
          </cell>
          <cell r="G3183" t="str">
            <v>SP</v>
          </cell>
          <cell r="H3183" t="str">
            <v>QSR</v>
          </cell>
          <cell r="I3183" t="str">
            <v>FOOD SERVICE</v>
          </cell>
          <cell r="J3183" t="str">
            <v>VAGO QSR</v>
          </cell>
          <cell r="K3183" t="str">
            <v>ITAMBÉ</v>
          </cell>
          <cell r="L3183" t="str">
            <v>PEDRO</v>
          </cell>
          <cell r="M3183" t="str">
            <v>VAGO QSR</v>
          </cell>
        </row>
        <row r="3184">
          <cell r="B3184">
            <v>5148551</v>
          </cell>
          <cell r="C3184" t="str">
            <v>MATHEUS GIORDANI ATACADO DE ALIMENT</v>
          </cell>
          <cell r="D3184" t="str">
            <v>4001</v>
          </cell>
          <cell r="E3184" t="str">
            <v>0593</v>
          </cell>
          <cell r="F3184" t="str">
            <v>C7</v>
          </cell>
          <cell r="G3184" t="str">
            <v>RS</v>
          </cell>
          <cell r="H3184" t="str">
            <v>OUTROS</v>
          </cell>
          <cell r="I3184" t="str">
            <v>OUTROS</v>
          </cell>
          <cell r="J3184" t="str">
            <v>OUTROS</v>
          </cell>
          <cell r="K3184" t="str">
            <v>OUTROS</v>
          </cell>
          <cell r="L3184" t="str">
            <v>OUTROS</v>
          </cell>
          <cell r="M3184" t="str">
            <v>OUTROS</v>
          </cell>
        </row>
        <row r="3185">
          <cell r="B3185">
            <v>5264512</v>
          </cell>
          <cell r="C3185" t="str">
            <v>BONJOUR PAO COMERCIO LTDA</v>
          </cell>
          <cell r="D3185" t="str">
            <v>7001</v>
          </cell>
          <cell r="E3185" t="str">
            <v>0749</v>
          </cell>
          <cell r="F3185" t="str">
            <v>C5</v>
          </cell>
          <cell r="G3185" t="str">
            <v>SP</v>
          </cell>
          <cell r="H3185" t="str">
            <v>DISTRIBUIÇÃO</v>
          </cell>
          <cell r="I3185" t="str">
            <v>FOOD SERVICE</v>
          </cell>
          <cell r="J3185" t="str">
            <v>FLAC 6</v>
          </cell>
          <cell r="K3185" t="str">
            <v>LACTALIS</v>
          </cell>
          <cell r="L3185" t="str">
            <v>RODRIGO</v>
          </cell>
          <cell r="M3185" t="str">
            <v>RAQUEL BARBOSA</v>
          </cell>
        </row>
        <row r="3186">
          <cell r="B3186">
            <v>5319220</v>
          </cell>
          <cell r="C3186" t="str">
            <v>MARIA LIDIA GONCALVES</v>
          </cell>
          <cell r="D3186" t="str">
            <v>7001</v>
          </cell>
          <cell r="E3186" t="str">
            <v>0749</v>
          </cell>
          <cell r="F3186" t="str">
            <v>C5</v>
          </cell>
          <cell r="G3186" t="str">
            <v>SP</v>
          </cell>
          <cell r="H3186" t="str">
            <v>DISTRIBUIÇÃO</v>
          </cell>
          <cell r="I3186" t="str">
            <v>FOOD SERVICE</v>
          </cell>
          <cell r="J3186" t="str">
            <v>FLAC 2</v>
          </cell>
          <cell r="K3186" t="str">
            <v>LACTALIS</v>
          </cell>
          <cell r="L3186" t="str">
            <v>RODRIGO</v>
          </cell>
          <cell r="M3186" t="str">
            <v>RAQUEL BARBOSA</v>
          </cell>
        </row>
        <row r="3187">
          <cell r="B3187">
            <v>5365100</v>
          </cell>
          <cell r="C3187" t="str">
            <v>DONA KIM CAFE E RESTAURANTE LTD</v>
          </cell>
          <cell r="D3187" t="str">
            <v>7001</v>
          </cell>
          <cell r="E3187" t="str">
            <v>0749</v>
          </cell>
          <cell r="F3187" t="str">
            <v>C5</v>
          </cell>
          <cell r="G3187" t="str">
            <v>SP</v>
          </cell>
          <cell r="H3187" t="str">
            <v>DISTRIBUIÇÃO</v>
          </cell>
          <cell r="I3187" t="str">
            <v>FOOD SERVICE</v>
          </cell>
          <cell r="J3187" t="str">
            <v>FLAC 6</v>
          </cell>
          <cell r="K3187" t="str">
            <v>LACTALIS</v>
          </cell>
          <cell r="L3187" t="str">
            <v>RODRIGO</v>
          </cell>
          <cell r="M3187" t="str">
            <v>RAQUEL BARBOSA</v>
          </cell>
        </row>
        <row r="3188">
          <cell r="B3188">
            <v>5365317</v>
          </cell>
          <cell r="C3188" t="str">
            <v>QUEBRA NOZES IND E COM DE AL LT</v>
          </cell>
          <cell r="D3188" t="str">
            <v>6001</v>
          </cell>
          <cell r="E3188" t="str">
            <v>6028</v>
          </cell>
          <cell r="F3188" t="str">
            <v>C1</v>
          </cell>
          <cell r="G3188" t="str">
            <v>RJ</v>
          </cell>
          <cell r="H3188" t="str">
            <v>INGREDIENTS</v>
          </cell>
          <cell r="I3188" t="str">
            <v>INGREDIENTS</v>
          </cell>
          <cell r="J3188" t="str">
            <v>TATIANA NITTA</v>
          </cell>
          <cell r="K3188" t="str">
            <v>ITAMBÉ</v>
          </cell>
          <cell r="L3188" t="str">
            <v>MAURICIO</v>
          </cell>
          <cell r="M3188" t="str">
            <v>TATIANA NITTA</v>
          </cell>
        </row>
        <row r="3189">
          <cell r="B3189">
            <v>5027209</v>
          </cell>
          <cell r="C3189" t="str">
            <v>GRANTERRA COMERCIO DE ALIMENTOS LTD</v>
          </cell>
          <cell r="D3189" t="str">
            <v>7001</v>
          </cell>
          <cell r="E3189" t="str">
            <v>0749</v>
          </cell>
          <cell r="F3189" t="str">
            <v>C5</v>
          </cell>
          <cell r="G3189" t="str">
            <v>SP</v>
          </cell>
          <cell r="H3189" t="str">
            <v>DISTRIBUIÇÃO</v>
          </cell>
          <cell r="I3189" t="str">
            <v>FOOD SERVICE</v>
          </cell>
          <cell r="J3189" t="str">
            <v>FLAC 1</v>
          </cell>
          <cell r="K3189" t="str">
            <v>LACTALIS</v>
          </cell>
          <cell r="L3189" t="str">
            <v>RODRIGO</v>
          </cell>
          <cell r="M3189" t="str">
            <v>RAQUEL BARBOSA</v>
          </cell>
        </row>
        <row r="3190">
          <cell r="B3190">
            <v>5168151</v>
          </cell>
          <cell r="C3190" t="str">
            <v>I S M GOMES DE MATTOS LTDA</v>
          </cell>
          <cell r="D3190" t="str">
            <v>6001</v>
          </cell>
          <cell r="E3190" t="str">
            <v>6127</v>
          </cell>
          <cell r="F3190" t="str">
            <v>C1</v>
          </cell>
          <cell r="G3190" t="str">
            <v>CE</v>
          </cell>
          <cell r="H3190" t="str">
            <v>DISTRIBUIÇÃO</v>
          </cell>
          <cell r="I3190" t="str">
            <v>FOOD SERVICE</v>
          </cell>
          <cell r="J3190" t="str">
            <v>WH FOOD SERVICE CE</v>
          </cell>
          <cell r="K3190" t="str">
            <v>ITAMBÉ</v>
          </cell>
          <cell r="L3190" t="str">
            <v>RODRIGO</v>
          </cell>
          <cell r="M3190" t="str">
            <v>MARIA LOURDES</v>
          </cell>
        </row>
        <row r="3191">
          <cell r="B3191">
            <v>5182808</v>
          </cell>
          <cell r="C3191" t="str">
            <v>KAPRICHO IND E COM DE ALIM LTDA</v>
          </cell>
          <cell r="D3191" t="str">
            <v>3001</v>
          </cell>
          <cell r="E3191" t="str">
            <v>0028</v>
          </cell>
          <cell r="F3191" t="str">
            <v>C1</v>
          </cell>
          <cell r="G3191" t="str">
            <v>SE</v>
          </cell>
          <cell r="H3191" t="str">
            <v>INGREDIENTS</v>
          </cell>
          <cell r="I3191" t="str">
            <v>INGREDIENTS</v>
          </cell>
          <cell r="J3191" t="str">
            <v>JOEL ELEOTÉRIO</v>
          </cell>
          <cell r="K3191" t="str">
            <v>ITAMBÉ</v>
          </cell>
          <cell r="L3191" t="str">
            <v>MAURICIO</v>
          </cell>
          <cell r="M3191" t="str">
            <v>JOEL</v>
          </cell>
        </row>
        <row r="3192">
          <cell r="B3192">
            <v>5107152</v>
          </cell>
          <cell r="C3192" t="str">
            <v>CALIFORNIA COM DE SORVETES LTDA</v>
          </cell>
          <cell r="D3192" t="str">
            <v>6001</v>
          </cell>
          <cell r="E3192" t="str">
            <v>6028</v>
          </cell>
          <cell r="F3192" t="str">
            <v>C1</v>
          </cell>
          <cell r="G3192" t="str">
            <v>RJ</v>
          </cell>
          <cell r="H3192" t="str">
            <v>QSR</v>
          </cell>
          <cell r="I3192" t="str">
            <v>FOOD SERVICE</v>
          </cell>
          <cell r="J3192" t="str">
            <v>NUTRI</v>
          </cell>
          <cell r="K3192" t="str">
            <v>ITAMBÉ</v>
          </cell>
          <cell r="L3192" t="str">
            <v>PEDRO</v>
          </cell>
          <cell r="M3192" t="str">
            <v>VAGO QSR</v>
          </cell>
        </row>
        <row r="3193">
          <cell r="B3193">
            <v>5365501</v>
          </cell>
          <cell r="C3193" t="str">
            <v>SLIM HOTEL FREI CANECA LTDA</v>
          </cell>
          <cell r="D3193" t="str">
            <v>7001</v>
          </cell>
          <cell r="E3193" t="str">
            <v>0749</v>
          </cell>
          <cell r="F3193" t="str">
            <v>C5</v>
          </cell>
          <cell r="G3193" t="str">
            <v>SP</v>
          </cell>
          <cell r="H3193" t="str">
            <v>DISTRIBUIÇÃO</v>
          </cell>
          <cell r="I3193" t="str">
            <v>FOOD SERVICE</v>
          </cell>
          <cell r="J3193" t="str">
            <v>FLAC 3</v>
          </cell>
          <cell r="K3193" t="str">
            <v>LACTALIS</v>
          </cell>
          <cell r="L3193" t="str">
            <v>RODRIGO</v>
          </cell>
          <cell r="M3193" t="str">
            <v>RAQUEL BARBOSA</v>
          </cell>
        </row>
        <row r="3194">
          <cell r="B3194">
            <v>5172087</v>
          </cell>
          <cell r="C3194" t="str">
            <v>ASSOC CONGREG DE SANTA CATARINA</v>
          </cell>
          <cell r="D3194" t="str">
            <v>7001</v>
          </cell>
          <cell r="E3194" t="str">
            <v>0722</v>
          </cell>
          <cell r="F3194" t="str">
            <v>C1</v>
          </cell>
          <cell r="G3194" t="str">
            <v>SP</v>
          </cell>
          <cell r="H3194" t="str">
            <v>QSR</v>
          </cell>
          <cell r="I3194" t="str">
            <v>FOOD SERVICE</v>
          </cell>
          <cell r="J3194" t="str">
            <v>VAGO QSR</v>
          </cell>
          <cell r="K3194" t="str">
            <v>LACTALIS</v>
          </cell>
          <cell r="L3194" t="str">
            <v>PEDRO</v>
          </cell>
          <cell r="M3194" t="str">
            <v>VAGO QSR</v>
          </cell>
        </row>
        <row r="3195">
          <cell r="B3195">
            <v>5176952</v>
          </cell>
          <cell r="C3195" t="str">
            <v>CLUBE DO CONFEITEIRO LTDA</v>
          </cell>
          <cell r="D3195" t="str">
            <v>6001</v>
          </cell>
          <cell r="E3195" t="str">
            <v>6028</v>
          </cell>
          <cell r="F3195" t="str">
            <v>C1</v>
          </cell>
          <cell r="G3195" t="str">
            <v>SP</v>
          </cell>
          <cell r="H3195" t="str">
            <v>DISTRIBUIÇÃO</v>
          </cell>
          <cell r="I3195" t="str">
            <v>FOOD SERVICE</v>
          </cell>
          <cell r="J3195" t="str">
            <v>SP ITB FS FLAC REP.E COMERCIO</v>
          </cell>
          <cell r="K3195" t="str">
            <v>ITAMBÉ</v>
          </cell>
          <cell r="L3195" t="str">
            <v>RODRIGO</v>
          </cell>
          <cell r="M3195" t="str">
            <v>RAQUEL BARBOSA</v>
          </cell>
        </row>
        <row r="3196">
          <cell r="B3196">
            <v>5364391</v>
          </cell>
          <cell r="C3196" t="str">
            <v>M P V MAGESTI LTDA</v>
          </cell>
          <cell r="D3196" t="str">
            <v>3001</v>
          </cell>
          <cell r="E3196" t="str">
            <v>0028</v>
          </cell>
          <cell r="F3196" t="str">
            <v>C1</v>
          </cell>
          <cell r="G3196" t="str">
            <v>PR</v>
          </cell>
          <cell r="H3196" t="str">
            <v>INGREDIENTS</v>
          </cell>
          <cell r="I3196" t="str">
            <v>INGREDIENTS</v>
          </cell>
          <cell r="J3196" t="str">
            <v>MARCELO RODRIGUES</v>
          </cell>
          <cell r="K3196" t="str">
            <v>ITAMBÉ</v>
          </cell>
          <cell r="L3196" t="str">
            <v>MAURICIO</v>
          </cell>
          <cell r="M3196" t="str">
            <v>MARCELO</v>
          </cell>
        </row>
        <row r="3197">
          <cell r="B3197">
            <v>5365316</v>
          </cell>
          <cell r="C3197" t="str">
            <v>62899176 VALMOR VALLE</v>
          </cell>
          <cell r="D3197" t="str">
            <v>3001</v>
          </cell>
          <cell r="E3197" t="str">
            <v>0028</v>
          </cell>
          <cell r="F3197" t="str">
            <v>C1</v>
          </cell>
          <cell r="G3197" t="str">
            <v>SC</v>
          </cell>
          <cell r="H3197" t="str">
            <v>INGREDIENTS</v>
          </cell>
          <cell r="I3197" t="str">
            <v>INGREDIENTS</v>
          </cell>
          <cell r="J3197" t="str">
            <v>MARCELO RODRIGUES</v>
          </cell>
          <cell r="K3197" t="str">
            <v>ITAMBÉ</v>
          </cell>
          <cell r="L3197" t="str">
            <v>MAURICIO</v>
          </cell>
          <cell r="M3197" t="str">
            <v>MARCELO</v>
          </cell>
        </row>
        <row r="3198">
          <cell r="B3198">
            <v>5182718</v>
          </cell>
          <cell r="C3198" t="str">
            <v>BARAO DO ACAI COMERCIAL LTDA ME</v>
          </cell>
          <cell r="D3198" t="str">
            <v>6001</v>
          </cell>
          <cell r="E3198" t="str">
            <v>6169</v>
          </cell>
          <cell r="F3198" t="str">
            <v>C1</v>
          </cell>
          <cell r="G3198" t="str">
            <v>ES</v>
          </cell>
          <cell r="H3198" t="str">
            <v>DISTRIBUIÇÃO</v>
          </cell>
          <cell r="I3198" t="str">
            <v>FOOD SERVICE</v>
          </cell>
          <cell r="J3198" t="str">
            <v>MARCELO DUARTE</v>
          </cell>
          <cell r="K3198" t="str">
            <v>ITAMBÉ</v>
          </cell>
          <cell r="L3198" t="str">
            <v>RODRIGO</v>
          </cell>
          <cell r="M3198" t="str">
            <v>JESSICA</v>
          </cell>
        </row>
        <row r="3199">
          <cell r="B3199">
            <v>5218349</v>
          </cell>
          <cell r="C3199" t="str">
            <v>DISTRIBUIDORA PRIMORDIAL FRIOS LTDA</v>
          </cell>
          <cell r="D3199" t="str">
            <v>7001</v>
          </cell>
          <cell r="E3199" t="str">
            <v>0749</v>
          </cell>
          <cell r="F3199" t="str">
            <v>C5</v>
          </cell>
          <cell r="G3199" t="str">
            <v>SP</v>
          </cell>
          <cell r="H3199" t="str">
            <v>DISTRIBUIÇÃO</v>
          </cell>
          <cell r="I3199" t="str">
            <v>FOOD SERVICE</v>
          </cell>
          <cell r="J3199" t="str">
            <v>FLAC 2</v>
          </cell>
          <cell r="K3199" t="str">
            <v>LACTALIS</v>
          </cell>
          <cell r="L3199" t="str">
            <v>RODRIGO</v>
          </cell>
          <cell r="M3199" t="str">
            <v>RAQUEL BARBOSA</v>
          </cell>
        </row>
        <row r="3200">
          <cell r="B3200">
            <v>5351071</v>
          </cell>
          <cell r="C3200" t="str">
            <v>ANA CLARA PEREIRA DA SILVA</v>
          </cell>
          <cell r="D3200" t="str">
            <v>4001</v>
          </cell>
          <cell r="E3200" t="str">
            <v>0458</v>
          </cell>
          <cell r="F3200" t="str">
            <v>C1</v>
          </cell>
          <cell r="G3200" t="str">
            <v>RJ</v>
          </cell>
          <cell r="H3200" t="str">
            <v>INGREDIENTS</v>
          </cell>
          <cell r="I3200" t="str">
            <v>INGREDIENTS</v>
          </cell>
          <cell r="J3200" t="str">
            <v>JOEL ELEOTÉRIO</v>
          </cell>
          <cell r="K3200" t="str">
            <v>LACTALIS</v>
          </cell>
          <cell r="L3200" t="str">
            <v>MAURICIO</v>
          </cell>
          <cell r="M3200" t="str">
            <v>JOEL</v>
          </cell>
        </row>
        <row r="3201">
          <cell r="B3201">
            <v>5164254</v>
          </cell>
          <cell r="C3201" t="str">
            <v>TRES CORACOES ALIMENTOS SA</v>
          </cell>
          <cell r="D3201" t="str">
            <v>4001</v>
          </cell>
          <cell r="E3201" t="str">
            <v>0437</v>
          </cell>
          <cell r="F3201" t="str">
            <v>C1</v>
          </cell>
          <cell r="G3201" t="str">
            <v>CE</v>
          </cell>
          <cell r="H3201" t="str">
            <v>INGREDIENTS</v>
          </cell>
          <cell r="I3201" t="str">
            <v>INGREDIENTS</v>
          </cell>
          <cell r="J3201" t="str">
            <v>JOEL ELEOTÉRIO</v>
          </cell>
          <cell r="K3201" t="str">
            <v>LACTALIS</v>
          </cell>
          <cell r="L3201" t="str">
            <v>MAURICIO</v>
          </cell>
          <cell r="M3201" t="str">
            <v>JOEL</v>
          </cell>
        </row>
        <row r="3202">
          <cell r="B3202">
            <v>5128517</v>
          </cell>
          <cell r="C3202" t="str">
            <v>LF FOOD S LTDA</v>
          </cell>
          <cell r="D3202" t="str">
            <v>6001</v>
          </cell>
          <cell r="E3202" t="str">
            <v>6127</v>
          </cell>
          <cell r="F3202" t="str">
            <v>C1</v>
          </cell>
          <cell r="G3202" t="str">
            <v>BA</v>
          </cell>
          <cell r="H3202" t="str">
            <v>DISTRIBUIÇÃO</v>
          </cell>
          <cell r="I3202" t="str">
            <v>FOOD SERVICE</v>
          </cell>
          <cell r="J3202" t="str">
            <v>CLAUDIO JORGE/LUIZ</v>
          </cell>
          <cell r="K3202" t="str">
            <v>ITAMBÉ</v>
          </cell>
          <cell r="L3202" t="str">
            <v>RODRIGO</v>
          </cell>
          <cell r="M3202" t="str">
            <v>MARIA LOURDES</v>
          </cell>
        </row>
        <row r="3203">
          <cell r="B3203">
            <v>5182808</v>
          </cell>
          <cell r="C3203" t="str">
            <v>KAPRICHO IND E COM DE ALIM LTDA</v>
          </cell>
          <cell r="D3203" t="str">
            <v>6001</v>
          </cell>
          <cell r="E3203" t="str">
            <v>6028</v>
          </cell>
          <cell r="F3203" t="str">
            <v>C1</v>
          </cell>
          <cell r="G3203" t="str">
            <v>SE</v>
          </cell>
          <cell r="H3203" t="str">
            <v>INGREDIENTS</v>
          </cell>
          <cell r="I3203" t="str">
            <v>INGREDIENTS</v>
          </cell>
          <cell r="J3203" t="str">
            <v>BA ITB FS L B REPRES LTDA</v>
          </cell>
          <cell r="K3203" t="str">
            <v>ITAMBÉ</v>
          </cell>
          <cell r="L3203" t="str">
            <v>MAURICIO</v>
          </cell>
          <cell r="M3203" t="str">
            <v>JOEL</v>
          </cell>
        </row>
        <row r="3204">
          <cell r="B3204">
            <v>5226511</v>
          </cell>
          <cell r="C3204" t="str">
            <v>CHOCOLATES GAROTO LTDA</v>
          </cell>
          <cell r="D3204" t="str">
            <v>4001</v>
          </cell>
          <cell r="E3204" t="str">
            <v>0437</v>
          </cell>
          <cell r="F3204" t="str">
            <v>C1</v>
          </cell>
          <cell r="G3204" t="str">
            <v>ES</v>
          </cell>
          <cell r="H3204" t="str">
            <v>INGREDIENTS</v>
          </cell>
          <cell r="I3204" t="str">
            <v>INGREDIENTS</v>
          </cell>
          <cell r="J3204" t="str">
            <v>MARCELO RODRIGUES</v>
          </cell>
          <cell r="K3204" t="str">
            <v>LACTALIS</v>
          </cell>
          <cell r="L3204" t="str">
            <v>MAURICIO</v>
          </cell>
          <cell r="M3204" t="str">
            <v>MARCELO</v>
          </cell>
        </row>
        <row r="3205">
          <cell r="B3205">
            <v>5253195</v>
          </cell>
          <cell r="C3205" t="str">
            <v>GALERIA DO QUEIJO LTDA</v>
          </cell>
          <cell r="D3205" t="str">
            <v>7001</v>
          </cell>
          <cell r="E3205" t="str">
            <v>0722</v>
          </cell>
          <cell r="F3205" t="str">
            <v>C1</v>
          </cell>
          <cell r="G3205" t="str">
            <v>SP</v>
          </cell>
          <cell r="H3205" t="str">
            <v>DISTRIBUIÇÃO</v>
          </cell>
          <cell r="I3205" t="str">
            <v>FOOD SERVICE</v>
          </cell>
          <cell r="J3205" t="str">
            <v>VAGO SP</v>
          </cell>
          <cell r="K3205" t="str">
            <v>LACTALIS</v>
          </cell>
          <cell r="L3205" t="str">
            <v>RODRIGO</v>
          </cell>
          <cell r="M3205" t="str">
            <v>RAQUEL BARBOSA</v>
          </cell>
        </row>
        <row r="3206">
          <cell r="B3206">
            <v>5255536</v>
          </cell>
          <cell r="C3206" t="str">
            <v>TORTA NO QUINTAL LANCHES LTDA M</v>
          </cell>
          <cell r="D3206" t="str">
            <v>7001</v>
          </cell>
          <cell r="E3206" t="str">
            <v>0749</v>
          </cell>
          <cell r="F3206" t="str">
            <v>C5</v>
          </cell>
          <cell r="G3206" t="str">
            <v>SP</v>
          </cell>
          <cell r="H3206" t="str">
            <v>DISTRIBUIÇÃO</v>
          </cell>
          <cell r="I3206" t="str">
            <v>FOOD SERVICE</v>
          </cell>
          <cell r="J3206" t="str">
            <v>FLAC 2</v>
          </cell>
          <cell r="K3206" t="str">
            <v>LACTALIS</v>
          </cell>
          <cell r="L3206" t="str">
            <v>RODRIGO</v>
          </cell>
          <cell r="M3206" t="str">
            <v>RAQUEL BARBOSA</v>
          </cell>
        </row>
        <row r="3207">
          <cell r="B3207">
            <v>5364391</v>
          </cell>
          <cell r="C3207" t="str">
            <v>M P V MAGESTI LTDA</v>
          </cell>
          <cell r="D3207" t="str">
            <v>4001</v>
          </cell>
          <cell r="E3207" t="str">
            <v>0455</v>
          </cell>
          <cell r="F3207" t="str">
            <v>C1</v>
          </cell>
          <cell r="G3207" t="str">
            <v>PR</v>
          </cell>
          <cell r="H3207" t="str">
            <v>INGREDIENTS</v>
          </cell>
          <cell r="I3207" t="str">
            <v>INGREDIENTS</v>
          </cell>
          <cell r="J3207" t="str">
            <v>MARCELO RODRIGUES</v>
          </cell>
          <cell r="K3207" t="str">
            <v>LACTALIS</v>
          </cell>
          <cell r="L3207" t="str">
            <v>MAURICIO</v>
          </cell>
          <cell r="M3207" t="str">
            <v>MARCELO</v>
          </cell>
        </row>
        <row r="3208">
          <cell r="B3208">
            <v>5365710</v>
          </cell>
          <cell r="C3208" t="str">
            <v>CELSO CAVILHA</v>
          </cell>
          <cell r="D3208" t="str">
            <v>3001</v>
          </cell>
          <cell r="E3208" t="str">
            <v>0028</v>
          </cell>
          <cell r="F3208" t="str">
            <v>C1</v>
          </cell>
          <cell r="G3208" t="str">
            <v>SC</v>
          </cell>
          <cell r="H3208" t="str">
            <v>INGREDIENTS</v>
          </cell>
          <cell r="I3208" t="str">
            <v>INGREDIENTS</v>
          </cell>
          <cell r="J3208" t="str">
            <v>MARCELO RODRIGUES</v>
          </cell>
          <cell r="K3208" t="str">
            <v>ITAMBÉ</v>
          </cell>
          <cell r="L3208" t="str">
            <v>MAURICIO</v>
          </cell>
          <cell r="M3208" t="str">
            <v>MARCELO</v>
          </cell>
        </row>
        <row r="3209">
          <cell r="B3209">
            <v>5365775</v>
          </cell>
          <cell r="C3209" t="str">
            <v>SORVETERIA NEVASKA LTDA</v>
          </cell>
          <cell r="D3209" t="str">
            <v>6001</v>
          </cell>
          <cell r="E3209" t="str">
            <v>6028</v>
          </cell>
          <cell r="F3209" t="str">
            <v>C1</v>
          </cell>
          <cell r="G3209" t="str">
            <v>MS</v>
          </cell>
          <cell r="H3209" t="str">
            <v>INGREDIENTS</v>
          </cell>
          <cell r="I3209" t="str">
            <v>INGREDIENTS</v>
          </cell>
          <cell r="J3209" t="str">
            <v>MS ITB FS MAWIL REPRESENTAÇÕES</v>
          </cell>
          <cell r="K3209" t="str">
            <v>ITAMBÉ</v>
          </cell>
          <cell r="L3209" t="str">
            <v>MAURICIO</v>
          </cell>
          <cell r="M3209" t="str">
            <v>MARCELO</v>
          </cell>
        </row>
        <row r="3210">
          <cell r="B3210">
            <v>5033007</v>
          </cell>
          <cell r="C3210" t="str">
            <v>COMERCIAL NERES E ARAUO LTDA</v>
          </cell>
          <cell r="D3210" t="str">
            <v>6001</v>
          </cell>
          <cell r="E3210" t="str">
            <v>6169</v>
          </cell>
          <cell r="F3210" t="str">
            <v>C1</v>
          </cell>
          <cell r="G3210" t="str">
            <v>ES</v>
          </cell>
          <cell r="H3210" t="str">
            <v>DISTRIBUIÇÃO</v>
          </cell>
          <cell r="I3210" t="str">
            <v>FOOD SERVICE</v>
          </cell>
          <cell r="J3210" t="str">
            <v>MARCELO DUARTE</v>
          </cell>
          <cell r="K3210" t="str">
            <v>ITAMBÉ</v>
          </cell>
          <cell r="L3210" t="str">
            <v>RODRIGO</v>
          </cell>
          <cell r="M3210" t="str">
            <v>JESSICA</v>
          </cell>
        </row>
        <row r="3211">
          <cell r="B3211">
            <v>5123062</v>
          </cell>
          <cell r="C3211" t="str">
            <v>COMERCIAL MILANO BRASIL LTDA</v>
          </cell>
          <cell r="D3211" t="str">
            <v>7001</v>
          </cell>
          <cell r="E3211" t="str">
            <v>0749</v>
          </cell>
          <cell r="F3211" t="str">
            <v>C5</v>
          </cell>
          <cell r="G3211" t="str">
            <v>SP</v>
          </cell>
          <cell r="H3211" t="str">
            <v>DISTRIBUIÇÃO</v>
          </cell>
          <cell r="I3211" t="str">
            <v>FOOD SERVICE</v>
          </cell>
          <cell r="J3211" t="str">
            <v>FLAC 1</v>
          </cell>
          <cell r="K3211" t="str">
            <v>LACTALIS</v>
          </cell>
          <cell r="L3211" t="str">
            <v>RODRIGO</v>
          </cell>
          <cell r="M3211" t="str">
            <v>RAQUEL BARBOSA</v>
          </cell>
        </row>
        <row r="3212">
          <cell r="B3212">
            <v>5365804</v>
          </cell>
          <cell r="C3212" t="str">
            <v>M P LAHAM</v>
          </cell>
          <cell r="D3212" t="str">
            <v>7001</v>
          </cell>
          <cell r="E3212" t="str">
            <v>0722</v>
          </cell>
          <cell r="F3212" t="str">
            <v>C1</v>
          </cell>
          <cell r="G3212" t="str">
            <v>SP</v>
          </cell>
          <cell r="H3212" t="str">
            <v>DISTRIBUIÇÃO</v>
          </cell>
          <cell r="I3212" t="str">
            <v>FOOD SERVICE</v>
          </cell>
          <cell r="J3212" t="str">
            <v>VAGO SP</v>
          </cell>
          <cell r="K3212" t="str">
            <v>LACTALIS</v>
          </cell>
          <cell r="L3212" t="str">
            <v>RODRIGO</v>
          </cell>
          <cell r="M3212" t="str">
            <v>RAQUEL BARBOSA</v>
          </cell>
        </row>
        <row r="3213">
          <cell r="B3213">
            <v>5365400</v>
          </cell>
          <cell r="C3213" t="str">
            <v>DIVINUS COM DE PR PARA FESTAS LTDA</v>
          </cell>
          <cell r="D3213" t="str">
            <v>7001</v>
          </cell>
          <cell r="E3213" t="str">
            <v>0722</v>
          </cell>
          <cell r="F3213" t="str">
            <v>C1</v>
          </cell>
          <cell r="G3213" t="str">
            <v>SP</v>
          </cell>
          <cell r="H3213" t="str">
            <v>DISTRIBUIÇÃO</v>
          </cell>
          <cell r="I3213" t="str">
            <v>FOOD SERVICE</v>
          </cell>
          <cell r="J3213" t="str">
            <v>GUILHERME NASCIMENTO</v>
          </cell>
          <cell r="K3213" t="str">
            <v>LACTALIS</v>
          </cell>
          <cell r="L3213" t="str">
            <v>RODRIGO</v>
          </cell>
          <cell r="M3213" t="str">
            <v>ALEXANDRO</v>
          </cell>
        </row>
        <row r="3214">
          <cell r="B3214">
            <v>5365405</v>
          </cell>
          <cell r="C3214" t="str">
            <v>ALMAH ALIMENTOS LTDA</v>
          </cell>
          <cell r="D3214" t="str">
            <v>7001</v>
          </cell>
          <cell r="E3214" t="str">
            <v>0749</v>
          </cell>
          <cell r="F3214" t="str">
            <v>C5</v>
          </cell>
          <cell r="G3214" t="str">
            <v>SP</v>
          </cell>
          <cell r="H3214" t="str">
            <v>DISTRIBUIÇÃO</v>
          </cell>
          <cell r="I3214" t="str">
            <v>FOOD SERVICE</v>
          </cell>
          <cell r="J3214" t="str">
            <v>FLAC 2</v>
          </cell>
          <cell r="K3214" t="str">
            <v>LACTALIS</v>
          </cell>
          <cell r="L3214" t="str">
            <v>RODRIGO</v>
          </cell>
          <cell r="M3214" t="str">
            <v>RAQUEL BARBOSA</v>
          </cell>
        </row>
        <row r="3215">
          <cell r="B3215">
            <v>5365725</v>
          </cell>
          <cell r="C3215" t="str">
            <v>35285088 GIOVANNA GAMA DE AZEVE</v>
          </cell>
          <cell r="D3215" t="str">
            <v>7001</v>
          </cell>
          <cell r="E3215" t="str">
            <v>0749</v>
          </cell>
          <cell r="F3215" t="str">
            <v>C5</v>
          </cell>
          <cell r="G3215" t="str">
            <v>SP</v>
          </cell>
          <cell r="H3215" t="str">
            <v>DISTRIBUIÇÃO</v>
          </cell>
          <cell r="I3215" t="str">
            <v>FOOD SERVICE</v>
          </cell>
          <cell r="J3215" t="str">
            <v>FLAC 2</v>
          </cell>
          <cell r="K3215" t="str">
            <v>LACTALIS</v>
          </cell>
          <cell r="L3215" t="str">
            <v>RODRIGO</v>
          </cell>
          <cell r="M3215" t="str">
            <v>RAQUEL BARBOSA</v>
          </cell>
        </row>
        <row r="3216">
          <cell r="B3216">
            <v>5365972</v>
          </cell>
          <cell r="C3216" t="str">
            <v>TAS BUFFET LTDA</v>
          </cell>
          <cell r="D3216" t="str">
            <v>7001</v>
          </cell>
          <cell r="E3216" t="str">
            <v>0749</v>
          </cell>
          <cell r="F3216" t="str">
            <v>C5</v>
          </cell>
          <cell r="G3216" t="str">
            <v>SP</v>
          </cell>
          <cell r="H3216" t="str">
            <v>DISTRIBUIÇÃO</v>
          </cell>
          <cell r="I3216" t="str">
            <v>FOOD SERVICE</v>
          </cell>
          <cell r="J3216" t="str">
            <v>FLAC 2</v>
          </cell>
          <cell r="K3216" t="str">
            <v>LACTALIS</v>
          </cell>
          <cell r="L3216" t="str">
            <v>RODRIGO</v>
          </cell>
          <cell r="M3216" t="str">
            <v>RAQUEL BARBOSA</v>
          </cell>
        </row>
        <row r="3217">
          <cell r="B3217">
            <v>5223419</v>
          </cell>
          <cell r="C3217" t="str">
            <v>OESA COMERCIO E REPRESENTACOES SA</v>
          </cell>
          <cell r="D3217" t="str">
            <v>7001</v>
          </cell>
          <cell r="E3217" t="str">
            <v>0560</v>
          </cell>
          <cell r="F3217" t="str">
            <v>C5</v>
          </cell>
          <cell r="G3217" t="str">
            <v>DF</v>
          </cell>
          <cell r="H3217" t="str">
            <v>DISTRIBUIÇÃO</v>
          </cell>
          <cell r="I3217" t="str">
            <v>FOOD SERVICE</v>
          </cell>
          <cell r="J3217" t="str">
            <v>MARCO AURELIO</v>
          </cell>
          <cell r="K3217" t="str">
            <v>LACTALIS</v>
          </cell>
          <cell r="L3217" t="str">
            <v>RODRIGO</v>
          </cell>
          <cell r="M3217" t="str">
            <v>MARCO AURELIO</v>
          </cell>
        </row>
        <row r="3218">
          <cell r="B3218">
            <v>5228956</v>
          </cell>
          <cell r="C3218" t="str">
            <v>MARTINS E SILVA COMERCIO LTDA</v>
          </cell>
          <cell r="D3218" t="str">
            <v>4001</v>
          </cell>
          <cell r="E3218" t="str">
            <v>0531</v>
          </cell>
          <cell r="F3218" t="str">
            <v>C5</v>
          </cell>
          <cell r="G3218" t="str">
            <v>RR</v>
          </cell>
          <cell r="H3218" t="str">
            <v>DISTRIBUIÇÃO</v>
          </cell>
          <cell r="I3218" t="str">
            <v>FOOD SERVICE</v>
          </cell>
          <cell r="J3218" t="str">
            <v>CLAUDIO JORGE</v>
          </cell>
          <cell r="K3218" t="str">
            <v>LACTALIS</v>
          </cell>
          <cell r="L3218" t="str">
            <v>RODRIGO</v>
          </cell>
          <cell r="M3218" t="str">
            <v>MARCO AURELIO</v>
          </cell>
        </row>
        <row r="3219">
          <cell r="B3219">
            <v>5365546</v>
          </cell>
          <cell r="C3219" t="str">
            <v>BULK SUPLEMENTOS ALIMENT LTDA</v>
          </cell>
          <cell r="D3219" t="str">
            <v>4001</v>
          </cell>
          <cell r="E3219" t="str">
            <v>0437</v>
          </cell>
          <cell r="F3219" t="str">
            <v>C1</v>
          </cell>
          <cell r="G3219" t="str">
            <v>SP</v>
          </cell>
          <cell r="H3219" t="str">
            <v>INGREDIENTS</v>
          </cell>
          <cell r="I3219" t="str">
            <v>INGREDIENTS</v>
          </cell>
          <cell r="J3219" t="str">
            <v>MARCELO RODRIGUES</v>
          </cell>
          <cell r="K3219" t="str">
            <v>LACTALIS</v>
          </cell>
          <cell r="L3219" t="str">
            <v>MAURICIO</v>
          </cell>
          <cell r="M3219" t="str">
            <v>MARCELO</v>
          </cell>
        </row>
        <row r="3220">
          <cell r="B3220">
            <v>5366154</v>
          </cell>
          <cell r="C3220" t="str">
            <v>MONTEIRO RUFINO GELATOS LTDA</v>
          </cell>
          <cell r="D3220" t="str">
            <v>6001</v>
          </cell>
          <cell r="E3220" t="str">
            <v>6028</v>
          </cell>
          <cell r="F3220" t="str">
            <v>C1</v>
          </cell>
          <cell r="G3220" t="str">
            <v>RJ</v>
          </cell>
          <cell r="H3220" t="str">
            <v>INGREDIENTS</v>
          </cell>
          <cell r="I3220" t="str">
            <v>INGREDIENTS</v>
          </cell>
          <cell r="J3220" t="str">
            <v>RJ ITB FS L T MARTINS</v>
          </cell>
          <cell r="K3220" t="str">
            <v>ITAMBÉ</v>
          </cell>
          <cell r="L3220" t="str">
            <v>MAURICIO</v>
          </cell>
          <cell r="M3220" t="str">
            <v>TATIANA NITTA</v>
          </cell>
        </row>
        <row r="3221">
          <cell r="B3221">
            <v>5188918</v>
          </cell>
          <cell r="C3221" t="str">
            <v>H D HAMASAKI ARTIG PARA PANIF E CON</v>
          </cell>
          <cell r="D3221" t="str">
            <v>6001</v>
          </cell>
          <cell r="E3221" t="str">
            <v>6125</v>
          </cell>
          <cell r="F3221" t="str">
            <v>C1</v>
          </cell>
          <cell r="G3221" t="str">
            <v>SP</v>
          </cell>
          <cell r="H3221" t="str">
            <v>DISTRIBUIÇÃO</v>
          </cell>
          <cell r="I3221" t="str">
            <v>FOOD SERVICE</v>
          </cell>
          <cell r="J3221" t="str">
            <v>GUILHERME NASCIMENTO</v>
          </cell>
          <cell r="K3221" t="str">
            <v>ITAMBÉ</v>
          </cell>
          <cell r="L3221" t="str">
            <v>RODRIGO</v>
          </cell>
          <cell r="M3221" t="str">
            <v>ALEXANDRO</v>
          </cell>
        </row>
        <row r="3222">
          <cell r="B3222">
            <v>5225065</v>
          </cell>
          <cell r="C3222" t="str">
            <v>MACNA HOTEIS SPE 02 LTDA</v>
          </cell>
          <cell r="D3222" t="str">
            <v>3001</v>
          </cell>
          <cell r="E3222" t="str">
            <v>0122</v>
          </cell>
          <cell r="F3222" t="str">
            <v>C1</v>
          </cell>
          <cell r="G3222" t="str">
            <v>MG</v>
          </cell>
          <cell r="H3222" t="str">
            <v>DISTRIBUIÇÃO</v>
          </cell>
          <cell r="I3222" t="str">
            <v>FOOD SERVICE</v>
          </cell>
          <cell r="J3222" t="str">
            <v>CELIO MARTINS</v>
          </cell>
          <cell r="K3222" t="str">
            <v>ITAMBÉ</v>
          </cell>
          <cell r="L3222" t="str">
            <v>RODRIGO</v>
          </cell>
          <cell r="M3222" t="str">
            <v>CELIO MARTINS</v>
          </cell>
        </row>
        <row r="3223">
          <cell r="B3223">
            <v>5331778</v>
          </cell>
          <cell r="C3223" t="str">
            <v>CB RECIFE DERBY RESTAURANTE E A</v>
          </cell>
          <cell r="D3223" t="str">
            <v>3001</v>
          </cell>
          <cell r="E3223" t="str">
            <v>0127</v>
          </cell>
          <cell r="F3223" t="str">
            <v>C1</v>
          </cell>
          <cell r="G3223" t="str">
            <v>PE</v>
          </cell>
          <cell r="H3223" t="str">
            <v>QSR</v>
          </cell>
          <cell r="I3223" t="str">
            <v>FOOD SERVICE</v>
          </cell>
          <cell r="J3223" t="str">
            <v>VAGO QSR</v>
          </cell>
          <cell r="K3223" t="str">
            <v>ITAMBÉ</v>
          </cell>
          <cell r="L3223" t="str">
            <v>PEDRO</v>
          </cell>
          <cell r="M3223" t="str">
            <v>VAGO QSR</v>
          </cell>
        </row>
        <row r="3224">
          <cell r="B3224">
            <v>5349567</v>
          </cell>
          <cell r="C3224" t="str">
            <v>SILVANIA CRUZ DE OLIVEIRA LTDA</v>
          </cell>
          <cell r="D3224" t="str">
            <v>7001</v>
          </cell>
          <cell r="E3224" t="str">
            <v>0749</v>
          </cell>
          <cell r="F3224" t="str">
            <v>C5</v>
          </cell>
          <cell r="G3224" t="str">
            <v>SP</v>
          </cell>
          <cell r="H3224" t="str">
            <v>DISTRIBUIÇÃO</v>
          </cell>
          <cell r="I3224" t="str">
            <v>FOOD SERVICE</v>
          </cell>
          <cell r="J3224" t="str">
            <v>FLAC 3</v>
          </cell>
          <cell r="K3224" t="str">
            <v>LACTALIS</v>
          </cell>
          <cell r="L3224" t="str">
            <v>RODRIGO</v>
          </cell>
          <cell r="M3224" t="str">
            <v>RAQUEL BARBOSA</v>
          </cell>
        </row>
        <row r="3225">
          <cell r="B3225">
            <v>5364909</v>
          </cell>
          <cell r="C3225" t="str">
            <v>SARA TELES CONFEITARIA LTDA</v>
          </cell>
          <cell r="D3225" t="str">
            <v>7001</v>
          </cell>
          <cell r="E3225" t="str">
            <v>0749</v>
          </cell>
          <cell r="F3225" t="str">
            <v>C5</v>
          </cell>
          <cell r="G3225" t="str">
            <v>SP</v>
          </cell>
          <cell r="H3225" t="str">
            <v>DISTRIBUIÇÃO</v>
          </cell>
          <cell r="I3225" t="str">
            <v>FOOD SERVICE</v>
          </cell>
          <cell r="J3225" t="str">
            <v>FLAC 3</v>
          </cell>
          <cell r="K3225" t="str">
            <v>LACTALIS</v>
          </cell>
          <cell r="L3225" t="str">
            <v>RODRIGO</v>
          </cell>
          <cell r="M3225" t="str">
            <v>RAQUEL BARBOSA</v>
          </cell>
        </row>
        <row r="3226">
          <cell r="B3226">
            <v>5227156</v>
          </cell>
          <cell r="C3226" t="str">
            <v>GELARTE ACAI MIX IND E COM DE S LTD</v>
          </cell>
          <cell r="D3226" t="str">
            <v>6001</v>
          </cell>
          <cell r="E3226" t="str">
            <v>6028</v>
          </cell>
          <cell r="F3226" t="str">
            <v>C1</v>
          </cell>
          <cell r="G3226" t="str">
            <v>RJ</v>
          </cell>
          <cell r="H3226" t="str">
            <v>INGREDIENTS</v>
          </cell>
          <cell r="I3226" t="str">
            <v>INGREDIENTS</v>
          </cell>
          <cell r="J3226" t="str">
            <v>RJ ITB FS CDR REPRESENTAÇÕES</v>
          </cell>
          <cell r="K3226" t="str">
            <v>ITAMBÉ</v>
          </cell>
          <cell r="L3226" t="str">
            <v>MAURICIO</v>
          </cell>
          <cell r="M3226" t="str">
            <v>TATIANA NITTA</v>
          </cell>
        </row>
        <row r="3227">
          <cell r="B3227">
            <v>5271657</v>
          </cell>
          <cell r="C3227" t="str">
            <v>ITAMARATY DISTRIB DE POLPAS LTD</v>
          </cell>
          <cell r="D3227" t="str">
            <v>7001</v>
          </cell>
          <cell r="E3227" t="str">
            <v>0749</v>
          </cell>
          <cell r="F3227" t="str">
            <v>C5</v>
          </cell>
          <cell r="G3227" t="str">
            <v>SP</v>
          </cell>
          <cell r="H3227" t="str">
            <v>DISTRIBUIÇÃO</v>
          </cell>
          <cell r="I3227" t="str">
            <v>FOOD SERVICE</v>
          </cell>
          <cell r="J3227" t="str">
            <v>FLAC 2</v>
          </cell>
          <cell r="K3227" t="str">
            <v>LACTALIS</v>
          </cell>
          <cell r="L3227" t="str">
            <v>RODRIGO</v>
          </cell>
          <cell r="M3227" t="str">
            <v>RAQUEL BARBOSA</v>
          </cell>
        </row>
        <row r="3228">
          <cell r="B3228">
            <v>5363592</v>
          </cell>
          <cell r="C3228" t="str">
            <v>CBAF COMERCIO DE ALIMENTOS LTDA</v>
          </cell>
          <cell r="D3228" t="str">
            <v>6001</v>
          </cell>
          <cell r="E3228" t="str">
            <v>6125</v>
          </cell>
          <cell r="F3228" t="str">
            <v>C1</v>
          </cell>
          <cell r="G3228" t="str">
            <v>SP</v>
          </cell>
          <cell r="H3228" t="str">
            <v>QSR</v>
          </cell>
          <cell r="I3228" t="str">
            <v>FOOD SERVICE</v>
          </cell>
          <cell r="J3228" t="str">
            <v>VAGO QSR</v>
          </cell>
          <cell r="K3228" t="str">
            <v>ITAMBÉ</v>
          </cell>
          <cell r="L3228" t="str">
            <v>PEDRO</v>
          </cell>
          <cell r="M3228" t="str">
            <v>VAGO QSR</v>
          </cell>
        </row>
        <row r="3229">
          <cell r="B3229">
            <v>5363595</v>
          </cell>
          <cell r="C3229" t="str">
            <v>CBAF COMERCIO DE ALIMENTOS LTDA</v>
          </cell>
          <cell r="D3229" t="str">
            <v>6001</v>
          </cell>
          <cell r="E3229" t="str">
            <v>6125</v>
          </cell>
          <cell r="F3229" t="str">
            <v>C1</v>
          </cell>
          <cell r="G3229" t="str">
            <v>SP</v>
          </cell>
          <cell r="H3229" t="str">
            <v>QSR</v>
          </cell>
          <cell r="I3229" t="str">
            <v>FOOD SERVICE</v>
          </cell>
          <cell r="J3229" t="str">
            <v>VAGO QSR</v>
          </cell>
          <cell r="K3229" t="str">
            <v>ITAMBÉ</v>
          </cell>
          <cell r="L3229" t="str">
            <v>PEDRO</v>
          </cell>
          <cell r="M3229" t="str">
            <v>VAGO QSR</v>
          </cell>
        </row>
        <row r="3230">
          <cell r="B3230">
            <v>5320439</v>
          </cell>
          <cell r="C3230" t="str">
            <v>CONFEITARIA DO NILO LTDA</v>
          </cell>
          <cell r="D3230" t="str">
            <v>7001</v>
          </cell>
          <cell r="E3230" t="str">
            <v>0749</v>
          </cell>
          <cell r="F3230" t="str">
            <v>C5</v>
          </cell>
          <cell r="G3230" t="str">
            <v>SP</v>
          </cell>
          <cell r="H3230" t="str">
            <v>DISTRIBUIÇÃO</v>
          </cell>
          <cell r="I3230" t="str">
            <v>FOOD SERVICE</v>
          </cell>
          <cell r="J3230" t="str">
            <v>FLAC 6</v>
          </cell>
          <cell r="K3230" t="str">
            <v>LACTALIS</v>
          </cell>
          <cell r="L3230" t="str">
            <v>RODRIGO</v>
          </cell>
          <cell r="M3230" t="str">
            <v>RAQUEL BARBOSA</v>
          </cell>
        </row>
        <row r="3231">
          <cell r="B3231">
            <v>5320440</v>
          </cell>
          <cell r="C3231" t="str">
            <v>CONFEITARIA GRANJA SWEET LTDA</v>
          </cell>
          <cell r="D3231" t="str">
            <v>7001</v>
          </cell>
          <cell r="E3231" t="str">
            <v>0749</v>
          </cell>
          <cell r="F3231" t="str">
            <v>C5</v>
          </cell>
          <cell r="G3231" t="str">
            <v>SP</v>
          </cell>
          <cell r="H3231" t="str">
            <v>DISTRIBUIÇÃO</v>
          </cell>
          <cell r="I3231" t="str">
            <v>FOOD SERVICE</v>
          </cell>
          <cell r="J3231" t="str">
            <v>FLAC 6</v>
          </cell>
          <cell r="K3231" t="str">
            <v>LACTALIS</v>
          </cell>
          <cell r="L3231" t="str">
            <v>RODRIGO</v>
          </cell>
          <cell r="M3231" t="str">
            <v>RAQUEL BARBOSA</v>
          </cell>
        </row>
        <row r="3232">
          <cell r="B3232">
            <v>5336831</v>
          </cell>
          <cell r="C3232" t="str">
            <v>COMERCIO VAREJISTA DE SORVETES</v>
          </cell>
          <cell r="D3232" t="str">
            <v>7001</v>
          </cell>
          <cell r="E3232" t="str">
            <v>0749</v>
          </cell>
          <cell r="F3232" t="str">
            <v>C5</v>
          </cell>
          <cell r="G3232" t="str">
            <v>SP</v>
          </cell>
          <cell r="H3232" t="str">
            <v>QSR</v>
          </cell>
          <cell r="I3232" t="str">
            <v>FOOD SERVICE</v>
          </cell>
          <cell r="J3232" t="str">
            <v>NUTRI</v>
          </cell>
          <cell r="K3232" t="str">
            <v>LACTALIS</v>
          </cell>
          <cell r="L3232" t="str">
            <v>PEDRO</v>
          </cell>
          <cell r="M3232" t="str">
            <v>VAGO QSR</v>
          </cell>
        </row>
        <row r="3233">
          <cell r="B3233">
            <v>5364699</v>
          </cell>
          <cell r="C3233" t="str">
            <v>JOSE BRUNO DA SILVA RAMOS LTDA</v>
          </cell>
          <cell r="D3233" t="str">
            <v>3001</v>
          </cell>
          <cell r="E3233" t="str">
            <v>0028</v>
          </cell>
          <cell r="F3233" t="str">
            <v>C1</v>
          </cell>
          <cell r="G3233" t="str">
            <v>PE</v>
          </cell>
          <cell r="H3233" t="str">
            <v>INGREDIENTS</v>
          </cell>
          <cell r="I3233" t="str">
            <v>INGREDIENTS</v>
          </cell>
          <cell r="J3233" t="str">
            <v>PE ITB FS N.Z.REPRESENTANTES</v>
          </cell>
          <cell r="K3233" t="str">
            <v>ITAMBÉ</v>
          </cell>
          <cell r="L3233" t="str">
            <v>MAURICIO</v>
          </cell>
          <cell r="M3233" t="str">
            <v>JOEL</v>
          </cell>
        </row>
        <row r="3234">
          <cell r="B3234">
            <v>5366133</v>
          </cell>
          <cell r="C3234" t="str">
            <v>PRIME C DE AL CONGEL E CREM LTD</v>
          </cell>
          <cell r="D3234" t="str">
            <v>3001</v>
          </cell>
          <cell r="E3234" t="str">
            <v>0028</v>
          </cell>
          <cell r="F3234" t="str">
            <v>C1</v>
          </cell>
          <cell r="G3234" t="str">
            <v>PE</v>
          </cell>
          <cell r="H3234" t="str">
            <v>INGREDIENTS</v>
          </cell>
          <cell r="I3234" t="str">
            <v>INGREDIENTS</v>
          </cell>
          <cell r="J3234" t="str">
            <v>PE ITB FS N.Z.REPRESENTANTES</v>
          </cell>
          <cell r="K3234" t="str">
            <v>ITAMBÉ</v>
          </cell>
          <cell r="L3234" t="str">
            <v>MAURICIO</v>
          </cell>
          <cell r="M3234" t="str">
            <v>JOEL</v>
          </cell>
        </row>
        <row r="3235">
          <cell r="B3235">
            <v>5171558</v>
          </cell>
          <cell r="C3235" t="str">
            <v>CASCA E BOLA SORVETERIA LTDA</v>
          </cell>
          <cell r="D3235" t="str">
            <v>6001</v>
          </cell>
          <cell r="E3235" t="str">
            <v>6028</v>
          </cell>
          <cell r="F3235" t="str">
            <v>C1</v>
          </cell>
          <cell r="G3235" t="str">
            <v>RJ</v>
          </cell>
          <cell r="H3235" t="str">
            <v>INGREDIENTS</v>
          </cell>
          <cell r="I3235" t="str">
            <v>INGREDIENTS</v>
          </cell>
          <cell r="J3235" t="str">
            <v>RJ ITB FS CDR REPRESENTAÇÕES</v>
          </cell>
          <cell r="K3235" t="str">
            <v>ITAMBÉ</v>
          </cell>
          <cell r="L3235" t="str">
            <v>MAURICIO</v>
          </cell>
          <cell r="M3235" t="str">
            <v>TATIANA NITTA</v>
          </cell>
        </row>
        <row r="3236">
          <cell r="B3236">
            <v>5358152</v>
          </cell>
          <cell r="C3236" t="str">
            <v>VOOOPT COMERCIO DE ALIMENTOS LTDA</v>
          </cell>
          <cell r="D3236" t="str">
            <v>6001</v>
          </cell>
          <cell r="E3236" t="str">
            <v>6028</v>
          </cell>
          <cell r="F3236" t="str">
            <v>C1</v>
          </cell>
          <cell r="G3236" t="str">
            <v>SP</v>
          </cell>
          <cell r="H3236" t="str">
            <v>INGREDIENTS</v>
          </cell>
          <cell r="I3236" t="str">
            <v>INGREDIENTS</v>
          </cell>
          <cell r="J3236" t="str">
            <v>TATIANA NITTA</v>
          </cell>
          <cell r="K3236" t="str">
            <v>ITAMBÉ</v>
          </cell>
          <cell r="L3236" t="str">
            <v>MAURICIO</v>
          </cell>
          <cell r="M3236" t="str">
            <v>TATIANA NITTA</v>
          </cell>
        </row>
        <row r="3237">
          <cell r="B3237">
            <v>5364382</v>
          </cell>
          <cell r="C3237" t="str">
            <v>46706845 GISELI VIEIRA MOREIRA</v>
          </cell>
          <cell r="D3237" t="str">
            <v>3001</v>
          </cell>
          <cell r="E3237" t="str">
            <v>0028</v>
          </cell>
          <cell r="F3237" t="str">
            <v>C1</v>
          </cell>
          <cell r="G3237" t="str">
            <v>MG</v>
          </cell>
          <cell r="H3237" t="str">
            <v>INGREDIENTS</v>
          </cell>
          <cell r="I3237" t="str">
            <v>INGREDIENTS</v>
          </cell>
          <cell r="J3237" t="str">
            <v>HENRIQUE FERREIRA</v>
          </cell>
          <cell r="K3237" t="str">
            <v>ITAMBÉ</v>
          </cell>
          <cell r="L3237" t="str">
            <v>MAURICIO</v>
          </cell>
          <cell r="M3237" t="str">
            <v>JOEL</v>
          </cell>
        </row>
        <row r="3238">
          <cell r="B3238">
            <v>5364622</v>
          </cell>
          <cell r="C3238" t="str">
            <v>DR LEVAIN LTDA</v>
          </cell>
          <cell r="D3238" t="str">
            <v>7001</v>
          </cell>
          <cell r="E3238" t="str">
            <v>0749</v>
          </cell>
          <cell r="F3238" t="str">
            <v>C5</v>
          </cell>
          <cell r="G3238" t="str">
            <v>SP</v>
          </cell>
          <cell r="H3238" t="str">
            <v>DISTRIBUIÇÃO</v>
          </cell>
          <cell r="I3238" t="str">
            <v>FOOD SERVICE</v>
          </cell>
          <cell r="J3238" t="str">
            <v>FLAC 6</v>
          </cell>
          <cell r="K3238" t="str">
            <v>LACTALIS</v>
          </cell>
          <cell r="L3238" t="str">
            <v>RODRIGO</v>
          </cell>
          <cell r="M3238" t="str">
            <v>RAQUEL BARBOSA</v>
          </cell>
        </row>
        <row r="3239">
          <cell r="B3239">
            <v>5340507</v>
          </cell>
          <cell r="C3239" t="str">
            <v>SUAVE SABOR DOCERIA LTDA</v>
          </cell>
          <cell r="D3239" t="str">
            <v>7001</v>
          </cell>
          <cell r="E3239" t="str">
            <v>0737</v>
          </cell>
          <cell r="F3239" t="str">
            <v>C1</v>
          </cell>
          <cell r="G3239" t="str">
            <v>SP</v>
          </cell>
          <cell r="H3239" t="str">
            <v>INGREDIENTS</v>
          </cell>
          <cell r="I3239" t="str">
            <v>INGREDIENTS</v>
          </cell>
          <cell r="J3239" t="str">
            <v>TATIANA NITTA</v>
          </cell>
          <cell r="K3239" t="str">
            <v>LACTALIS</v>
          </cell>
          <cell r="L3239" t="str">
            <v>MAURICIO</v>
          </cell>
          <cell r="M3239" t="str">
            <v>TATIANA NITTA</v>
          </cell>
        </row>
        <row r="3240">
          <cell r="B3240">
            <v>5191622</v>
          </cell>
          <cell r="C3240" t="str">
            <v>MACNA ADMINISTRADORA HOTELEIRA LTDA</v>
          </cell>
          <cell r="D3240" t="str">
            <v>3001</v>
          </cell>
          <cell r="E3240" t="str">
            <v>0122</v>
          </cell>
          <cell r="F3240" t="str">
            <v>C1</v>
          </cell>
          <cell r="G3240" t="str">
            <v>MG</v>
          </cell>
          <cell r="H3240" t="str">
            <v>DISTRIBUIÇÃO</v>
          </cell>
          <cell r="I3240" t="str">
            <v>FOOD SERVICE</v>
          </cell>
          <cell r="J3240" t="str">
            <v>CELIO MARTINS</v>
          </cell>
          <cell r="K3240" t="str">
            <v>ITAMBÉ</v>
          </cell>
          <cell r="L3240" t="str">
            <v>RODRIGO</v>
          </cell>
          <cell r="M3240" t="str">
            <v>CELIO MARTINS</v>
          </cell>
        </row>
        <row r="3241">
          <cell r="B3241">
            <v>5220627</v>
          </cell>
          <cell r="C3241" t="str">
            <v>JME RAUTA COMERCIAL DISTRIBUIDO</v>
          </cell>
          <cell r="D3241" t="str">
            <v>3001</v>
          </cell>
          <cell r="E3241" t="str">
            <v>6028</v>
          </cell>
          <cell r="F3241" t="str">
            <v>C1</v>
          </cell>
          <cell r="G3241" t="str">
            <v>RJ</v>
          </cell>
          <cell r="H3241" t="str">
            <v>INGREDIENTS</v>
          </cell>
          <cell r="I3241" t="str">
            <v>INGREDIENTS</v>
          </cell>
          <cell r="J3241" t="str">
            <v>RJ ITB FS CDR REPRESENTAÇÕES</v>
          </cell>
          <cell r="K3241" t="str">
            <v>ITAMBÉ</v>
          </cell>
          <cell r="L3241" t="str">
            <v>MAURICIO</v>
          </cell>
          <cell r="M3241" t="str">
            <v>TATIANA NITTA</v>
          </cell>
        </row>
        <row r="3242">
          <cell r="B3242">
            <v>5315382</v>
          </cell>
          <cell r="C3242" t="str">
            <v>MATILDA PAULISTA RESTAURANTE LT</v>
          </cell>
          <cell r="D3242" t="str">
            <v>7001</v>
          </cell>
          <cell r="E3242" t="str">
            <v>0749</v>
          </cell>
          <cell r="F3242" t="str">
            <v>C5</v>
          </cell>
          <cell r="G3242" t="str">
            <v>SP</v>
          </cell>
          <cell r="H3242" t="str">
            <v>DISTRIBUIÇÃO</v>
          </cell>
          <cell r="I3242" t="str">
            <v>FOOD SERVICE</v>
          </cell>
          <cell r="J3242" t="str">
            <v>FLAC 3</v>
          </cell>
          <cell r="K3242" t="str">
            <v>LACTALIS</v>
          </cell>
          <cell r="L3242" t="str">
            <v>RODRIGO</v>
          </cell>
          <cell r="M3242" t="str">
            <v>RAQUEL BARBOSA</v>
          </cell>
        </row>
        <row r="3243">
          <cell r="B3243">
            <v>5364935</v>
          </cell>
          <cell r="C3243" t="str">
            <v>SANTA BENEDICTA CAFE E REST LTD</v>
          </cell>
          <cell r="D3243" t="str">
            <v>7001</v>
          </cell>
          <cell r="E3243" t="str">
            <v>0749</v>
          </cell>
          <cell r="F3243" t="str">
            <v>C5</v>
          </cell>
          <cell r="G3243" t="str">
            <v>SP</v>
          </cell>
          <cell r="H3243" t="str">
            <v>DISTRIBUIÇÃO</v>
          </cell>
          <cell r="I3243" t="str">
            <v>FOOD SERVICE</v>
          </cell>
          <cell r="J3243" t="str">
            <v>FLAC 2</v>
          </cell>
          <cell r="K3243" t="str">
            <v>LACTALIS</v>
          </cell>
          <cell r="L3243" t="str">
            <v>RODRIGO</v>
          </cell>
          <cell r="M3243" t="str">
            <v>RAQUEL BARBOSA</v>
          </cell>
        </row>
        <row r="3244">
          <cell r="B3244">
            <v>5012007</v>
          </cell>
          <cell r="C3244" t="str">
            <v>VIENA COMERCIO DE ALIMENTOS LTD</v>
          </cell>
          <cell r="D3244" t="str">
            <v>6001</v>
          </cell>
          <cell r="E3244" t="str">
            <v>6127</v>
          </cell>
          <cell r="F3244" t="str">
            <v>C1</v>
          </cell>
          <cell r="G3244" t="str">
            <v>BA</v>
          </cell>
          <cell r="H3244" t="str">
            <v>DISTRIBUIÇÃO</v>
          </cell>
          <cell r="I3244" t="str">
            <v>FOOD SERVICE</v>
          </cell>
          <cell r="J3244" t="str">
            <v>CLAUDIO JORGE/LUIZ</v>
          </cell>
          <cell r="K3244" t="str">
            <v>ITAMBÉ</v>
          </cell>
          <cell r="L3244" t="str">
            <v>RODRIGO</v>
          </cell>
          <cell r="M3244" t="str">
            <v>MARIA LOURDES</v>
          </cell>
        </row>
        <row r="3245">
          <cell r="B3245">
            <v>5329106</v>
          </cell>
          <cell r="C3245" t="str">
            <v>MAGADU CAFE LTDA</v>
          </cell>
          <cell r="D3245" t="str">
            <v>7001</v>
          </cell>
          <cell r="E3245" t="str">
            <v>0749</v>
          </cell>
          <cell r="F3245" t="str">
            <v>C5</v>
          </cell>
          <cell r="G3245" t="str">
            <v>SP</v>
          </cell>
          <cell r="H3245" t="str">
            <v>DISTRIBUIÇÃO</v>
          </cell>
          <cell r="I3245" t="str">
            <v>FOOD SERVICE</v>
          </cell>
          <cell r="J3245" t="str">
            <v>FLAC 3</v>
          </cell>
          <cell r="K3245" t="str">
            <v>LACTALIS</v>
          </cell>
          <cell r="L3245" t="str">
            <v>RODRIGO</v>
          </cell>
          <cell r="M3245" t="str">
            <v>RAQUEL BARBOSA</v>
          </cell>
        </row>
        <row r="3246">
          <cell r="B3246">
            <v>5355972</v>
          </cell>
          <cell r="C3246" t="str">
            <v>BROWNIE DA MINHA MAE DOCERIA LT</v>
          </cell>
          <cell r="D3246" t="str">
            <v>6001</v>
          </cell>
          <cell r="E3246" t="str">
            <v>6125</v>
          </cell>
          <cell r="F3246" t="str">
            <v>C1</v>
          </cell>
          <cell r="G3246" t="str">
            <v>SP</v>
          </cell>
          <cell r="H3246" t="str">
            <v>DISTRIBUIÇÃO</v>
          </cell>
          <cell r="I3246" t="str">
            <v>FOOD SERVICE</v>
          </cell>
          <cell r="J3246" t="str">
            <v>SP ITB FS FLAC REP.E COMERCIO</v>
          </cell>
          <cell r="K3246" t="str">
            <v>ITAMBÉ</v>
          </cell>
          <cell r="L3246" t="str">
            <v>RODRIGO</v>
          </cell>
          <cell r="M3246" t="str">
            <v>RAQUEL BARBOSA</v>
          </cell>
        </row>
        <row r="3247">
          <cell r="B3247">
            <v>5366272</v>
          </cell>
          <cell r="C3247" t="str">
            <v>CAFE MOEMA TIMES SQUARE LTDA</v>
          </cell>
          <cell r="D3247" t="str">
            <v>7001</v>
          </cell>
          <cell r="E3247" t="str">
            <v>0749</v>
          </cell>
          <cell r="F3247" t="str">
            <v>C5</v>
          </cell>
          <cell r="G3247" t="str">
            <v>SP</v>
          </cell>
          <cell r="H3247" t="str">
            <v>DISTRIBUIÇÃO</v>
          </cell>
          <cell r="I3247" t="str">
            <v>FOOD SERVICE</v>
          </cell>
          <cell r="J3247" t="str">
            <v>FLAC 3</v>
          </cell>
          <cell r="K3247" t="str">
            <v>LACTALIS</v>
          </cell>
          <cell r="L3247" t="str">
            <v>RODRIGO</v>
          </cell>
          <cell r="M3247" t="str">
            <v>RAQUEL BARBOSA</v>
          </cell>
        </row>
        <row r="3248">
          <cell r="B3248">
            <v>5302488</v>
          </cell>
          <cell r="C3248" t="str">
            <v>TSF REPRESENTACAO E COMERCIO LTDA</v>
          </cell>
          <cell r="D3248" t="str">
            <v>4001</v>
          </cell>
          <cell r="E3248" t="str">
            <v>0437</v>
          </cell>
          <cell r="F3248" t="str">
            <v>C1</v>
          </cell>
          <cell r="G3248" t="str">
            <v>SP</v>
          </cell>
          <cell r="H3248" t="str">
            <v>OUTROS</v>
          </cell>
          <cell r="I3248" t="str">
            <v>OUTROS</v>
          </cell>
          <cell r="J3248" t="str">
            <v>OUTROS</v>
          </cell>
          <cell r="K3248" t="str">
            <v>OUTROS</v>
          </cell>
          <cell r="L3248" t="str">
            <v>OUTROS</v>
          </cell>
          <cell r="M3248" t="str">
            <v>OUTROS</v>
          </cell>
        </row>
        <row r="3249">
          <cell r="B3249">
            <v>5366134</v>
          </cell>
          <cell r="C3249" t="str">
            <v>LARGO DO CAFE LANCHONETE LTDA</v>
          </cell>
          <cell r="D3249" t="str">
            <v>7001</v>
          </cell>
          <cell r="E3249" t="str">
            <v>0749</v>
          </cell>
          <cell r="F3249" t="str">
            <v>C5</v>
          </cell>
          <cell r="G3249" t="str">
            <v>SP</v>
          </cell>
          <cell r="H3249" t="str">
            <v>DISTRIBUIÇÃO</v>
          </cell>
          <cell r="I3249" t="str">
            <v>FOOD SERVICE</v>
          </cell>
          <cell r="J3249" t="str">
            <v>FLAC 2</v>
          </cell>
          <cell r="K3249" t="str">
            <v>LACTALIS</v>
          </cell>
          <cell r="L3249" t="str">
            <v>RODRIGO</v>
          </cell>
          <cell r="M3249" t="str">
            <v>RAQUEL BARBOSA</v>
          </cell>
        </row>
        <row r="3250">
          <cell r="B3250">
            <v>5366269</v>
          </cell>
          <cell r="C3250" t="str">
            <v>COFFEE BREAK MANDU LTDA</v>
          </cell>
          <cell r="D3250" t="str">
            <v>7001</v>
          </cell>
          <cell r="E3250" t="str">
            <v>0749</v>
          </cell>
          <cell r="F3250" t="str">
            <v>C5</v>
          </cell>
          <cell r="G3250" t="str">
            <v>SP</v>
          </cell>
          <cell r="H3250" t="str">
            <v>DISTRIBUIÇÃO</v>
          </cell>
          <cell r="I3250" t="str">
            <v>FOOD SERVICE</v>
          </cell>
          <cell r="J3250" t="str">
            <v>FLAC 3</v>
          </cell>
          <cell r="K3250" t="str">
            <v>LACTALIS</v>
          </cell>
          <cell r="L3250" t="str">
            <v>RODRIGO</v>
          </cell>
          <cell r="M3250" t="str">
            <v>RAQUEL BARBOSA</v>
          </cell>
        </row>
        <row r="3251">
          <cell r="B3251">
            <v>5026855</v>
          </cell>
          <cell r="C3251" t="str">
            <v>SIBELE ALIMENTOS LTDA</v>
          </cell>
          <cell r="D3251" t="str">
            <v>7001</v>
          </cell>
          <cell r="E3251" t="str">
            <v>0739</v>
          </cell>
          <cell r="F3251" t="str">
            <v>C1</v>
          </cell>
          <cell r="G3251" t="str">
            <v>MG</v>
          </cell>
          <cell r="H3251" t="str">
            <v>INGREDIENTS</v>
          </cell>
          <cell r="I3251" t="str">
            <v>INGREDIENTS</v>
          </cell>
          <cell r="J3251" t="str">
            <v>JOEL ELEOTÉRIO</v>
          </cell>
          <cell r="K3251" t="str">
            <v>LACTALIS</v>
          </cell>
          <cell r="L3251" t="str">
            <v>MAURICIO</v>
          </cell>
          <cell r="M3251" t="str">
            <v>JOEL</v>
          </cell>
        </row>
        <row r="3252">
          <cell r="B3252">
            <v>5224995</v>
          </cell>
          <cell r="C3252" t="str">
            <v>DISALLCON DIST DE DOCES LTDA</v>
          </cell>
          <cell r="D3252" t="str">
            <v>3001</v>
          </cell>
          <cell r="E3252" t="str">
            <v>0028</v>
          </cell>
          <cell r="F3252" t="str">
            <v>C1</v>
          </cell>
          <cell r="G3252" t="str">
            <v>PR</v>
          </cell>
          <cell r="H3252" t="str">
            <v>INGREDIENTS</v>
          </cell>
          <cell r="I3252" t="str">
            <v>INGREDIENTS</v>
          </cell>
          <cell r="J3252" t="str">
            <v>PR ITB FS DONIZETH REPRES</v>
          </cell>
          <cell r="K3252" t="str">
            <v>ITAMBÉ</v>
          </cell>
          <cell r="L3252" t="str">
            <v>MAURICIO</v>
          </cell>
          <cell r="M3252" t="str">
            <v>MARCELO</v>
          </cell>
        </row>
        <row r="3253">
          <cell r="B3253">
            <v>5295540</v>
          </cell>
          <cell r="C3253" t="str">
            <v>MARQUES E MIRANDA COMERCIAL E D</v>
          </cell>
          <cell r="D3253" t="str">
            <v>7001</v>
          </cell>
          <cell r="E3253" t="str">
            <v>0739</v>
          </cell>
          <cell r="F3253" t="str">
            <v>C1</v>
          </cell>
          <cell r="G3253" t="str">
            <v>SP</v>
          </cell>
          <cell r="H3253" t="str">
            <v>INGREDIENTS</v>
          </cell>
          <cell r="I3253" t="str">
            <v>INGREDIENTS</v>
          </cell>
          <cell r="J3253" t="str">
            <v>JOEL ELEOTÉRIO</v>
          </cell>
          <cell r="K3253" t="str">
            <v>LACTALIS</v>
          </cell>
          <cell r="L3253" t="str">
            <v>MAURICIO</v>
          </cell>
          <cell r="M3253" t="str">
            <v>JOEL</v>
          </cell>
        </row>
        <row r="3254">
          <cell r="B3254">
            <v>5319280</v>
          </cell>
          <cell r="C3254" t="str">
            <v>LATICINIO STEFANELLO LTDA</v>
          </cell>
          <cell r="D3254" t="str">
            <v>4001</v>
          </cell>
          <cell r="E3254" t="str">
            <v>0437</v>
          </cell>
          <cell r="F3254" t="str">
            <v>C1</v>
          </cell>
          <cell r="G3254" t="str">
            <v>RS</v>
          </cell>
          <cell r="H3254" t="str">
            <v>INGREDIENTS</v>
          </cell>
          <cell r="I3254" t="str">
            <v>INGREDIENTS</v>
          </cell>
          <cell r="J3254" t="str">
            <v>JOEL ELEOTÉRIO</v>
          </cell>
          <cell r="K3254" t="str">
            <v>LACTALIS</v>
          </cell>
          <cell r="L3254" t="str">
            <v>MAURICIO</v>
          </cell>
          <cell r="M3254" t="str">
            <v>JOEL</v>
          </cell>
        </row>
        <row r="3255">
          <cell r="B3255">
            <v>5334647</v>
          </cell>
          <cell r="C3255" t="str">
            <v>OGGI SORVETES  LTDA</v>
          </cell>
          <cell r="D3255" t="str">
            <v>3001</v>
          </cell>
          <cell r="E3255" t="str">
            <v>0028</v>
          </cell>
          <cell r="F3255" t="str">
            <v>C1</v>
          </cell>
          <cell r="G3255" t="str">
            <v>PE</v>
          </cell>
          <cell r="H3255" t="str">
            <v>INGREDIENTS</v>
          </cell>
          <cell r="I3255" t="str">
            <v>INGREDIENTS</v>
          </cell>
          <cell r="J3255" t="str">
            <v>JOEL ELEOTÉRIO</v>
          </cell>
          <cell r="K3255" t="str">
            <v>ITAMBÉ</v>
          </cell>
          <cell r="L3255" t="str">
            <v>MAURICIO</v>
          </cell>
          <cell r="M3255" t="str">
            <v>JOEL</v>
          </cell>
        </row>
        <row r="3256">
          <cell r="B3256">
            <v>5363127</v>
          </cell>
          <cell r="C3256" t="str">
            <v>FORTE COMERCIO E DISTRIBUIÇÃO</v>
          </cell>
          <cell r="D3256" t="str">
            <v>6001</v>
          </cell>
          <cell r="E3256" t="str">
            <v>6127</v>
          </cell>
          <cell r="F3256" t="str">
            <v>C1</v>
          </cell>
          <cell r="G3256" t="str">
            <v>BA</v>
          </cell>
          <cell r="H3256" t="str">
            <v>DISTRIBUIÇÃO</v>
          </cell>
          <cell r="I3256" t="str">
            <v>FOOD SERVICE</v>
          </cell>
          <cell r="J3256" t="str">
            <v>CLAUDIO JORGE/LUIZ</v>
          </cell>
          <cell r="K3256" t="str">
            <v>ITAMBÉ</v>
          </cell>
          <cell r="L3256" t="str">
            <v>RODRIGO</v>
          </cell>
          <cell r="M3256" t="str">
            <v>MARIA LOURDES</v>
          </cell>
        </row>
        <row r="3257">
          <cell r="B3257">
            <v>5366502</v>
          </cell>
          <cell r="C3257" t="str">
            <v>49396817 TELMA MARIA DE SOUZA</v>
          </cell>
          <cell r="D3257" t="str">
            <v>7001</v>
          </cell>
          <cell r="E3257" t="str">
            <v>0749</v>
          </cell>
          <cell r="F3257" t="str">
            <v>C5</v>
          </cell>
          <cell r="G3257" t="str">
            <v>SP</v>
          </cell>
          <cell r="H3257" t="str">
            <v>DISTRIBUIÇÃO</v>
          </cell>
          <cell r="I3257" t="str">
            <v>FOOD SERVICE</v>
          </cell>
          <cell r="J3257" t="str">
            <v>FLAC 2</v>
          </cell>
          <cell r="K3257" t="str">
            <v>LACTALIS</v>
          </cell>
          <cell r="L3257" t="str">
            <v>RODRIGO</v>
          </cell>
          <cell r="M3257" t="str">
            <v>RAQUEL BARBOSA</v>
          </cell>
        </row>
        <row r="3258">
          <cell r="B3258">
            <v>5366568</v>
          </cell>
          <cell r="C3258" t="str">
            <v>ASSOCIACAO CULT N SEN DE FATIMA</v>
          </cell>
          <cell r="D3258" t="str">
            <v>7001</v>
          </cell>
          <cell r="E3258" t="str">
            <v>0749</v>
          </cell>
          <cell r="F3258" t="str">
            <v>C5</v>
          </cell>
          <cell r="G3258" t="str">
            <v>SP</v>
          </cell>
          <cell r="H3258" t="str">
            <v>DISTRIBUIÇÃO</v>
          </cell>
          <cell r="I3258" t="str">
            <v>FOOD SERVICE</v>
          </cell>
          <cell r="J3258" t="str">
            <v>FLAC 2</v>
          </cell>
          <cell r="K3258" t="str">
            <v>LACTALIS</v>
          </cell>
          <cell r="L3258" t="str">
            <v>RODRIGO</v>
          </cell>
          <cell r="M3258" t="str">
            <v>RAQUEL BARBOSA</v>
          </cell>
        </row>
        <row r="3259">
          <cell r="B3259">
            <v>5083201</v>
          </cell>
          <cell r="C3259" t="str">
            <v>SILVA BRAGA COML DE ALIMENTOS LTDA</v>
          </cell>
          <cell r="D3259" t="str">
            <v>6001</v>
          </cell>
          <cell r="E3259" t="str">
            <v>6127</v>
          </cell>
          <cell r="F3259" t="str">
            <v>C1</v>
          </cell>
          <cell r="G3259" t="str">
            <v>CE</v>
          </cell>
          <cell r="H3259" t="str">
            <v>DISTRIBUIÇÃO</v>
          </cell>
          <cell r="I3259" t="str">
            <v>FOOD SERVICE</v>
          </cell>
          <cell r="J3259" t="str">
            <v>WH FOOD SERVICE CE</v>
          </cell>
          <cell r="K3259" t="str">
            <v>ITAMBÉ</v>
          </cell>
          <cell r="L3259" t="str">
            <v>RODRIGO</v>
          </cell>
          <cell r="M3259" t="str">
            <v>MARIA LOURDES</v>
          </cell>
        </row>
        <row r="3260">
          <cell r="B3260">
            <v>5110498</v>
          </cell>
          <cell r="C3260" t="str">
            <v>ZANEPAN COM ATAC DE GENEROS ALI</v>
          </cell>
          <cell r="D3260" t="str">
            <v>7001</v>
          </cell>
          <cell r="E3260" t="str">
            <v>0739</v>
          </cell>
          <cell r="F3260" t="str">
            <v>C1</v>
          </cell>
          <cell r="G3260" t="str">
            <v>ES</v>
          </cell>
          <cell r="H3260" t="str">
            <v>DISTRIBUIÇÃO</v>
          </cell>
          <cell r="I3260" t="str">
            <v>FOOD SERVICE</v>
          </cell>
          <cell r="J3260" t="str">
            <v>MARCELO DUARTE</v>
          </cell>
          <cell r="K3260" t="str">
            <v>LACTALIS</v>
          </cell>
          <cell r="L3260" t="str">
            <v>RODRIGO</v>
          </cell>
          <cell r="M3260" t="str">
            <v>JESSICA</v>
          </cell>
        </row>
        <row r="3261">
          <cell r="B3261">
            <v>5182903</v>
          </cell>
          <cell r="C3261" t="str">
            <v>CERVINO E MARTINEZ LTDA</v>
          </cell>
          <cell r="D3261" t="str">
            <v>6001</v>
          </cell>
          <cell r="E3261" t="str">
            <v>6009</v>
          </cell>
          <cell r="F3261" t="str">
            <v>C1</v>
          </cell>
          <cell r="G3261" t="str">
            <v>BA</v>
          </cell>
          <cell r="H3261" t="str">
            <v>DISTRIBUIÇÃO</v>
          </cell>
          <cell r="I3261" t="str">
            <v>FOOD SERVICE</v>
          </cell>
          <cell r="J3261" t="str">
            <v>CLAUDIO JORGE/LUIZ</v>
          </cell>
          <cell r="K3261" t="str">
            <v>ITAMBÉ</v>
          </cell>
          <cell r="L3261" t="str">
            <v>RODRIGO</v>
          </cell>
          <cell r="M3261" t="str">
            <v>MARIA LOURDES</v>
          </cell>
        </row>
        <row r="3262">
          <cell r="B3262">
            <v>5366715</v>
          </cell>
          <cell r="C3262" t="str">
            <v>TRADICOES E INOV PAD ARTES LTDA</v>
          </cell>
          <cell r="D3262" t="str">
            <v>7001</v>
          </cell>
          <cell r="E3262" t="str">
            <v>0749</v>
          </cell>
          <cell r="F3262" t="str">
            <v>C5</v>
          </cell>
          <cell r="G3262" t="str">
            <v>SP</v>
          </cell>
          <cell r="H3262" t="str">
            <v>DISTRIBUIÇÃO</v>
          </cell>
          <cell r="I3262" t="str">
            <v>FOOD SERVICE</v>
          </cell>
          <cell r="J3262" t="str">
            <v>FLAC 2</v>
          </cell>
          <cell r="K3262" t="str">
            <v>LACTALIS</v>
          </cell>
          <cell r="L3262" t="str">
            <v>RODRIGO</v>
          </cell>
          <cell r="M3262" t="str">
            <v>RAQUEL BARBOSA</v>
          </cell>
        </row>
        <row r="3263">
          <cell r="B3263">
            <v>5017476</v>
          </cell>
          <cell r="C3263" t="str">
            <v>SANTA EDWIGES SUPERMERCADO LTDA</v>
          </cell>
          <cell r="D3263" t="str">
            <v>6001</v>
          </cell>
          <cell r="E3263" t="str">
            <v>6127</v>
          </cell>
          <cell r="F3263" t="str">
            <v>C1</v>
          </cell>
          <cell r="G3263" t="str">
            <v>CE</v>
          </cell>
          <cell r="H3263" t="str">
            <v>DISTRIBUIÇÃO</v>
          </cell>
          <cell r="I3263" t="str">
            <v>FOOD SERVICE</v>
          </cell>
          <cell r="J3263" t="str">
            <v>WH FOOD SERVICE CE</v>
          </cell>
          <cell r="K3263" t="str">
            <v>ITAMBÉ</v>
          </cell>
          <cell r="L3263" t="str">
            <v>RODRIGO</v>
          </cell>
          <cell r="M3263" t="str">
            <v>MARIA LOURDES</v>
          </cell>
        </row>
        <row r="3264">
          <cell r="B3264">
            <v>5192211</v>
          </cell>
          <cell r="C3264" t="str">
            <v>A I ALMEIDA DE MELO ME</v>
          </cell>
          <cell r="D3264" t="str">
            <v>6001</v>
          </cell>
          <cell r="E3264" t="str">
            <v>6127</v>
          </cell>
          <cell r="F3264" t="str">
            <v>C1</v>
          </cell>
          <cell r="G3264" t="str">
            <v>CE</v>
          </cell>
          <cell r="H3264" t="str">
            <v>DISTRIBUIÇÃO</v>
          </cell>
          <cell r="I3264" t="str">
            <v>FOOD SERVICE</v>
          </cell>
          <cell r="J3264" t="str">
            <v>WH FOOD SERVICE CE</v>
          </cell>
          <cell r="K3264" t="str">
            <v>ITAMBÉ</v>
          </cell>
          <cell r="L3264" t="str">
            <v>RODRIGO</v>
          </cell>
          <cell r="M3264" t="str">
            <v>MARIA LOURDES</v>
          </cell>
        </row>
        <row r="3265">
          <cell r="B3265">
            <v>5207977</v>
          </cell>
          <cell r="C3265" t="str">
            <v>JESSICA F S AGUIAR ME</v>
          </cell>
          <cell r="D3265" t="str">
            <v>6001</v>
          </cell>
          <cell r="E3265" t="str">
            <v>6127</v>
          </cell>
          <cell r="F3265" t="str">
            <v>C1</v>
          </cell>
          <cell r="G3265" t="str">
            <v>CE</v>
          </cell>
          <cell r="H3265" t="str">
            <v>DISTRIBUIÇÃO</v>
          </cell>
          <cell r="I3265" t="str">
            <v>FOOD SERVICE</v>
          </cell>
          <cell r="J3265" t="str">
            <v>WH FOOD SERVICE CE</v>
          </cell>
          <cell r="K3265" t="str">
            <v>ITAMBÉ</v>
          </cell>
          <cell r="L3265" t="str">
            <v>RODRIGO</v>
          </cell>
          <cell r="M3265" t="str">
            <v>MARIA LOURDES</v>
          </cell>
        </row>
        <row r="3266">
          <cell r="B3266">
            <v>5208889</v>
          </cell>
          <cell r="C3266" t="str">
            <v>ROYAL CESTA BASICA LTDA</v>
          </cell>
          <cell r="D3266" t="str">
            <v>7001</v>
          </cell>
          <cell r="E3266" t="str">
            <v>0749</v>
          </cell>
          <cell r="F3266" t="str">
            <v>C5</v>
          </cell>
          <cell r="G3266" t="str">
            <v>SP</v>
          </cell>
          <cell r="H3266" t="str">
            <v>DISTRIBUIÇÃO</v>
          </cell>
          <cell r="I3266" t="str">
            <v>FOOD SERVICE</v>
          </cell>
          <cell r="J3266" t="str">
            <v>FLAC 1</v>
          </cell>
          <cell r="K3266" t="str">
            <v>LACTALIS</v>
          </cell>
          <cell r="L3266" t="str">
            <v>RODRIGO</v>
          </cell>
          <cell r="M3266" t="str">
            <v>RAQUEL BARBOSA</v>
          </cell>
        </row>
        <row r="3267">
          <cell r="B3267">
            <v>5214902</v>
          </cell>
          <cell r="C3267" t="str">
            <v>ANDRESSA LIVIA SOUSA ME</v>
          </cell>
          <cell r="D3267" t="str">
            <v>6001</v>
          </cell>
          <cell r="E3267" t="str">
            <v>6127</v>
          </cell>
          <cell r="F3267" t="str">
            <v>C1</v>
          </cell>
          <cell r="G3267" t="str">
            <v>CE</v>
          </cell>
          <cell r="H3267" t="str">
            <v>DISTRIBUIÇÃO</v>
          </cell>
          <cell r="I3267" t="str">
            <v>FOOD SERVICE</v>
          </cell>
          <cell r="J3267" t="str">
            <v>WH FOOD SERVICE CE</v>
          </cell>
          <cell r="K3267" t="str">
            <v>ITAMBÉ</v>
          </cell>
          <cell r="L3267" t="str">
            <v>RODRIGO</v>
          </cell>
          <cell r="M3267" t="str">
            <v>MARIA LOURDES</v>
          </cell>
        </row>
        <row r="3268">
          <cell r="B3268">
            <v>5260901</v>
          </cell>
          <cell r="C3268" t="str">
            <v>NUTRI ALIMENTOS COMERCIO LTDA</v>
          </cell>
          <cell r="D3268" t="str">
            <v>7001</v>
          </cell>
          <cell r="E3268" t="str">
            <v>0722</v>
          </cell>
          <cell r="F3268" t="str">
            <v>C1</v>
          </cell>
          <cell r="G3268" t="str">
            <v>SP</v>
          </cell>
          <cell r="H3268" t="str">
            <v>QSR</v>
          </cell>
          <cell r="I3268" t="str">
            <v>FOOD SERVICE</v>
          </cell>
          <cell r="J3268" t="str">
            <v>VAGO QSR</v>
          </cell>
          <cell r="K3268" t="str">
            <v>LACTALIS</v>
          </cell>
          <cell r="L3268" t="str">
            <v>PEDRO</v>
          </cell>
          <cell r="M3268" t="str">
            <v>VAGO QSR</v>
          </cell>
        </row>
        <row r="3269">
          <cell r="B3269">
            <v>5310515</v>
          </cell>
          <cell r="C3269" t="str">
            <v>P R M SERVICOS E MAO DE OBRA ES</v>
          </cell>
          <cell r="D3269" t="str">
            <v>6001</v>
          </cell>
          <cell r="E3269" t="str">
            <v>6125</v>
          </cell>
          <cell r="F3269" t="str">
            <v>C1</v>
          </cell>
          <cell r="G3269" t="str">
            <v>SP</v>
          </cell>
          <cell r="H3269" t="str">
            <v>DISTRIBUIÇÃO</v>
          </cell>
          <cell r="I3269" t="str">
            <v>FOOD SERVICE</v>
          </cell>
          <cell r="J3269" t="str">
            <v>SP ITB FS FLAC REP.E COMERCIO</v>
          </cell>
          <cell r="K3269" t="str">
            <v>ITAMBÉ</v>
          </cell>
          <cell r="L3269" t="str">
            <v>RODRIGO</v>
          </cell>
          <cell r="M3269" t="str">
            <v>RAQUEL BARBOSA</v>
          </cell>
        </row>
        <row r="3270">
          <cell r="B3270">
            <v>5366894</v>
          </cell>
          <cell r="C3270" t="str">
            <v>SORVETES BAMBINO S IND E C DE G</v>
          </cell>
          <cell r="D3270" t="str">
            <v>6001</v>
          </cell>
          <cell r="E3270" t="str">
            <v>6028</v>
          </cell>
          <cell r="F3270" t="str">
            <v>C1</v>
          </cell>
          <cell r="G3270" t="str">
            <v>SP</v>
          </cell>
          <cell r="H3270" t="str">
            <v>INGREDIENTS</v>
          </cell>
          <cell r="I3270" t="str">
            <v>INGREDIENTS</v>
          </cell>
          <cell r="J3270" t="str">
            <v>SP ITB FS RVM SOLUTTI</v>
          </cell>
          <cell r="K3270" t="str">
            <v>ITAMBÉ</v>
          </cell>
          <cell r="L3270" t="str">
            <v>MAURICIO</v>
          </cell>
          <cell r="M3270" t="str">
            <v>TATIANA NITTA</v>
          </cell>
        </row>
        <row r="3271">
          <cell r="B3271">
            <v>5204235</v>
          </cell>
          <cell r="C3271" t="str">
            <v>NUTRIALIMENTAR INDUSTRIA LTDA</v>
          </cell>
          <cell r="D3271" t="str">
            <v>4001</v>
          </cell>
          <cell r="E3271" t="str">
            <v>0437</v>
          </cell>
          <cell r="F3271" t="str">
            <v>C1</v>
          </cell>
          <cell r="G3271" t="str">
            <v>SP</v>
          </cell>
          <cell r="H3271" t="str">
            <v>INGREDIENTS</v>
          </cell>
          <cell r="I3271" t="str">
            <v>INGREDIENTS</v>
          </cell>
          <cell r="J3271" t="str">
            <v>TATIANA NITTA</v>
          </cell>
          <cell r="K3271" t="str">
            <v>LACTALIS</v>
          </cell>
          <cell r="L3271" t="str">
            <v>MAURICIO</v>
          </cell>
          <cell r="M3271" t="str">
            <v>TATIANA NITTA</v>
          </cell>
        </row>
        <row r="3272">
          <cell r="B3272">
            <v>5319280</v>
          </cell>
          <cell r="C3272" t="str">
            <v>LATICINIO STEFANELLO LTDA</v>
          </cell>
          <cell r="D3272" t="str">
            <v>4001</v>
          </cell>
          <cell r="E3272" t="str">
            <v>0546</v>
          </cell>
          <cell r="F3272" t="str">
            <v>C1</v>
          </cell>
          <cell r="G3272" t="str">
            <v>RS</v>
          </cell>
          <cell r="H3272" t="str">
            <v>INGREDIENTS</v>
          </cell>
          <cell r="I3272" t="str">
            <v>INGREDIENTS</v>
          </cell>
          <cell r="J3272" t="str">
            <v>JOEL ELEOTÉRIO</v>
          </cell>
          <cell r="K3272" t="str">
            <v>LACTALIS</v>
          </cell>
          <cell r="L3272" t="str">
            <v>MAURICIO</v>
          </cell>
          <cell r="M3272" t="str">
            <v>JOEL</v>
          </cell>
        </row>
        <row r="3273">
          <cell r="B3273">
            <v>5366274</v>
          </cell>
          <cell r="C3273" t="str">
            <v>ORGANIZAC BRAZAL C DE PROD AL LTDA</v>
          </cell>
          <cell r="D3273" t="str">
            <v>3001</v>
          </cell>
          <cell r="E3273" t="str">
            <v>0122</v>
          </cell>
          <cell r="F3273" t="str">
            <v>C1</v>
          </cell>
          <cell r="G3273" t="str">
            <v>MG</v>
          </cell>
          <cell r="H3273" t="str">
            <v>DISTRIBUIÇÃO</v>
          </cell>
          <cell r="I3273" t="str">
            <v>FOOD SERVICE</v>
          </cell>
          <cell r="J3273" t="str">
            <v>CELIO MARTINS</v>
          </cell>
          <cell r="K3273" t="str">
            <v>ITAMBÉ</v>
          </cell>
          <cell r="L3273" t="str">
            <v>RODRIGO</v>
          </cell>
          <cell r="M3273" t="str">
            <v>CELIO MARTINS</v>
          </cell>
        </row>
        <row r="3274">
          <cell r="B3274">
            <v>5366611</v>
          </cell>
          <cell r="C3274" t="str">
            <v>FAS PAO PADARIA ARTESANAL LTDA</v>
          </cell>
          <cell r="D3274" t="str">
            <v>7001</v>
          </cell>
          <cell r="E3274" t="str">
            <v>0749</v>
          </cell>
          <cell r="F3274" t="str">
            <v>C5</v>
          </cell>
          <cell r="G3274" t="str">
            <v>SP</v>
          </cell>
          <cell r="H3274" t="str">
            <v>DISTRIBUIÇÃO</v>
          </cell>
          <cell r="I3274" t="str">
            <v>FOOD SERVICE</v>
          </cell>
          <cell r="J3274" t="str">
            <v>FLAC 2</v>
          </cell>
          <cell r="K3274" t="str">
            <v>LACTALIS</v>
          </cell>
          <cell r="L3274" t="str">
            <v>RODRIGO</v>
          </cell>
          <cell r="M3274" t="str">
            <v>RAQUEL BARBOSA</v>
          </cell>
        </row>
        <row r="3275">
          <cell r="B3275">
            <v>5045012</v>
          </cell>
          <cell r="C3275" t="str">
            <v>BEBIDAS NOVA ENGENHOCA EILERI</v>
          </cell>
          <cell r="D3275" t="str">
            <v>4001</v>
          </cell>
          <cell r="E3275" t="str">
            <v>0437</v>
          </cell>
          <cell r="F3275" t="str">
            <v>C1</v>
          </cell>
          <cell r="G3275" t="str">
            <v>SP</v>
          </cell>
          <cell r="H3275" t="str">
            <v>INGREDIENTS</v>
          </cell>
          <cell r="I3275" t="str">
            <v>INGREDIENTS</v>
          </cell>
          <cell r="J3275" t="str">
            <v>TATIANA NITTA</v>
          </cell>
          <cell r="K3275" t="str">
            <v>LACTALIS</v>
          </cell>
          <cell r="L3275" t="str">
            <v>MAURICIO</v>
          </cell>
          <cell r="M3275" t="str">
            <v>TATIANA NITTA</v>
          </cell>
        </row>
        <row r="3276">
          <cell r="B3276">
            <v>5188591</v>
          </cell>
          <cell r="C3276" t="str">
            <v>EMBALAGENS ITABIRA LTDA</v>
          </cell>
          <cell r="D3276" t="str">
            <v>3001</v>
          </cell>
          <cell r="E3276" t="str">
            <v>0028</v>
          </cell>
          <cell r="F3276" t="str">
            <v>C1</v>
          </cell>
          <cell r="G3276" t="str">
            <v>MG</v>
          </cell>
          <cell r="H3276" t="str">
            <v>INGREDIENTS</v>
          </cell>
          <cell r="I3276" t="str">
            <v>INGREDIENTS</v>
          </cell>
          <cell r="J3276" t="str">
            <v>MG ITB FS GRAFNÇA REPRES</v>
          </cell>
          <cell r="K3276" t="str">
            <v>ITAMBÉ</v>
          </cell>
          <cell r="L3276" t="str">
            <v>MAURICIO</v>
          </cell>
          <cell r="M3276" t="str">
            <v>TATIANA NITTA</v>
          </cell>
        </row>
        <row r="3277">
          <cell r="B3277">
            <v>5312393</v>
          </cell>
          <cell r="C3277" t="str">
            <v>DESCAMPADO COMERCIO DE ALIM LTD</v>
          </cell>
          <cell r="D3277" t="str">
            <v>7001</v>
          </cell>
          <cell r="E3277" t="str">
            <v>0749</v>
          </cell>
          <cell r="F3277" t="str">
            <v>C5</v>
          </cell>
          <cell r="G3277" t="str">
            <v>SP</v>
          </cell>
          <cell r="H3277" t="str">
            <v>DISTRIBUIÇÃO</v>
          </cell>
          <cell r="I3277" t="str">
            <v>FOOD SERVICE</v>
          </cell>
          <cell r="J3277" t="str">
            <v>FLAC 4</v>
          </cell>
          <cell r="K3277" t="str">
            <v>LACTALIS</v>
          </cell>
          <cell r="L3277" t="str">
            <v>RODRIGO</v>
          </cell>
          <cell r="M3277" t="str">
            <v>RAQUEL BARBOSA</v>
          </cell>
        </row>
        <row r="3278">
          <cell r="B3278">
            <v>5366017</v>
          </cell>
          <cell r="C3278" t="str">
            <v>O MARAVILHA CAFE E CONFEITARIA</v>
          </cell>
          <cell r="D3278" t="str">
            <v>7001</v>
          </cell>
          <cell r="E3278" t="str">
            <v>0749</v>
          </cell>
          <cell r="F3278" t="str">
            <v>C5</v>
          </cell>
          <cell r="G3278" t="str">
            <v>SP</v>
          </cell>
          <cell r="H3278" t="str">
            <v>DISTRIBUIÇÃO</v>
          </cell>
          <cell r="I3278" t="str">
            <v>FOOD SERVICE</v>
          </cell>
          <cell r="J3278" t="str">
            <v>FLAC 7</v>
          </cell>
          <cell r="K3278" t="str">
            <v>LACTALIS</v>
          </cell>
          <cell r="L3278" t="str">
            <v>RODRIGO</v>
          </cell>
          <cell r="M3278" t="str">
            <v>RAQUEL BARBOSA</v>
          </cell>
        </row>
        <row r="3279">
          <cell r="B3279">
            <v>5366348</v>
          </cell>
          <cell r="C3279" t="str">
            <v>LCG LANCHES LTDA</v>
          </cell>
          <cell r="D3279" t="str">
            <v>7001</v>
          </cell>
          <cell r="E3279" t="str">
            <v>0749</v>
          </cell>
          <cell r="F3279" t="str">
            <v>C5</v>
          </cell>
          <cell r="G3279" t="str">
            <v>SP</v>
          </cell>
          <cell r="H3279" t="str">
            <v>DISTRIBUIÇÃO</v>
          </cell>
          <cell r="I3279" t="str">
            <v>FOOD SERVICE</v>
          </cell>
          <cell r="J3279" t="str">
            <v>FLAC 4</v>
          </cell>
          <cell r="K3279" t="str">
            <v>LACTALIS</v>
          </cell>
          <cell r="L3279" t="str">
            <v>RODRIGO</v>
          </cell>
          <cell r="M3279" t="str">
            <v>RAQUEL BARBOSA</v>
          </cell>
        </row>
        <row r="3280">
          <cell r="B3280">
            <v>5280969</v>
          </cell>
          <cell r="C3280" t="str">
            <v>PAULISTANA CAFE PIZZARIA LTDA</v>
          </cell>
          <cell r="D3280" t="str">
            <v>7001</v>
          </cell>
          <cell r="E3280" t="str">
            <v>0749</v>
          </cell>
          <cell r="F3280" t="str">
            <v>C5</v>
          </cell>
          <cell r="G3280" t="str">
            <v>SP</v>
          </cell>
          <cell r="H3280" t="str">
            <v>DISTRIBUIÇÃO</v>
          </cell>
          <cell r="I3280" t="str">
            <v>FOOD SERVICE</v>
          </cell>
          <cell r="J3280" t="str">
            <v>FLAC 5</v>
          </cell>
          <cell r="K3280" t="str">
            <v>LACTALIS</v>
          </cell>
          <cell r="L3280" t="str">
            <v>RODRIGO</v>
          </cell>
          <cell r="M3280" t="str">
            <v>RAQUEL BARBOSA</v>
          </cell>
        </row>
        <row r="3281">
          <cell r="B3281">
            <v>5340398</v>
          </cell>
          <cell r="C3281" t="str">
            <v>TRATTORIA LELLIS LTDA</v>
          </cell>
          <cell r="D3281" t="str">
            <v>7001</v>
          </cell>
          <cell r="E3281" t="str">
            <v>0749</v>
          </cell>
          <cell r="F3281" t="str">
            <v>C5</v>
          </cell>
          <cell r="G3281" t="str">
            <v>SP</v>
          </cell>
          <cell r="H3281" t="str">
            <v>DISTRIBUIÇÃO</v>
          </cell>
          <cell r="I3281" t="str">
            <v>FOOD SERVICE</v>
          </cell>
          <cell r="J3281" t="str">
            <v>FLAC 4</v>
          </cell>
          <cell r="K3281" t="str">
            <v>LACTALIS</v>
          </cell>
          <cell r="L3281" t="str">
            <v>RODRIGO</v>
          </cell>
          <cell r="M3281" t="str">
            <v>RAQUEL BARBOSA</v>
          </cell>
        </row>
        <row r="3282">
          <cell r="B3282">
            <v>5367020</v>
          </cell>
          <cell r="C3282" t="str">
            <v>FRUTARIA GYM LTDA</v>
          </cell>
          <cell r="D3282" t="str">
            <v>7001</v>
          </cell>
          <cell r="E3282" t="str">
            <v>0749</v>
          </cell>
          <cell r="F3282" t="str">
            <v>C5</v>
          </cell>
          <cell r="G3282" t="str">
            <v>SP</v>
          </cell>
          <cell r="H3282" t="str">
            <v>DISTRIBUIÇÃO</v>
          </cell>
          <cell r="I3282" t="str">
            <v>FOOD SERVICE</v>
          </cell>
          <cell r="J3282" t="str">
            <v>FLAC 6</v>
          </cell>
          <cell r="K3282" t="str">
            <v>LACTALIS</v>
          </cell>
          <cell r="L3282" t="str">
            <v>RODRIGO</v>
          </cell>
          <cell r="M3282" t="str">
            <v>RAQUEL BARBOSA</v>
          </cell>
        </row>
        <row r="3283">
          <cell r="B3283">
            <v>5367033</v>
          </cell>
          <cell r="C3283" t="str">
            <v>IRIA MARIA RODRIGUES VELOSO</v>
          </cell>
          <cell r="D3283" t="str">
            <v>3001</v>
          </cell>
          <cell r="E3283" t="str">
            <v>0028</v>
          </cell>
          <cell r="F3283" t="str">
            <v>C1</v>
          </cell>
          <cell r="G3283" t="str">
            <v>PI</v>
          </cell>
          <cell r="H3283" t="str">
            <v>INGREDIENTS</v>
          </cell>
          <cell r="I3283" t="str">
            <v>INGREDIENTS</v>
          </cell>
          <cell r="J3283" t="str">
            <v>PI ITB FS F A FERREIRA REPRES</v>
          </cell>
          <cell r="K3283" t="str">
            <v>ITAMBÉ</v>
          </cell>
          <cell r="L3283" t="str">
            <v>MAURICIO</v>
          </cell>
          <cell r="M3283" t="str">
            <v>JOEL</v>
          </cell>
        </row>
        <row r="3284">
          <cell r="B3284">
            <v>5088696</v>
          </cell>
          <cell r="C3284" t="str">
            <v>NUTRIMENTAL SA IND COM ALIMENTOS</v>
          </cell>
          <cell r="D3284" t="str">
            <v>4001</v>
          </cell>
          <cell r="E3284" t="str">
            <v>0455</v>
          </cell>
          <cell r="F3284" t="str">
            <v>C1</v>
          </cell>
          <cell r="G3284" t="str">
            <v>PR</v>
          </cell>
          <cell r="H3284" t="str">
            <v>INGREDIENTS</v>
          </cell>
          <cell r="I3284" t="str">
            <v>INGREDIENTS</v>
          </cell>
          <cell r="J3284" t="str">
            <v>MARCELO RODRIGUES</v>
          </cell>
          <cell r="K3284" t="str">
            <v>LACTALIS</v>
          </cell>
          <cell r="L3284" t="str">
            <v>MAURICIO</v>
          </cell>
          <cell r="M3284" t="str">
            <v>MARCELO</v>
          </cell>
        </row>
        <row r="3285">
          <cell r="B3285">
            <v>5362524</v>
          </cell>
          <cell r="C3285" t="str">
            <v>VIVI BARROS BUFFET LTDA</v>
          </cell>
          <cell r="D3285" t="str">
            <v>7001</v>
          </cell>
          <cell r="E3285" t="str">
            <v>0749</v>
          </cell>
          <cell r="F3285" t="str">
            <v>C5</v>
          </cell>
          <cell r="G3285" t="str">
            <v>SP</v>
          </cell>
          <cell r="H3285" t="str">
            <v>DISTRIBUIÇÃO</v>
          </cell>
          <cell r="I3285" t="str">
            <v>FOOD SERVICE</v>
          </cell>
          <cell r="J3285" t="str">
            <v>FLAC 3</v>
          </cell>
          <cell r="K3285" t="str">
            <v>LACTALIS</v>
          </cell>
          <cell r="L3285" t="str">
            <v>RODRIGO</v>
          </cell>
          <cell r="M3285" t="str">
            <v>RAQUEL BARBOSA</v>
          </cell>
        </row>
        <row r="3286">
          <cell r="B3286">
            <v>5364392</v>
          </cell>
          <cell r="C3286" t="str">
            <v>EDUARDO DE SOUZA ABRANTES</v>
          </cell>
          <cell r="D3286" t="str">
            <v>3001</v>
          </cell>
          <cell r="E3286" t="str">
            <v>0028</v>
          </cell>
          <cell r="F3286" t="str">
            <v>C1</v>
          </cell>
          <cell r="G3286" t="str">
            <v>MG</v>
          </cell>
          <cell r="H3286" t="str">
            <v>INGREDIENTS</v>
          </cell>
          <cell r="I3286" t="str">
            <v>INGREDIENTS</v>
          </cell>
          <cell r="J3286" t="str">
            <v>HENRIQUE FERREIRA</v>
          </cell>
          <cell r="K3286" t="str">
            <v>ITAMBÉ</v>
          </cell>
          <cell r="L3286" t="str">
            <v>MAURICIO</v>
          </cell>
          <cell r="M3286" t="str">
            <v>JOEL</v>
          </cell>
        </row>
        <row r="3287">
          <cell r="B3287">
            <v>5365444</v>
          </cell>
          <cell r="C3287" t="str">
            <v>MARESIA IND E COMERCIO DE ALIME</v>
          </cell>
          <cell r="D3287" t="str">
            <v>3001</v>
          </cell>
          <cell r="E3287" t="str">
            <v>0028</v>
          </cell>
          <cell r="F3287" t="str">
            <v>C1</v>
          </cell>
          <cell r="G3287" t="str">
            <v>SE</v>
          </cell>
          <cell r="H3287" t="str">
            <v>INGREDIENTS</v>
          </cell>
          <cell r="I3287" t="str">
            <v>INGREDIENTS</v>
          </cell>
          <cell r="J3287" t="str">
            <v>PE ITB FS L B REP</v>
          </cell>
          <cell r="K3287" t="str">
            <v>ITAMBÉ</v>
          </cell>
          <cell r="L3287" t="str">
            <v>MAURICIO</v>
          </cell>
          <cell r="M3287" t="str">
            <v>JOEL</v>
          </cell>
        </row>
        <row r="3288">
          <cell r="B3288">
            <v>5358639</v>
          </cell>
          <cell r="C3288" t="str">
            <v>BERLIN FRANCHISING LTDA</v>
          </cell>
          <cell r="D3288" t="str">
            <v>7001</v>
          </cell>
          <cell r="E3288" t="str">
            <v>0749</v>
          </cell>
          <cell r="F3288" t="str">
            <v>C5</v>
          </cell>
          <cell r="G3288" t="str">
            <v>SP</v>
          </cell>
          <cell r="H3288" t="str">
            <v>DISTRIBUIÇÃO</v>
          </cell>
          <cell r="I3288" t="str">
            <v>FOOD SERVICE</v>
          </cell>
          <cell r="J3288" t="str">
            <v>FLAC 3</v>
          </cell>
          <cell r="K3288" t="str">
            <v>LACTALIS</v>
          </cell>
          <cell r="L3288" t="str">
            <v>RODRIGO</v>
          </cell>
          <cell r="M3288" t="str">
            <v>RAQUEL BARBOSA</v>
          </cell>
        </row>
        <row r="3289">
          <cell r="B3289">
            <v>5219000</v>
          </cell>
          <cell r="C3289" t="str">
            <v>FONTENELLE IND E COM DE ALIM LTDA</v>
          </cell>
          <cell r="D3289" t="str">
            <v>6001</v>
          </cell>
          <cell r="E3289" t="str">
            <v>6127</v>
          </cell>
          <cell r="F3289" t="str">
            <v>C1</v>
          </cell>
          <cell r="G3289" t="str">
            <v>CE</v>
          </cell>
          <cell r="H3289" t="str">
            <v>DISTRIBUIÇÃO</v>
          </cell>
          <cell r="I3289" t="str">
            <v>FOOD SERVICE</v>
          </cell>
          <cell r="J3289" t="str">
            <v>WH FOOD SERVICE CE</v>
          </cell>
          <cell r="K3289" t="str">
            <v>ITAMBÉ</v>
          </cell>
          <cell r="L3289" t="str">
            <v>RODRIGO</v>
          </cell>
          <cell r="M3289" t="str">
            <v>MARIA LOURDES</v>
          </cell>
        </row>
        <row r="3290">
          <cell r="B3290">
            <v>5367229</v>
          </cell>
          <cell r="C3290" t="str">
            <v>CB RIO BOTAFOGO COM DE ALIM LTD</v>
          </cell>
          <cell r="D3290" t="str">
            <v>6001</v>
          </cell>
          <cell r="E3290" t="str">
            <v>6169</v>
          </cell>
          <cell r="F3290" t="str">
            <v>C1</v>
          </cell>
          <cell r="G3290" t="str">
            <v>RJ</v>
          </cell>
          <cell r="H3290" t="str">
            <v>QSR</v>
          </cell>
          <cell r="I3290" t="str">
            <v>FOOD SERVICE</v>
          </cell>
          <cell r="J3290" t="str">
            <v>VAGO QSR</v>
          </cell>
          <cell r="K3290" t="str">
            <v>ITAMBÉ</v>
          </cell>
          <cell r="L3290" t="str">
            <v>PEDRO</v>
          </cell>
          <cell r="M3290" t="str">
            <v>VAGO QSR</v>
          </cell>
        </row>
        <row r="3291">
          <cell r="B3291">
            <v>5172638</v>
          </cell>
          <cell r="C3291" t="str">
            <v>ESTANCORPORATE ADM DE REST LTDA ME</v>
          </cell>
          <cell r="D3291" t="str">
            <v>7001</v>
          </cell>
          <cell r="E3291" t="str">
            <v>0749</v>
          </cell>
          <cell r="F3291" t="str">
            <v>C5</v>
          </cell>
          <cell r="G3291" t="str">
            <v>SP</v>
          </cell>
          <cell r="H3291" t="str">
            <v>QSR</v>
          </cell>
          <cell r="I3291" t="str">
            <v>FOOD SERVICE</v>
          </cell>
          <cell r="J3291" t="str">
            <v>NUTRI</v>
          </cell>
          <cell r="K3291" t="str">
            <v>LACTALIS</v>
          </cell>
          <cell r="L3291" t="str">
            <v>PEDRO</v>
          </cell>
          <cell r="M3291" t="str">
            <v>VAGO QSR</v>
          </cell>
        </row>
        <row r="3292">
          <cell r="B3292">
            <v>5205457</v>
          </cell>
          <cell r="C3292" t="str">
            <v>ACAI COM CHANTILLY E SORVETERIA</v>
          </cell>
          <cell r="D3292" t="str">
            <v>6001</v>
          </cell>
          <cell r="E3292" t="str">
            <v>6169</v>
          </cell>
          <cell r="F3292" t="str">
            <v>C1</v>
          </cell>
          <cell r="G3292" t="str">
            <v>RJ</v>
          </cell>
          <cell r="H3292" t="str">
            <v>DISTRIBUIÇÃO</v>
          </cell>
          <cell r="I3292" t="str">
            <v>FOOD SERVICE</v>
          </cell>
          <cell r="J3292" t="str">
            <v>JULIANA CORDEIRO</v>
          </cell>
          <cell r="K3292" t="str">
            <v>ITAMBÉ</v>
          </cell>
          <cell r="L3292" t="str">
            <v>RODRIGO</v>
          </cell>
          <cell r="M3292" t="str">
            <v>JESSICA</v>
          </cell>
        </row>
        <row r="3293">
          <cell r="B3293">
            <v>5250417</v>
          </cell>
          <cell r="C3293" t="str">
            <v>DSG DISTRIBUIDORA DE ALIM LTDA</v>
          </cell>
          <cell r="D3293" t="str">
            <v>3001</v>
          </cell>
          <cell r="E3293" t="str">
            <v>0028</v>
          </cell>
          <cell r="F3293" t="str">
            <v>C1</v>
          </cell>
          <cell r="G3293" t="str">
            <v>PB</v>
          </cell>
          <cell r="H3293" t="str">
            <v>INGREDIENTS</v>
          </cell>
          <cell r="I3293" t="str">
            <v>INGREDIENTS</v>
          </cell>
          <cell r="J3293" t="str">
            <v>RN ITB FS W S REPRESENTAÇÕES</v>
          </cell>
          <cell r="K3293" t="str">
            <v>ITAMBÉ</v>
          </cell>
          <cell r="L3293" t="str">
            <v>MAURICIO</v>
          </cell>
          <cell r="M3293" t="str">
            <v>JOEL</v>
          </cell>
        </row>
        <row r="3294">
          <cell r="B3294">
            <v>5367126</v>
          </cell>
          <cell r="C3294" t="str">
            <v>PRODUTOS ALIMENT KANASHIRO LTDA</v>
          </cell>
          <cell r="D3294" t="str">
            <v>7001</v>
          </cell>
          <cell r="E3294" t="str">
            <v>0749</v>
          </cell>
          <cell r="F3294" t="str">
            <v>C5</v>
          </cell>
          <cell r="G3294" t="str">
            <v>SP</v>
          </cell>
          <cell r="H3294" t="str">
            <v>DISTRIBUIÇÃO</v>
          </cell>
          <cell r="I3294" t="str">
            <v>FOOD SERVICE</v>
          </cell>
          <cell r="J3294" t="str">
            <v>FLAC 4</v>
          </cell>
          <cell r="K3294" t="str">
            <v>LACTALIS</v>
          </cell>
          <cell r="L3294" t="str">
            <v>RODRIGO</v>
          </cell>
          <cell r="M3294" t="str">
            <v>RAQUEL BARBOSA</v>
          </cell>
        </row>
        <row r="3295">
          <cell r="B3295">
            <v>5268680</v>
          </cell>
          <cell r="C3295" t="str">
            <v>RENATO CHABOLI LTDA</v>
          </cell>
          <cell r="D3295" t="str">
            <v>4001</v>
          </cell>
          <cell r="E3295" t="str">
            <v>0437</v>
          </cell>
          <cell r="F3295" t="str">
            <v>C1</v>
          </cell>
          <cell r="G3295" t="str">
            <v>SP</v>
          </cell>
          <cell r="H3295" t="str">
            <v>INGREDIENTS</v>
          </cell>
          <cell r="I3295" t="str">
            <v>INGREDIENTS</v>
          </cell>
          <cell r="J3295" t="str">
            <v>TATIANA NITTA</v>
          </cell>
          <cell r="K3295" t="str">
            <v>LACTALIS</v>
          </cell>
          <cell r="L3295" t="str">
            <v>MAURICIO</v>
          </cell>
          <cell r="M3295" t="str">
            <v>TATIANA NITTA</v>
          </cell>
        </row>
        <row r="3296">
          <cell r="B3296">
            <v>5366895</v>
          </cell>
          <cell r="C3296" t="str">
            <v>COMARY INDUSTRIA DE BEBIDAS LTDA</v>
          </cell>
          <cell r="D3296" t="str">
            <v>4001</v>
          </cell>
          <cell r="E3296" t="str">
            <v>0437</v>
          </cell>
          <cell r="F3296" t="str">
            <v>C1</v>
          </cell>
          <cell r="G3296" t="str">
            <v>RJ</v>
          </cell>
          <cell r="H3296" t="str">
            <v>INGREDIENTS</v>
          </cell>
          <cell r="I3296" t="str">
            <v>INGREDIENTS</v>
          </cell>
          <cell r="J3296" t="str">
            <v>TATIANA NITTA</v>
          </cell>
          <cell r="K3296" t="str">
            <v>LACTALIS</v>
          </cell>
          <cell r="L3296" t="str">
            <v>MAURICIO</v>
          </cell>
          <cell r="M3296" t="str">
            <v>TATIANA NITTA</v>
          </cell>
        </row>
        <row r="3297">
          <cell r="B3297">
            <v>5367272</v>
          </cell>
          <cell r="C3297" t="str">
            <v>ESPECIALI IND DE ALIMENTOS S A</v>
          </cell>
          <cell r="D3297" t="str">
            <v>4001</v>
          </cell>
          <cell r="E3297" t="str">
            <v>0458</v>
          </cell>
          <cell r="F3297" t="str">
            <v>C1</v>
          </cell>
          <cell r="G3297" t="str">
            <v>MG</v>
          </cell>
          <cell r="H3297" t="str">
            <v>INGREDIENTS</v>
          </cell>
          <cell r="I3297" t="str">
            <v>INGREDIENTS</v>
          </cell>
          <cell r="J3297" t="str">
            <v>HENRIQUE FERREIRA</v>
          </cell>
          <cell r="K3297" t="str">
            <v>LACTALIS</v>
          </cell>
          <cell r="L3297" t="str">
            <v>MAURICIO</v>
          </cell>
          <cell r="M3297" t="str">
            <v>JOEL</v>
          </cell>
        </row>
        <row r="3298">
          <cell r="B3298">
            <v>5366306</v>
          </cell>
          <cell r="C3298" t="str">
            <v>ASSADOR RESTAURANTE SP LTDA</v>
          </cell>
          <cell r="D3298" t="str">
            <v>7001</v>
          </cell>
          <cell r="E3298" t="str">
            <v>0722</v>
          </cell>
          <cell r="F3298" t="str">
            <v>C1</v>
          </cell>
          <cell r="G3298" t="str">
            <v>SP</v>
          </cell>
          <cell r="H3298" t="str">
            <v>QSR</v>
          </cell>
          <cell r="I3298" t="str">
            <v>FOOD SERVICE</v>
          </cell>
          <cell r="J3298" t="str">
            <v>ANA MENIQUETE</v>
          </cell>
          <cell r="K3298" t="str">
            <v>LACTALIS</v>
          </cell>
          <cell r="L3298" t="str">
            <v>PEDRO</v>
          </cell>
          <cell r="M3298" t="str">
            <v>ANA MENIQUETE</v>
          </cell>
        </row>
        <row r="3299">
          <cell r="B3299">
            <v>5367551</v>
          </cell>
          <cell r="C3299" t="str">
            <v>M FOODS LTDA</v>
          </cell>
          <cell r="D3299" t="str">
            <v>7001</v>
          </cell>
          <cell r="E3299" t="str">
            <v>0749</v>
          </cell>
          <cell r="F3299" t="str">
            <v>C5</v>
          </cell>
          <cell r="G3299" t="str">
            <v>SP</v>
          </cell>
          <cell r="H3299" t="str">
            <v>DISTRIBUIÇÃO</v>
          </cell>
          <cell r="I3299" t="str">
            <v>FOOD SERVICE</v>
          </cell>
          <cell r="J3299" t="str">
            <v>FLAC 6</v>
          </cell>
          <cell r="K3299" t="str">
            <v>LACTALIS</v>
          </cell>
          <cell r="L3299" t="str">
            <v>RODRIGO</v>
          </cell>
          <cell r="M3299" t="str">
            <v>RAQUEL BARBOSA</v>
          </cell>
        </row>
        <row r="3300">
          <cell r="B3300">
            <v>5220189</v>
          </cell>
          <cell r="C3300" t="str">
            <v>SORVETES CORONADO LTDA</v>
          </cell>
          <cell r="D3300" t="str">
            <v>6001</v>
          </cell>
          <cell r="E3300" t="str">
            <v>6009</v>
          </cell>
          <cell r="F3300" t="str">
            <v>C1</v>
          </cell>
          <cell r="G3300" t="str">
            <v>BA</v>
          </cell>
          <cell r="H3300" t="str">
            <v>DISTRIBUIÇÃO</v>
          </cell>
          <cell r="I3300" t="str">
            <v>FOOD SERVICE</v>
          </cell>
          <cell r="J3300" t="str">
            <v>CLAUDIO JORGE/LUIZ</v>
          </cell>
          <cell r="K3300" t="str">
            <v>ITAMBÉ</v>
          </cell>
          <cell r="L3300" t="str">
            <v>RODRIGO</v>
          </cell>
          <cell r="M3300" t="str">
            <v>MARIA LOURDES</v>
          </cell>
        </row>
        <row r="3301">
          <cell r="B3301">
            <v>5024620</v>
          </cell>
          <cell r="C3301" t="str">
            <v>CASA DI CONTI LTDA</v>
          </cell>
          <cell r="D3301" t="str">
            <v>4001</v>
          </cell>
          <cell r="E3301" t="str">
            <v>0437</v>
          </cell>
          <cell r="F3301" t="str">
            <v>C1</v>
          </cell>
          <cell r="G3301" t="str">
            <v>SP</v>
          </cell>
          <cell r="H3301" t="str">
            <v>INGREDIENTS</v>
          </cell>
          <cell r="I3301" t="str">
            <v>INGREDIENTS</v>
          </cell>
          <cell r="J3301" t="str">
            <v>MARCELO RODRIGUES</v>
          </cell>
          <cell r="K3301" t="str">
            <v>LACTALIS</v>
          </cell>
          <cell r="L3301" t="str">
            <v>MAURICIO</v>
          </cell>
          <cell r="M3301" t="str">
            <v>MARCELO</v>
          </cell>
        </row>
        <row r="3302">
          <cell r="B3302">
            <v>5362875</v>
          </cell>
          <cell r="C3302" t="str">
            <v>GLACAI INDUSTRIA DE SORVETES LTDA</v>
          </cell>
          <cell r="D3302" t="str">
            <v>3001</v>
          </cell>
          <cell r="E3302" t="str">
            <v>0028</v>
          </cell>
          <cell r="F3302" t="str">
            <v>C1</v>
          </cell>
          <cell r="G3302" t="str">
            <v>PB</v>
          </cell>
          <cell r="H3302" t="str">
            <v>INGREDIENTS</v>
          </cell>
          <cell r="I3302" t="str">
            <v>INGREDIENTS</v>
          </cell>
          <cell r="J3302" t="str">
            <v>PB ITB FS W S REP</v>
          </cell>
          <cell r="K3302" t="str">
            <v>ITAMBÉ</v>
          </cell>
          <cell r="L3302" t="str">
            <v>MAURICIO</v>
          </cell>
          <cell r="M3302" t="str">
            <v>JOEL</v>
          </cell>
        </row>
        <row r="3303">
          <cell r="B3303">
            <v>5367184</v>
          </cell>
          <cell r="C3303" t="str">
            <v>CLINICA INFANTIL DE ITAQUERA LTDA</v>
          </cell>
          <cell r="D3303" t="str">
            <v>7001</v>
          </cell>
          <cell r="E3303" t="str">
            <v>0749</v>
          </cell>
          <cell r="F3303" t="str">
            <v>C5</v>
          </cell>
          <cell r="G3303" t="str">
            <v>SP</v>
          </cell>
          <cell r="H3303" t="str">
            <v>DISTRIBUIÇÃO</v>
          </cell>
          <cell r="I3303" t="str">
            <v>FOOD SERVICE</v>
          </cell>
          <cell r="J3303" t="str">
            <v>FLAC 4</v>
          </cell>
          <cell r="K3303" t="str">
            <v>LACTALIS</v>
          </cell>
          <cell r="L3303" t="str">
            <v>RODRIGO</v>
          </cell>
          <cell r="M3303" t="str">
            <v>RAQUEL BARBOSA</v>
          </cell>
        </row>
        <row r="3304">
          <cell r="B3304">
            <v>5367650</v>
          </cell>
          <cell r="C3304" t="str">
            <v>GRAND SOROCABA HOSP E GASTR LTDA</v>
          </cell>
          <cell r="D3304" t="str">
            <v>7001</v>
          </cell>
          <cell r="E3304" t="str">
            <v>0749</v>
          </cell>
          <cell r="F3304" t="str">
            <v>C5</v>
          </cell>
          <cell r="G3304" t="str">
            <v>SP</v>
          </cell>
          <cell r="H3304" t="str">
            <v>DISTRIBUIÇÃO</v>
          </cell>
          <cell r="I3304" t="str">
            <v>FOOD SERVICE</v>
          </cell>
          <cell r="J3304" t="str">
            <v>FLAC 7</v>
          </cell>
          <cell r="K3304" t="str">
            <v>LACTALIS</v>
          </cell>
          <cell r="L3304" t="str">
            <v>RODRIGO</v>
          </cell>
          <cell r="M3304" t="str">
            <v>RAQUEL BARBOSA</v>
          </cell>
        </row>
        <row r="3305">
          <cell r="B3305">
            <v>5357293</v>
          </cell>
          <cell r="C3305" t="str">
            <v>BRAZIL BUSINESS MANAGEMENT LTDA</v>
          </cell>
          <cell r="D3305" t="str">
            <v>7001</v>
          </cell>
          <cell r="E3305" t="str">
            <v>0749</v>
          </cell>
          <cell r="F3305" t="str">
            <v>C5</v>
          </cell>
          <cell r="G3305" t="str">
            <v>SP</v>
          </cell>
          <cell r="H3305" t="str">
            <v>DISTRIBUIÇÃO</v>
          </cell>
          <cell r="I3305" t="str">
            <v>FOOD SERVICE</v>
          </cell>
          <cell r="J3305" t="str">
            <v>FLAC 10</v>
          </cell>
          <cell r="K3305" t="str">
            <v>LACTALIS</v>
          </cell>
          <cell r="L3305" t="str">
            <v>RODRIGO</v>
          </cell>
          <cell r="M3305" t="str">
            <v>RAQUEL BARBOSA</v>
          </cell>
        </row>
        <row r="3306">
          <cell r="B3306">
            <v>5086308</v>
          </cell>
          <cell r="C3306" t="str">
            <v>MELIA BRASIL ADM HOTELEIRA E COM LT</v>
          </cell>
          <cell r="D3306" t="str">
            <v>7001</v>
          </cell>
          <cell r="E3306" t="str">
            <v>0749</v>
          </cell>
          <cell r="F3306" t="str">
            <v>C5</v>
          </cell>
          <cell r="G3306" t="str">
            <v>SP</v>
          </cell>
          <cell r="H3306" t="str">
            <v>DISTRIBUIÇÃO</v>
          </cell>
          <cell r="I3306" t="str">
            <v>FOOD SERVICE</v>
          </cell>
          <cell r="J3306" t="str">
            <v>FLAC 7</v>
          </cell>
          <cell r="K3306" t="str">
            <v>LACTALIS</v>
          </cell>
          <cell r="L3306" t="str">
            <v>RODRIGO</v>
          </cell>
          <cell r="M3306" t="str">
            <v>RAQUEL BARBOSA</v>
          </cell>
        </row>
        <row r="3307">
          <cell r="B3307">
            <v>5367402</v>
          </cell>
          <cell r="C3307" t="str">
            <v>FAQUIR BROTHERS JIU JITSU LTDA</v>
          </cell>
          <cell r="D3307" t="str">
            <v>6001</v>
          </cell>
          <cell r="E3307" t="str">
            <v>6169</v>
          </cell>
          <cell r="F3307" t="str">
            <v>C1</v>
          </cell>
          <cell r="G3307" t="str">
            <v>RJ</v>
          </cell>
          <cell r="H3307" t="str">
            <v>DISTRIBUIÇÃO</v>
          </cell>
          <cell r="I3307" t="str">
            <v>FOOD SERVICE</v>
          </cell>
          <cell r="J3307" t="str">
            <v>LUCIANA MARTINS</v>
          </cell>
          <cell r="K3307" t="str">
            <v>ITAMBÉ</v>
          </cell>
          <cell r="L3307" t="str">
            <v>RODRIGO</v>
          </cell>
          <cell r="M3307" t="str">
            <v>JESSICA</v>
          </cell>
        </row>
        <row r="3308">
          <cell r="B3308">
            <v>5367756</v>
          </cell>
          <cell r="C3308" t="str">
            <v>ICEPAM COMERCIO E DISTRIB LTDA</v>
          </cell>
          <cell r="D3308" t="str">
            <v>6001</v>
          </cell>
          <cell r="E3308" t="str">
            <v>6028</v>
          </cell>
          <cell r="F3308" t="str">
            <v>C1</v>
          </cell>
          <cell r="G3308" t="str">
            <v>RJ</v>
          </cell>
          <cell r="H3308" t="str">
            <v>INGREDIENTS</v>
          </cell>
          <cell r="I3308" t="str">
            <v>INGREDIENTS</v>
          </cell>
          <cell r="J3308" t="str">
            <v>RJ ITB FS L T MARTINS</v>
          </cell>
          <cell r="K3308" t="str">
            <v>ITAMBÉ</v>
          </cell>
          <cell r="L3308" t="str">
            <v>MAURICIO</v>
          </cell>
          <cell r="M3308" t="str">
            <v>TATIANA NITTA</v>
          </cell>
        </row>
        <row r="3309">
          <cell r="B3309">
            <v>5107152</v>
          </cell>
          <cell r="C3309" t="str">
            <v>CALIFORNIA COM DE SORVETES LTDA ME</v>
          </cell>
          <cell r="D3309" t="str">
            <v>7001</v>
          </cell>
          <cell r="E3309" t="str">
            <v>0750</v>
          </cell>
          <cell r="F3309" t="str">
            <v>C5</v>
          </cell>
          <cell r="G3309" t="str">
            <v>RJ</v>
          </cell>
          <cell r="H3309" t="str">
            <v>QSR</v>
          </cell>
          <cell r="I3309" t="str">
            <v>FOOD SERVICE</v>
          </cell>
          <cell r="J3309" t="str">
            <v>NUTRI</v>
          </cell>
          <cell r="K3309" t="str">
            <v>LACTALIS</v>
          </cell>
          <cell r="L3309" t="str">
            <v>PEDRO</v>
          </cell>
          <cell r="M3309" t="str">
            <v>VAGO QSR</v>
          </cell>
        </row>
        <row r="3310">
          <cell r="B3310">
            <v>5192482</v>
          </cell>
          <cell r="C3310" t="str">
            <v>CEPHEUS RESTAURANTES LTDA</v>
          </cell>
          <cell r="D3310" t="str">
            <v>7001</v>
          </cell>
          <cell r="E3310" t="str">
            <v>0722</v>
          </cell>
          <cell r="F3310" t="str">
            <v>C1</v>
          </cell>
          <cell r="G3310" t="str">
            <v>SP</v>
          </cell>
          <cell r="H3310" t="str">
            <v>QSR</v>
          </cell>
          <cell r="I3310" t="str">
            <v>FOOD SERVICE</v>
          </cell>
          <cell r="J3310" t="str">
            <v>ANA MENIQUETE</v>
          </cell>
          <cell r="K3310" t="str">
            <v>LACTALIS</v>
          </cell>
          <cell r="L3310" t="str">
            <v>PEDRO</v>
          </cell>
          <cell r="M3310" t="str">
            <v>ANA MENIQUETE</v>
          </cell>
        </row>
        <row r="3311">
          <cell r="B3311">
            <v>5221699</v>
          </cell>
          <cell r="C3311" t="str">
            <v>TEXAS COMERCIO DE SORVETES LTDA</v>
          </cell>
          <cell r="D3311" t="str">
            <v>7001</v>
          </cell>
          <cell r="E3311" t="str">
            <v>0750</v>
          </cell>
          <cell r="F3311" t="str">
            <v>C5</v>
          </cell>
          <cell r="G3311" t="str">
            <v>RJ</v>
          </cell>
          <cell r="H3311" t="str">
            <v>QSR</v>
          </cell>
          <cell r="I3311" t="str">
            <v>FOOD SERVICE</v>
          </cell>
          <cell r="J3311" t="str">
            <v>NUTRI</v>
          </cell>
          <cell r="K3311" t="str">
            <v>LACTALIS</v>
          </cell>
          <cell r="L3311" t="str">
            <v>PEDRO</v>
          </cell>
          <cell r="M3311" t="str">
            <v>VAGO QSR</v>
          </cell>
        </row>
        <row r="3312">
          <cell r="B3312">
            <v>5336848</v>
          </cell>
          <cell r="C3312" t="str">
            <v>MORUMBI COMERCIO DE SORVETES LTDA</v>
          </cell>
          <cell r="D3312" t="str">
            <v>7001</v>
          </cell>
          <cell r="E3312" t="str">
            <v>0749</v>
          </cell>
          <cell r="F3312" t="str">
            <v>C5</v>
          </cell>
          <cell r="G3312" t="str">
            <v>SP</v>
          </cell>
          <cell r="H3312" t="str">
            <v>QSR</v>
          </cell>
          <cell r="I3312" t="str">
            <v>FOOD SERVICE</v>
          </cell>
          <cell r="J3312" t="str">
            <v>NUTRI</v>
          </cell>
          <cell r="K3312" t="str">
            <v>LACTALIS</v>
          </cell>
          <cell r="L3312" t="str">
            <v>PEDRO</v>
          </cell>
          <cell r="M3312" t="str">
            <v>VAGO QSR</v>
          </cell>
        </row>
        <row r="3313">
          <cell r="B3313">
            <v>5336849</v>
          </cell>
          <cell r="C3313" t="str">
            <v>ARIZONA COMERCIO DE SORVETES LTDA</v>
          </cell>
          <cell r="D3313" t="str">
            <v>6001</v>
          </cell>
          <cell r="E3313" t="str">
            <v>6125</v>
          </cell>
          <cell r="F3313" t="str">
            <v>C1</v>
          </cell>
          <cell r="G3313" t="str">
            <v>SP</v>
          </cell>
          <cell r="H3313" t="str">
            <v>QSR</v>
          </cell>
          <cell r="I3313" t="str">
            <v>FOOD SERVICE</v>
          </cell>
          <cell r="J3313" t="str">
            <v>NUTRI</v>
          </cell>
          <cell r="K3313" t="str">
            <v>ITAMBÉ</v>
          </cell>
          <cell r="L3313" t="str">
            <v>PEDRO</v>
          </cell>
          <cell r="M3313" t="str">
            <v>VAGO QSR</v>
          </cell>
        </row>
        <row r="3314">
          <cell r="B3314">
            <v>5348824</v>
          </cell>
          <cell r="C3314" t="str">
            <v>MAJ COMERCIO DE ALIMENTOS E GELADOS LTDA</v>
          </cell>
          <cell r="D3314" t="str">
            <v>6001</v>
          </cell>
          <cell r="E3314" t="str">
            <v>6125</v>
          </cell>
          <cell r="F3314" t="str">
            <v>C1</v>
          </cell>
          <cell r="G3314" t="str">
            <v>SP</v>
          </cell>
          <cell r="H3314" t="str">
            <v>QSR</v>
          </cell>
          <cell r="I3314" t="str">
            <v>FOOD SERVICE</v>
          </cell>
          <cell r="J3314" t="str">
            <v>NUTRI</v>
          </cell>
          <cell r="K3314" t="str">
            <v>ITAMBÉ</v>
          </cell>
          <cell r="L3314" t="str">
            <v>PEDRO</v>
          </cell>
          <cell r="M3314" t="str">
            <v>VAGO QSR</v>
          </cell>
        </row>
        <row r="3315">
          <cell r="B3315">
            <v>5367383</v>
          </cell>
          <cell r="C3315" t="str">
            <v>RCC SERVICOS DE ALIMENTACAO LTDA</v>
          </cell>
          <cell r="D3315" t="str">
            <v>7001</v>
          </cell>
          <cell r="E3315" t="str">
            <v>0749</v>
          </cell>
          <cell r="F3315" t="str">
            <v>C5</v>
          </cell>
          <cell r="G3315" t="str">
            <v>SP</v>
          </cell>
          <cell r="H3315" t="str">
            <v>DISTRIBUIÇÃO</v>
          </cell>
          <cell r="I3315" t="str">
            <v>FOOD SERVICE</v>
          </cell>
          <cell r="J3315" t="str">
            <v>FLAC 6</v>
          </cell>
          <cell r="K3315" t="str">
            <v>LACTALIS</v>
          </cell>
          <cell r="L3315" t="str">
            <v>RODRIGO</v>
          </cell>
          <cell r="M3315" t="str">
            <v>RAQUEL BARBOSA</v>
          </cell>
        </row>
        <row r="3316">
          <cell r="B3316">
            <v>5367626</v>
          </cell>
          <cell r="C3316" t="str">
            <v>J M SOUSA LTDA</v>
          </cell>
          <cell r="D3316" t="str">
            <v>6001</v>
          </cell>
          <cell r="E3316" t="str">
            <v>6127</v>
          </cell>
          <cell r="F3316" t="str">
            <v>C1</v>
          </cell>
          <cell r="G3316" t="str">
            <v>CE</v>
          </cell>
          <cell r="H3316" t="str">
            <v>INGREDIENTS</v>
          </cell>
          <cell r="I3316" t="str">
            <v>INGREDIENTS</v>
          </cell>
          <cell r="J3316" t="str">
            <v>CE ITB FS SOUZA FELIX REP</v>
          </cell>
          <cell r="K3316" t="str">
            <v>ITAMBÉ</v>
          </cell>
          <cell r="L3316" t="str">
            <v>MAURICIO</v>
          </cell>
          <cell r="M3316" t="str">
            <v>JOEL</v>
          </cell>
        </row>
        <row r="3317">
          <cell r="B3317">
            <v>5192474</v>
          </cell>
          <cell r="C3317" t="str">
            <v>RASCAL RESTAURANTES LTDA</v>
          </cell>
          <cell r="D3317" t="str">
            <v>7001</v>
          </cell>
          <cell r="E3317" t="str">
            <v>0722</v>
          </cell>
          <cell r="F3317" t="str">
            <v>C1</v>
          </cell>
          <cell r="G3317" t="str">
            <v>SP</v>
          </cell>
          <cell r="H3317" t="str">
            <v>QSR</v>
          </cell>
          <cell r="I3317" t="str">
            <v>FOOD SERVICE</v>
          </cell>
          <cell r="J3317" t="str">
            <v>ANA MENIQUETE</v>
          </cell>
          <cell r="K3317" t="str">
            <v>LACTALIS</v>
          </cell>
          <cell r="L3317" t="str">
            <v>PEDRO</v>
          </cell>
          <cell r="M3317" t="str">
            <v>ANA MENIQUETE</v>
          </cell>
        </row>
        <row r="3318">
          <cell r="B3318">
            <v>5336848</v>
          </cell>
          <cell r="C3318" t="str">
            <v>MORUMBI COMERCIO DE SORVETES LTDA</v>
          </cell>
          <cell r="D3318" t="str">
            <v>6001</v>
          </cell>
          <cell r="E3318" t="str">
            <v>6125</v>
          </cell>
          <cell r="F3318" t="str">
            <v>C1</v>
          </cell>
          <cell r="G3318" t="str">
            <v>SP</v>
          </cell>
          <cell r="H3318" t="str">
            <v>QSR</v>
          </cell>
          <cell r="I3318" t="str">
            <v>FOOD SERVICE</v>
          </cell>
          <cell r="J3318" t="str">
            <v>NUTRI</v>
          </cell>
          <cell r="K3318" t="str">
            <v>ITAMBÉ</v>
          </cell>
          <cell r="L3318" t="str">
            <v>PEDRO</v>
          </cell>
          <cell r="M3318" t="str">
            <v>VAGO QSR</v>
          </cell>
        </row>
        <row r="3319">
          <cell r="B3319">
            <v>5336849</v>
          </cell>
          <cell r="C3319" t="str">
            <v>ARIZONA COMERCIO DE SORVETES LTDA</v>
          </cell>
          <cell r="D3319" t="str">
            <v>7001</v>
          </cell>
          <cell r="E3319" t="str">
            <v>0749</v>
          </cell>
          <cell r="F3319" t="str">
            <v>C5</v>
          </cell>
          <cell r="G3319" t="str">
            <v>SP</v>
          </cell>
          <cell r="H3319" t="str">
            <v>QSR</v>
          </cell>
          <cell r="I3319" t="str">
            <v>FOOD SERVICE</v>
          </cell>
          <cell r="J3319" t="str">
            <v>NUTRI</v>
          </cell>
          <cell r="K3319" t="str">
            <v>LACTALIS</v>
          </cell>
          <cell r="L3319" t="str">
            <v>PEDRO</v>
          </cell>
          <cell r="M3319" t="str">
            <v>VAGO QSR</v>
          </cell>
        </row>
        <row r="3320">
          <cell r="B3320">
            <v>5348824</v>
          </cell>
          <cell r="C3320" t="str">
            <v>MAJ COMERCIO DE ALIMENTOS E GELADOS LTDA</v>
          </cell>
          <cell r="D3320" t="str">
            <v>7001</v>
          </cell>
          <cell r="E3320" t="str">
            <v>0749</v>
          </cell>
          <cell r="F3320" t="str">
            <v>C5</v>
          </cell>
          <cell r="G3320" t="str">
            <v>SP</v>
          </cell>
          <cell r="H3320" t="str">
            <v>QSR</v>
          </cell>
          <cell r="I3320" t="str">
            <v>FOOD SERVICE</v>
          </cell>
          <cell r="J3320" t="str">
            <v>NUTRI</v>
          </cell>
          <cell r="K3320" t="str">
            <v>LACTALIS</v>
          </cell>
          <cell r="L3320" t="str">
            <v>PEDRO</v>
          </cell>
          <cell r="M3320" t="str">
            <v>VAGO QSR</v>
          </cell>
        </row>
        <row r="3321">
          <cell r="B3321">
            <v>5024326</v>
          </cell>
          <cell r="C3321" t="str">
            <v>COMERCIAL PEREIRA NERES LTDA ME</v>
          </cell>
          <cell r="D3321" t="str">
            <v>6001</v>
          </cell>
          <cell r="E3321" t="str">
            <v>6169</v>
          </cell>
          <cell r="F3321" t="str">
            <v>C1</v>
          </cell>
          <cell r="G3321" t="str">
            <v>ES</v>
          </cell>
          <cell r="H3321" t="str">
            <v>DISTRIBUIÇÃO</v>
          </cell>
          <cell r="I3321" t="str">
            <v>FOOD SERVICE</v>
          </cell>
          <cell r="J3321" t="str">
            <v>MARCELO DUARTE</v>
          </cell>
          <cell r="K3321" t="str">
            <v>ITAMBÉ</v>
          </cell>
          <cell r="L3321" t="str">
            <v>RODRIGO</v>
          </cell>
          <cell r="M3321" t="str">
            <v>JESSICA</v>
          </cell>
        </row>
        <row r="3322">
          <cell r="B3322">
            <v>5033007</v>
          </cell>
          <cell r="C3322" t="str">
            <v>COMERCIAL NERES E ARAUO LTDA</v>
          </cell>
          <cell r="D3322" t="str">
            <v>7001</v>
          </cell>
          <cell r="E3322" t="str">
            <v>0739</v>
          </cell>
          <cell r="F3322" t="str">
            <v>C1</v>
          </cell>
          <cell r="G3322" t="str">
            <v>ES</v>
          </cell>
          <cell r="H3322" t="str">
            <v>DISTRIBUIÇÃO</v>
          </cell>
          <cell r="I3322" t="str">
            <v>FOOD SERVICE</v>
          </cell>
          <cell r="J3322" t="str">
            <v>MARCELO DUARTE</v>
          </cell>
          <cell r="K3322" t="str">
            <v>LACTALIS</v>
          </cell>
          <cell r="L3322" t="str">
            <v>RODRIGO</v>
          </cell>
          <cell r="M3322" t="str">
            <v>JESSICA</v>
          </cell>
        </row>
        <row r="3323">
          <cell r="B3323">
            <v>5040099</v>
          </cell>
          <cell r="C3323" t="str">
            <v>MA BARROSO LTDA</v>
          </cell>
          <cell r="D3323" t="str">
            <v>6001</v>
          </cell>
          <cell r="E3323" t="str">
            <v>6127</v>
          </cell>
          <cell r="F3323" t="str">
            <v>C1</v>
          </cell>
          <cell r="G3323" t="str">
            <v>CE</v>
          </cell>
          <cell r="H3323" t="str">
            <v>DISTRIBUIÇÃO</v>
          </cell>
          <cell r="I3323" t="str">
            <v>FOOD SERVICE</v>
          </cell>
          <cell r="J3323" t="str">
            <v>WH FOOD SERVICE CE</v>
          </cell>
          <cell r="K3323" t="str">
            <v>ITAMBÉ</v>
          </cell>
          <cell r="L3323" t="str">
            <v>RODRIGO</v>
          </cell>
          <cell r="M3323" t="str">
            <v>MARIA LOURDES</v>
          </cell>
        </row>
        <row r="3324">
          <cell r="B3324">
            <v>5192559</v>
          </cell>
          <cell r="C3324" t="str">
            <v>RILSTON RESTAURANTES LTDA</v>
          </cell>
          <cell r="D3324" t="str">
            <v>7001</v>
          </cell>
          <cell r="E3324" t="str">
            <v>0722</v>
          </cell>
          <cell r="F3324" t="str">
            <v>C1</v>
          </cell>
          <cell r="G3324" t="str">
            <v>SP</v>
          </cell>
          <cell r="H3324" t="str">
            <v>QSR</v>
          </cell>
          <cell r="I3324" t="str">
            <v>FOOD SERVICE</v>
          </cell>
          <cell r="J3324" t="str">
            <v>ANA MENIQUETE</v>
          </cell>
          <cell r="K3324" t="str">
            <v>LACTALIS</v>
          </cell>
          <cell r="L3324" t="str">
            <v>PEDRO</v>
          </cell>
          <cell r="M3324" t="str">
            <v>ANA MENIQUETE</v>
          </cell>
        </row>
        <row r="3325">
          <cell r="B3325">
            <v>5221699</v>
          </cell>
          <cell r="C3325" t="str">
            <v>TEXAS COMERCIO DE SORVETES LTDA</v>
          </cell>
          <cell r="D3325" t="str">
            <v>6001</v>
          </cell>
          <cell r="E3325" t="str">
            <v>6169</v>
          </cell>
          <cell r="F3325" t="str">
            <v>C1</v>
          </cell>
          <cell r="G3325" t="str">
            <v>RJ</v>
          </cell>
          <cell r="H3325" t="str">
            <v>DISTRIBUIÇÃO</v>
          </cell>
          <cell r="I3325" t="str">
            <v>FOOD SERVICE</v>
          </cell>
          <cell r="J3325" t="str">
            <v>LUCIANA MARTINS</v>
          </cell>
          <cell r="K3325" t="str">
            <v>ITAMBÉ</v>
          </cell>
          <cell r="L3325" t="str">
            <v>RODRIGO</v>
          </cell>
          <cell r="M3325" t="str">
            <v>JESSICA</v>
          </cell>
        </row>
        <row r="3326">
          <cell r="B3326">
            <v>5366256</v>
          </cell>
          <cell r="C3326" t="str">
            <v>36658281 THATIANE HECHT ANDRADE</v>
          </cell>
          <cell r="D3326" t="str">
            <v>7001</v>
          </cell>
          <cell r="E3326" t="str">
            <v>0749</v>
          </cell>
          <cell r="F3326" t="str">
            <v>C5</v>
          </cell>
          <cell r="G3326" t="str">
            <v>SP</v>
          </cell>
          <cell r="H3326" t="str">
            <v>DISTRIBUIÇÃO</v>
          </cell>
          <cell r="I3326" t="str">
            <v>FOOD SERVICE</v>
          </cell>
          <cell r="J3326" t="str">
            <v>FLAC 5</v>
          </cell>
          <cell r="K3326" t="str">
            <v>LACTALIS</v>
          </cell>
          <cell r="L3326" t="str">
            <v>RODRIGO</v>
          </cell>
          <cell r="M3326" t="str">
            <v>RAQUEL BARBOSA</v>
          </cell>
        </row>
        <row r="3327">
          <cell r="B3327">
            <v>5247353</v>
          </cell>
          <cell r="C3327" t="str">
            <v>FINE LINEA PAES E DOCES LTDA</v>
          </cell>
          <cell r="D3327" t="str">
            <v>7001</v>
          </cell>
          <cell r="E3327" t="str">
            <v>0749</v>
          </cell>
          <cell r="F3327" t="str">
            <v>C5</v>
          </cell>
          <cell r="G3327" t="str">
            <v>SP</v>
          </cell>
          <cell r="H3327" t="str">
            <v>DISTRIBUIÇÃO</v>
          </cell>
          <cell r="I3327" t="str">
            <v>FOOD SERVICE</v>
          </cell>
          <cell r="J3327" t="str">
            <v>FLAC 6</v>
          </cell>
          <cell r="K3327" t="str">
            <v>LACTALIS</v>
          </cell>
          <cell r="L3327" t="str">
            <v>RODRIGO</v>
          </cell>
          <cell r="M3327" t="str">
            <v>RAQUEL BARBOSA</v>
          </cell>
        </row>
        <row r="3328">
          <cell r="B3328">
            <v>5311441</v>
          </cell>
          <cell r="C3328" t="str">
            <v>PIZ E CHUR TOMASELLI E MINICELLI LTDA</v>
          </cell>
          <cell r="D3328" t="str">
            <v>7001</v>
          </cell>
          <cell r="E3328" t="str">
            <v>0749</v>
          </cell>
          <cell r="F3328" t="str">
            <v>C5</v>
          </cell>
          <cell r="G3328" t="str">
            <v>SP</v>
          </cell>
          <cell r="H3328" t="str">
            <v>DISTRIBUIÇÃO</v>
          </cell>
          <cell r="I3328" t="str">
            <v>FOOD SERVICE</v>
          </cell>
          <cell r="J3328" t="str">
            <v>FLAC 4</v>
          </cell>
          <cell r="K3328" t="str">
            <v>LACTALIS</v>
          </cell>
          <cell r="L3328" t="str">
            <v>RODRIGO</v>
          </cell>
          <cell r="M3328" t="str">
            <v>RAQUEL BARBOSA</v>
          </cell>
        </row>
        <row r="3329">
          <cell r="B3329">
            <v>5367720</v>
          </cell>
          <cell r="C3329" t="str">
            <v>CENTRAL DO ACAI COM CHANTILLY LTDA</v>
          </cell>
          <cell r="D3329" t="str">
            <v>6001</v>
          </cell>
          <cell r="E3329" t="str">
            <v>6169</v>
          </cell>
          <cell r="F3329" t="str">
            <v>C1</v>
          </cell>
          <cell r="G3329" t="str">
            <v>RJ</v>
          </cell>
          <cell r="H3329" t="str">
            <v>DISTRIBUIÇÃO</v>
          </cell>
          <cell r="I3329" t="str">
            <v>FOOD SERVICE</v>
          </cell>
          <cell r="J3329" t="str">
            <v>JULIANA CORDEIRO</v>
          </cell>
          <cell r="K3329" t="str">
            <v>ITAMBÉ</v>
          </cell>
          <cell r="L3329" t="str">
            <v>RODRIGO</v>
          </cell>
          <cell r="M3329" t="str">
            <v>JESSICA</v>
          </cell>
        </row>
        <row r="3330">
          <cell r="B3330">
            <v>5367828</v>
          </cell>
          <cell r="C3330" t="str">
            <v>SANTO GRAO LTDA</v>
          </cell>
          <cell r="D3330" t="str">
            <v>7001</v>
          </cell>
          <cell r="E3330" t="str">
            <v>0749</v>
          </cell>
          <cell r="F3330" t="str">
            <v>C5</v>
          </cell>
          <cell r="G3330" t="str">
            <v>SP</v>
          </cell>
          <cell r="H3330" t="str">
            <v>DISTRIBUIÇÃO</v>
          </cell>
          <cell r="I3330" t="str">
            <v>FOOD SERVICE</v>
          </cell>
          <cell r="J3330" t="str">
            <v>FLAC 6</v>
          </cell>
          <cell r="K3330" t="str">
            <v>LACTALIS</v>
          </cell>
          <cell r="L3330" t="str">
            <v>RODRIGO</v>
          </cell>
          <cell r="M3330" t="str">
            <v>RAQUEL BARBOSA</v>
          </cell>
        </row>
        <row r="3331">
          <cell r="B3331">
            <v>5166529</v>
          </cell>
          <cell r="C3331" t="str">
            <v>BONJARDIM PAULISTA COM DE ALIM LTDA</v>
          </cell>
          <cell r="D3331" t="str">
            <v>6001</v>
          </cell>
          <cell r="E3331" t="str">
            <v>6125</v>
          </cell>
          <cell r="F3331" t="str">
            <v>C1</v>
          </cell>
          <cell r="G3331" t="str">
            <v>SP</v>
          </cell>
          <cell r="H3331" t="str">
            <v>DISTRIBUIÇÃO</v>
          </cell>
          <cell r="I3331" t="str">
            <v>FOOD SERVICE</v>
          </cell>
          <cell r="J3331" t="str">
            <v>FLAC 2</v>
          </cell>
          <cell r="K3331" t="str">
            <v>ITAMBÉ</v>
          </cell>
          <cell r="L3331" t="str">
            <v>RODRIGO</v>
          </cell>
          <cell r="M3331" t="str">
            <v>RAQUEL BARBOSA</v>
          </cell>
        </row>
        <row r="3332">
          <cell r="B3332">
            <v>5203870</v>
          </cell>
          <cell r="C3332" t="str">
            <v>REDE DE DISTRIBUICAO ZEFERINO LTDA</v>
          </cell>
          <cell r="D3332" t="str">
            <v>3001</v>
          </cell>
          <cell r="E3332" t="str">
            <v>0125</v>
          </cell>
          <cell r="F3332" t="str">
            <v>C1</v>
          </cell>
          <cell r="G3332" t="str">
            <v>SP</v>
          </cell>
          <cell r="H3332" t="str">
            <v>OUTROS</v>
          </cell>
          <cell r="I3332" t="str">
            <v>OUTROS</v>
          </cell>
          <cell r="J3332" t="str">
            <v>OUTROS</v>
          </cell>
          <cell r="K3332" t="str">
            <v>OUTROS</v>
          </cell>
          <cell r="L3332" t="str">
            <v>OUTROS</v>
          </cell>
          <cell r="M3332" t="str">
            <v>OUTROS</v>
          </cell>
        </row>
        <row r="3333">
          <cell r="B3333">
            <v>5264357</v>
          </cell>
          <cell r="C3333" t="str">
            <v>CHILI PEPPERS IND DE ALIM LTDA</v>
          </cell>
          <cell r="D3333" t="str">
            <v>7001</v>
          </cell>
          <cell r="E3333" t="str">
            <v>0749</v>
          </cell>
          <cell r="F3333" t="str">
            <v>C5</v>
          </cell>
          <cell r="G3333" t="str">
            <v>SP</v>
          </cell>
          <cell r="H3333" t="str">
            <v>DISTRIBUIÇÃO</v>
          </cell>
          <cell r="I3333" t="str">
            <v>FOOD SERVICE</v>
          </cell>
          <cell r="J3333" t="str">
            <v>FLAC 6</v>
          </cell>
          <cell r="K3333" t="str">
            <v>LACTALIS</v>
          </cell>
          <cell r="L3333" t="str">
            <v>RODRIGO</v>
          </cell>
          <cell r="M3333" t="str">
            <v>RAQUEL BARBOSA</v>
          </cell>
        </row>
        <row r="3334">
          <cell r="B3334">
            <v>5336237</v>
          </cell>
          <cell r="C3334" t="str">
            <v>TRINITY SUPPLY LTDA</v>
          </cell>
          <cell r="D3334" t="str">
            <v>7001</v>
          </cell>
          <cell r="E3334" t="str">
            <v>0722</v>
          </cell>
          <cell r="F3334" t="str">
            <v>C1</v>
          </cell>
          <cell r="G3334" t="str">
            <v>SP</v>
          </cell>
          <cell r="H3334" t="str">
            <v>DISTRIBUIÇÃO</v>
          </cell>
          <cell r="I3334" t="str">
            <v>FOOD SERVICE</v>
          </cell>
          <cell r="J3334" t="str">
            <v>GUILHERME NASCIMENTO</v>
          </cell>
          <cell r="K3334" t="str">
            <v>LACTALIS</v>
          </cell>
          <cell r="L3334" t="str">
            <v>RODRIGO</v>
          </cell>
          <cell r="M3334" t="str">
            <v>ALEXANDRO</v>
          </cell>
        </row>
        <row r="3335">
          <cell r="B3335">
            <v>5357324</v>
          </cell>
          <cell r="C3335" t="str">
            <v>OESA COMERCIO E REPRESENTACOES S A</v>
          </cell>
          <cell r="D3335" t="str">
            <v>7001</v>
          </cell>
          <cell r="E3335" t="str">
            <v>0564</v>
          </cell>
          <cell r="F3335" t="str">
            <v>C5</v>
          </cell>
          <cell r="G3335" t="str">
            <v>MT</v>
          </cell>
          <cell r="H3335" t="str">
            <v>DISTRIBUIÇÃO</v>
          </cell>
          <cell r="I3335" t="str">
            <v>FOOD SERVICE</v>
          </cell>
          <cell r="J3335" t="str">
            <v>MARCO AURELIO</v>
          </cell>
          <cell r="K3335" t="str">
            <v>LACTALIS</v>
          </cell>
          <cell r="L3335" t="str">
            <v>RODRIGO</v>
          </cell>
          <cell r="M3335" t="str">
            <v>MARCO AURELIO</v>
          </cell>
        </row>
        <row r="3336">
          <cell r="B3336">
            <v>5192430</v>
          </cell>
          <cell r="C3336" t="str">
            <v>RAVLA RESTAURANTES LTDA</v>
          </cell>
          <cell r="D3336" t="str">
            <v>7001</v>
          </cell>
          <cell r="E3336" t="str">
            <v>0722</v>
          </cell>
          <cell r="F3336" t="str">
            <v>C1</v>
          </cell>
          <cell r="G3336" t="str">
            <v>SP</v>
          </cell>
          <cell r="H3336" t="str">
            <v>QSR</v>
          </cell>
          <cell r="I3336" t="str">
            <v>FOOD SERVICE</v>
          </cell>
          <cell r="J3336" t="str">
            <v>ANA MENIQUETE</v>
          </cell>
          <cell r="K3336" t="str">
            <v>LACTALIS</v>
          </cell>
          <cell r="L3336" t="str">
            <v>PEDRO</v>
          </cell>
          <cell r="M3336" t="str">
            <v>ANA MENIQUETE</v>
          </cell>
        </row>
        <row r="3337">
          <cell r="B3337">
            <v>5367464</v>
          </cell>
          <cell r="C3337" t="str">
            <v>48510670 DANILO SILVA VIEIRA LIMA</v>
          </cell>
          <cell r="D3337" t="str">
            <v>7001</v>
          </cell>
          <cell r="E3337" t="str">
            <v>0749</v>
          </cell>
          <cell r="F3337" t="str">
            <v>C5</v>
          </cell>
          <cell r="G3337" t="str">
            <v>SP</v>
          </cell>
          <cell r="H3337" t="str">
            <v>DISTRIBUIÇÃO</v>
          </cell>
          <cell r="I3337" t="str">
            <v>FOOD SERVICE</v>
          </cell>
          <cell r="J3337" t="str">
            <v>FLAC 10</v>
          </cell>
          <cell r="K3337" t="str">
            <v>LACTALIS</v>
          </cell>
          <cell r="L3337" t="str">
            <v>RODRIGO</v>
          </cell>
          <cell r="M3337" t="str">
            <v>RAQUEL BARBOSA</v>
          </cell>
        </row>
        <row r="3338">
          <cell r="B3338">
            <v>5279462</v>
          </cell>
          <cell r="C3338" t="str">
            <v>RFG COMERCIO TRANSPORTES E SERVICOS</v>
          </cell>
          <cell r="D3338" t="str">
            <v>4001</v>
          </cell>
          <cell r="E3338" t="str">
            <v>0437</v>
          </cell>
          <cell r="F3338" t="str">
            <v>C1</v>
          </cell>
          <cell r="G3338" t="str">
            <v>SP</v>
          </cell>
          <cell r="H3338" t="str">
            <v>MC DONALDS</v>
          </cell>
          <cell r="I3338" t="str">
            <v>MC DONALDS</v>
          </cell>
          <cell r="J3338" t="str">
            <v>MAURICIO GALLI</v>
          </cell>
          <cell r="K3338" t="str">
            <v>LACTALIS</v>
          </cell>
          <cell r="L3338" t="str">
            <v>MAURICIO</v>
          </cell>
          <cell r="M3338" t="str">
            <v>MAURICIO</v>
          </cell>
        </row>
        <row r="3339">
          <cell r="B3339">
            <v>5263907</v>
          </cell>
          <cell r="C3339" t="str">
            <v>SPECIAL CATERING LTDA ME</v>
          </cell>
          <cell r="D3339" t="str">
            <v>7001</v>
          </cell>
          <cell r="E3339" t="str">
            <v>0749</v>
          </cell>
          <cell r="F3339" t="str">
            <v>C5</v>
          </cell>
          <cell r="G3339" t="str">
            <v>SP</v>
          </cell>
          <cell r="H3339" t="str">
            <v>DISTRIBUIÇÃO</v>
          </cell>
          <cell r="I3339" t="str">
            <v>FOOD SERVICE</v>
          </cell>
          <cell r="J3339" t="str">
            <v>FLAC 6</v>
          </cell>
          <cell r="K3339" t="str">
            <v>LACTALIS</v>
          </cell>
          <cell r="L3339" t="str">
            <v>RODRIGO</v>
          </cell>
          <cell r="M3339" t="str">
            <v>RAQUEL BARBOSA</v>
          </cell>
        </row>
        <row r="3340">
          <cell r="B3340">
            <v>5365090</v>
          </cell>
          <cell r="C3340" t="str">
            <v>NSA COMERCIO LTDA</v>
          </cell>
          <cell r="D3340" t="str">
            <v>7001</v>
          </cell>
          <cell r="E3340" t="str">
            <v>0749</v>
          </cell>
          <cell r="F3340" t="str">
            <v>C5</v>
          </cell>
          <cell r="G3340" t="str">
            <v>SP</v>
          </cell>
          <cell r="H3340" t="str">
            <v>DISTRIBUIÇÃO</v>
          </cell>
          <cell r="I3340" t="str">
            <v>FOOD SERVICE</v>
          </cell>
          <cell r="J3340" t="str">
            <v>FLAC 2</v>
          </cell>
          <cell r="K3340" t="str">
            <v>LACTALIS</v>
          </cell>
          <cell r="L3340" t="str">
            <v>RODRIGO</v>
          </cell>
          <cell r="M3340" t="str">
            <v>RAQUEL BARBOSA</v>
          </cell>
        </row>
        <row r="3341">
          <cell r="B3341">
            <v>5366370</v>
          </cell>
          <cell r="C3341" t="str">
            <v>COMERCIO AT E VAR DE AL NORMA LTDA</v>
          </cell>
          <cell r="D3341" t="str">
            <v>4001</v>
          </cell>
          <cell r="E3341" t="str">
            <v>0531</v>
          </cell>
          <cell r="F3341" t="str">
            <v>C5</v>
          </cell>
          <cell r="G3341" t="str">
            <v>AM</v>
          </cell>
          <cell r="H3341" t="str">
            <v>DISTRIBUIÇÃO</v>
          </cell>
          <cell r="I3341" t="str">
            <v>FOOD SERVICE</v>
          </cell>
          <cell r="J3341" t="str">
            <v>CLAUDIO JORGE</v>
          </cell>
          <cell r="K3341" t="str">
            <v>LACTALIS</v>
          </cell>
          <cell r="L3341" t="str">
            <v>RODRIGO</v>
          </cell>
          <cell r="M3341" t="str">
            <v>MARCO AURELIO</v>
          </cell>
        </row>
        <row r="3342">
          <cell r="B3342">
            <v>5366605</v>
          </cell>
          <cell r="C3342" t="str">
            <v>CURSINO COMERCIO DE ALIMENTOS LTDA</v>
          </cell>
          <cell r="D3342" t="str">
            <v>7001</v>
          </cell>
          <cell r="E3342" t="str">
            <v>0749</v>
          </cell>
          <cell r="F3342" t="str">
            <v>C5</v>
          </cell>
          <cell r="G3342" t="str">
            <v>SP</v>
          </cell>
          <cell r="H3342" t="str">
            <v>DISTRIBUIÇÃO</v>
          </cell>
          <cell r="I3342" t="str">
            <v>FOOD SERVICE</v>
          </cell>
          <cell r="J3342" t="str">
            <v>FLAC 4</v>
          </cell>
          <cell r="K3342" t="str">
            <v>LACTALIS</v>
          </cell>
          <cell r="L3342" t="str">
            <v>RODRIGO</v>
          </cell>
          <cell r="M3342" t="str">
            <v>RAQUEL BARBOSA</v>
          </cell>
        </row>
        <row r="3343">
          <cell r="B3343">
            <v>5036562</v>
          </cell>
          <cell r="C3343" t="str">
            <v>SUPER DOCES MARIGA LTDA</v>
          </cell>
          <cell r="D3343" t="str">
            <v>6001</v>
          </cell>
          <cell r="E3343" t="str">
            <v>6125</v>
          </cell>
          <cell r="F3343" t="str">
            <v>C1</v>
          </cell>
          <cell r="G3343" t="str">
            <v>SP</v>
          </cell>
          <cell r="H3343" t="str">
            <v>DISTRIBUIÇÃO</v>
          </cell>
          <cell r="I3343" t="str">
            <v>FOOD SERVICE</v>
          </cell>
          <cell r="J3343" t="str">
            <v>GUILHERME NASCIMENTO</v>
          </cell>
          <cell r="K3343" t="str">
            <v>ITAMBÉ</v>
          </cell>
          <cell r="L3343" t="str">
            <v>RODRIGO</v>
          </cell>
          <cell r="M3343" t="str">
            <v>ALEXANDRO</v>
          </cell>
        </row>
        <row r="3344">
          <cell r="B3344">
            <v>5343766</v>
          </cell>
          <cell r="C3344" t="str">
            <v>FONTENELLE INDUSTRIA E COM LTDA</v>
          </cell>
          <cell r="D3344" t="str">
            <v>6001</v>
          </cell>
          <cell r="E3344" t="str">
            <v>6127</v>
          </cell>
          <cell r="F3344" t="str">
            <v>C1</v>
          </cell>
          <cell r="G3344" t="str">
            <v>CE</v>
          </cell>
          <cell r="H3344" t="str">
            <v>DISTRIBUIÇÃO</v>
          </cell>
          <cell r="I3344" t="str">
            <v>FOOD SERVICE</v>
          </cell>
          <cell r="J3344" t="str">
            <v>WH FOOD SERVICE CE</v>
          </cell>
          <cell r="K3344" t="str">
            <v>ITAMBÉ</v>
          </cell>
          <cell r="L3344" t="str">
            <v>RODRIGO</v>
          </cell>
          <cell r="M3344" t="str">
            <v>MARIA LOURDES</v>
          </cell>
        </row>
        <row r="3345">
          <cell r="B3345">
            <v>5368028</v>
          </cell>
          <cell r="C3345" t="str">
            <v>CB JOINVILLE COMERCIO DE ALIMENTOS LTDA</v>
          </cell>
          <cell r="D3345" t="str">
            <v>3001</v>
          </cell>
          <cell r="E3345" t="str">
            <v>0126</v>
          </cell>
          <cell r="F3345" t="str">
            <v>C1</v>
          </cell>
          <cell r="G3345" t="str">
            <v>SC</v>
          </cell>
          <cell r="H3345" t="str">
            <v>DISTRIBUIÇÃO</v>
          </cell>
          <cell r="I3345" t="str">
            <v>FOOD SERVICE</v>
          </cell>
          <cell r="J3345" t="str">
            <v>ANGELICA BATISTELA</v>
          </cell>
          <cell r="K3345" t="str">
            <v>ITAMBÉ</v>
          </cell>
          <cell r="L3345" t="str">
            <v>RODRIGO</v>
          </cell>
          <cell r="M3345" t="str">
            <v>ANGELICA BATISTELA</v>
          </cell>
        </row>
        <row r="3346">
          <cell r="B3346">
            <v>5220345</v>
          </cell>
          <cell r="C3346" t="str">
            <v>MOREAL IND E COM LATICINIOS LTDA</v>
          </cell>
          <cell r="D3346" t="str">
            <v>4001</v>
          </cell>
          <cell r="E3346" t="str">
            <v>0437</v>
          </cell>
          <cell r="F3346" t="str">
            <v>C1</v>
          </cell>
          <cell r="G3346" t="str">
            <v>MG</v>
          </cell>
          <cell r="H3346" t="str">
            <v>OUTROS</v>
          </cell>
          <cell r="I3346" t="str">
            <v>OUTROS</v>
          </cell>
          <cell r="J3346" t="str">
            <v>OUTROS</v>
          </cell>
          <cell r="K3346" t="str">
            <v>OUTROS</v>
          </cell>
          <cell r="L3346" t="str">
            <v>OUTROS</v>
          </cell>
          <cell r="M3346" t="str">
            <v>OUTROS</v>
          </cell>
        </row>
        <row r="3347">
          <cell r="B3347">
            <v>5077852</v>
          </cell>
          <cell r="C3347" t="str">
            <v>RODRIGO FITZGERALD LUPIANHES LTDA</v>
          </cell>
          <cell r="D3347" t="str">
            <v>7001</v>
          </cell>
          <cell r="E3347" t="str">
            <v>0749</v>
          </cell>
          <cell r="F3347" t="str">
            <v>C5</v>
          </cell>
          <cell r="G3347" t="str">
            <v>SP</v>
          </cell>
          <cell r="H3347" t="str">
            <v>DISTRIBUIÇÃO</v>
          </cell>
          <cell r="I3347" t="str">
            <v>FOOD SERVICE</v>
          </cell>
          <cell r="J3347" t="str">
            <v>FLAC 1</v>
          </cell>
          <cell r="K3347" t="str">
            <v>LACTALIS</v>
          </cell>
          <cell r="L3347" t="str">
            <v>RODRIGO</v>
          </cell>
          <cell r="M3347" t="str">
            <v>RAQUEL BARBOSA</v>
          </cell>
        </row>
        <row r="3348">
          <cell r="B3348">
            <v>5165710</v>
          </cell>
          <cell r="C3348" t="str">
            <v>EMBALACENTER COM REP DE EMB PAPEL</v>
          </cell>
          <cell r="D3348" t="str">
            <v>6001</v>
          </cell>
          <cell r="E3348" t="str">
            <v>6028</v>
          </cell>
          <cell r="F3348" t="str">
            <v>C1</v>
          </cell>
          <cell r="G3348" t="str">
            <v>SE</v>
          </cell>
          <cell r="H3348" t="str">
            <v>INGREDIENTS</v>
          </cell>
          <cell r="I3348" t="str">
            <v>INGREDIENTS</v>
          </cell>
          <cell r="J3348" t="str">
            <v>BA ITB FS L B REPRES LTDA</v>
          </cell>
          <cell r="K3348" t="str">
            <v>ITAMBÉ</v>
          </cell>
          <cell r="L3348" t="str">
            <v>MAURICIO</v>
          </cell>
          <cell r="M3348" t="str">
            <v>JOEL</v>
          </cell>
        </row>
        <row r="3349">
          <cell r="B3349">
            <v>5175512</v>
          </cell>
          <cell r="C3349" t="str">
            <v>STA RESTAURANTE E COM DE ALIM LTDA</v>
          </cell>
          <cell r="D3349" t="str">
            <v>6001</v>
          </cell>
          <cell r="E3349" t="str">
            <v>6125</v>
          </cell>
          <cell r="F3349" t="str">
            <v>C1</v>
          </cell>
          <cell r="G3349" t="str">
            <v>SP</v>
          </cell>
          <cell r="H3349" t="str">
            <v>DISTRIBUIÇÃO</v>
          </cell>
          <cell r="I3349" t="str">
            <v>FOOD SERVICE</v>
          </cell>
          <cell r="J3349" t="str">
            <v>SP ITB FS FLAC REP.E COMERCIO</v>
          </cell>
          <cell r="K3349" t="str">
            <v>ITAMBÉ</v>
          </cell>
          <cell r="L3349" t="str">
            <v>RODRIGO</v>
          </cell>
          <cell r="M3349" t="str">
            <v>RAQUEL BARBOSA</v>
          </cell>
        </row>
        <row r="3350">
          <cell r="B3350">
            <v>5348247</v>
          </cell>
          <cell r="C3350" t="str">
            <v>UTAH COMERCIO DE SORVETES LTDA</v>
          </cell>
          <cell r="D3350" t="str">
            <v>7001</v>
          </cell>
          <cell r="E3350" t="str">
            <v>0722</v>
          </cell>
          <cell r="F3350" t="str">
            <v>C1</v>
          </cell>
          <cell r="G3350" t="str">
            <v>SP</v>
          </cell>
          <cell r="H3350" t="str">
            <v>QSR</v>
          </cell>
          <cell r="I3350" t="str">
            <v>FOOD SERVICE</v>
          </cell>
          <cell r="J3350" t="str">
            <v>VAGO QSR</v>
          </cell>
          <cell r="K3350" t="str">
            <v>LACTALIS</v>
          </cell>
          <cell r="L3350" t="str">
            <v>PEDRO</v>
          </cell>
          <cell r="M3350" t="str">
            <v>VAGO QSR</v>
          </cell>
        </row>
        <row r="3351">
          <cell r="B3351">
            <v>5363521</v>
          </cell>
          <cell r="C3351" t="str">
            <v>RP COMERCIO DE ALIMENTOS LTDA</v>
          </cell>
          <cell r="D3351" t="str">
            <v>7001</v>
          </cell>
          <cell r="E3351" t="str">
            <v>0749</v>
          </cell>
          <cell r="F3351" t="str">
            <v>C5</v>
          </cell>
          <cell r="G3351" t="str">
            <v>SP</v>
          </cell>
          <cell r="H3351" t="str">
            <v>DISTRIBUIÇÃO</v>
          </cell>
          <cell r="I3351" t="str">
            <v>FOOD SERVICE</v>
          </cell>
          <cell r="J3351" t="str">
            <v>FLAC 5</v>
          </cell>
          <cell r="K3351" t="str">
            <v>LACTALIS</v>
          </cell>
          <cell r="L3351" t="str">
            <v>RODRIGO</v>
          </cell>
          <cell r="M3351" t="str">
            <v>RAQUEL BARBOSA</v>
          </cell>
        </row>
        <row r="3352">
          <cell r="B3352">
            <v>5364497</v>
          </cell>
          <cell r="C3352" t="str">
            <v>45708399 LORRAINE OLIVEIRA DE ANDRADE</v>
          </cell>
          <cell r="D3352" t="str">
            <v>3001</v>
          </cell>
          <cell r="E3352" t="str">
            <v>0028</v>
          </cell>
          <cell r="F3352" t="str">
            <v>C1</v>
          </cell>
          <cell r="G3352" t="str">
            <v>MG</v>
          </cell>
          <cell r="H3352" t="str">
            <v>INGREDIENTS</v>
          </cell>
          <cell r="I3352" t="str">
            <v>INGREDIENTS</v>
          </cell>
          <cell r="J3352" t="str">
            <v>MG ITB FS KLINK'S REPRESENTACOES</v>
          </cell>
          <cell r="K3352" t="str">
            <v>ITAMBÉ</v>
          </cell>
          <cell r="L3352" t="str">
            <v>MAURICIO</v>
          </cell>
          <cell r="M3352" t="str">
            <v>JOEL</v>
          </cell>
        </row>
        <row r="3353">
          <cell r="B3353">
            <v>5366503</v>
          </cell>
          <cell r="C3353" t="str">
            <v>MEGA CAFFE LTDA</v>
          </cell>
          <cell r="D3353" t="str">
            <v>7001</v>
          </cell>
          <cell r="E3353" t="str">
            <v>0749</v>
          </cell>
          <cell r="F3353" t="str">
            <v>C5</v>
          </cell>
          <cell r="G3353" t="str">
            <v>SP</v>
          </cell>
          <cell r="H3353" t="str">
            <v>DISTRIBUIÇÃO</v>
          </cell>
          <cell r="I3353" t="str">
            <v>FOOD SERVICE</v>
          </cell>
          <cell r="J3353" t="str">
            <v>FLAC 7</v>
          </cell>
          <cell r="K3353" t="str">
            <v>LACTALIS</v>
          </cell>
          <cell r="L3353" t="str">
            <v>RODRIGO</v>
          </cell>
          <cell r="M3353" t="str">
            <v>RAQUEL BARBOSA</v>
          </cell>
        </row>
        <row r="3354">
          <cell r="B3354">
            <v>5368220</v>
          </cell>
          <cell r="C3354" t="str">
            <v>PADRISERV COMERCIO E SERVICOS LTDA</v>
          </cell>
          <cell r="D3354" t="str">
            <v>7001</v>
          </cell>
          <cell r="E3354" t="str">
            <v>0749</v>
          </cell>
          <cell r="F3354" t="str">
            <v>C5</v>
          </cell>
          <cell r="G3354" t="str">
            <v>SP</v>
          </cell>
          <cell r="H3354" t="str">
            <v>DISTRIBUIÇÃO</v>
          </cell>
          <cell r="I3354" t="str">
            <v>FOOD SERVICE</v>
          </cell>
          <cell r="J3354" t="str">
            <v>FLAC 5</v>
          </cell>
          <cell r="K3354" t="str">
            <v>LACTALIS</v>
          </cell>
          <cell r="L3354" t="str">
            <v>RODRIGO</v>
          </cell>
          <cell r="M3354" t="str">
            <v>RAQUEL BARBOSA</v>
          </cell>
        </row>
        <row r="3355">
          <cell r="B3355">
            <v>5307722</v>
          </cell>
          <cell r="C3355" t="str">
            <v>SELECTO CACAU IND E COM PR ALIM LTD</v>
          </cell>
          <cell r="D3355" t="str">
            <v>7001</v>
          </cell>
          <cell r="E3355" t="str">
            <v>0737</v>
          </cell>
          <cell r="F3355" t="str">
            <v>C1</v>
          </cell>
          <cell r="G3355" t="str">
            <v>SP</v>
          </cell>
          <cell r="H3355" t="str">
            <v>INGREDIENTS</v>
          </cell>
          <cell r="I3355" t="str">
            <v>INGREDIENTS</v>
          </cell>
          <cell r="J3355" t="str">
            <v>TATIANA NITTA</v>
          </cell>
          <cell r="K3355" t="str">
            <v>LACTALIS</v>
          </cell>
          <cell r="L3355" t="str">
            <v>MAURICIO</v>
          </cell>
          <cell r="M3355" t="str">
            <v>TATIANA NITTA</v>
          </cell>
        </row>
        <row r="3356">
          <cell r="B3356">
            <v>5149070</v>
          </cell>
          <cell r="C3356" t="str">
            <v>FILIPINA DELI COMERCIO DE ALIMENTOS</v>
          </cell>
          <cell r="D3356" t="str">
            <v>7001</v>
          </cell>
          <cell r="E3356" t="str">
            <v>0739</v>
          </cell>
          <cell r="F3356" t="str">
            <v>C1</v>
          </cell>
          <cell r="G3356" t="str">
            <v>RJ</v>
          </cell>
          <cell r="H3356" t="str">
            <v>DISTRIBUIÇÃO</v>
          </cell>
          <cell r="I3356" t="str">
            <v>FOOD SERVICE</v>
          </cell>
          <cell r="J3356" t="str">
            <v>LUCIANA MARTINS</v>
          </cell>
          <cell r="K3356" t="str">
            <v>LACTALIS</v>
          </cell>
          <cell r="L3356" t="str">
            <v>RODRIGO</v>
          </cell>
          <cell r="M3356" t="str">
            <v>JESSICA</v>
          </cell>
        </row>
        <row r="3357">
          <cell r="B3357">
            <v>5233873</v>
          </cell>
          <cell r="C3357" t="str">
            <v>AMAZON SERV DE VAR DO BRASIL LT</v>
          </cell>
          <cell r="D3357" t="str">
            <v>7001</v>
          </cell>
          <cell r="E3357" t="str">
            <v>0588</v>
          </cell>
          <cell r="F3357" t="str">
            <v>C6</v>
          </cell>
          <cell r="G3357" t="str">
            <v>RJ</v>
          </cell>
          <cell r="H3357" t="str">
            <v>OUTROS</v>
          </cell>
          <cell r="I3357" t="str">
            <v>OUTROS</v>
          </cell>
          <cell r="J3357" t="str">
            <v>OUTROS</v>
          </cell>
          <cell r="K3357" t="str">
            <v>OUTROS</v>
          </cell>
          <cell r="L3357" t="str">
            <v>OUTROS</v>
          </cell>
          <cell r="M3357" t="str">
            <v>OUTROS</v>
          </cell>
        </row>
        <row r="3358">
          <cell r="B3358">
            <v>5313338</v>
          </cell>
          <cell r="C3358" t="str">
            <v>CLUBE DO CONFEITEIRO LTDA</v>
          </cell>
          <cell r="D3358" t="str">
            <v>6001</v>
          </cell>
          <cell r="E3358" t="str">
            <v>6125</v>
          </cell>
          <cell r="F3358" t="str">
            <v>C1</v>
          </cell>
          <cell r="G3358" t="str">
            <v>SP</v>
          </cell>
          <cell r="H3358" t="str">
            <v>DISTRIBUIÇÃO</v>
          </cell>
          <cell r="I3358" t="str">
            <v>FOOD SERVICE</v>
          </cell>
          <cell r="J3358" t="str">
            <v>SP ITB FS FLAC REP.E COMERCIO</v>
          </cell>
          <cell r="K3358" t="str">
            <v>ITAMBÉ</v>
          </cell>
          <cell r="L3358" t="str">
            <v>RODRIGO</v>
          </cell>
          <cell r="M3358" t="str">
            <v>RAQUEL BARBOSA</v>
          </cell>
        </row>
        <row r="3359">
          <cell r="B3359">
            <v>5351160</v>
          </cell>
          <cell r="C3359" t="str">
            <v>EDUARDO DA COSTA M E CIA LTDA</v>
          </cell>
          <cell r="D3359" t="str">
            <v>7001</v>
          </cell>
          <cell r="E3359" t="str">
            <v>0737</v>
          </cell>
          <cell r="F3359" t="str">
            <v>C1</v>
          </cell>
          <cell r="G3359" t="str">
            <v>SP</v>
          </cell>
          <cell r="H3359" t="str">
            <v>INGREDIENTS</v>
          </cell>
          <cell r="I3359" t="str">
            <v>INGREDIENTS</v>
          </cell>
          <cell r="J3359" t="str">
            <v>TATIANA NITTA</v>
          </cell>
          <cell r="K3359" t="str">
            <v>LACTALIS</v>
          </cell>
          <cell r="L3359" t="str">
            <v>MAURICIO</v>
          </cell>
          <cell r="M3359" t="str">
            <v>TATIANA NITTA</v>
          </cell>
        </row>
        <row r="3360">
          <cell r="B3360">
            <v>5367187</v>
          </cell>
          <cell r="C3360" t="str">
            <v>CONFEITARIA ESTRELA CITY NORTH</v>
          </cell>
          <cell r="D3360" t="str">
            <v>7001</v>
          </cell>
          <cell r="E3360" t="str">
            <v>0749</v>
          </cell>
          <cell r="F3360" t="str">
            <v>C5</v>
          </cell>
          <cell r="G3360" t="str">
            <v>SP</v>
          </cell>
          <cell r="H3360" t="str">
            <v>DISTRIBUIÇÃO</v>
          </cell>
          <cell r="I3360" t="str">
            <v>FOOD SERVICE</v>
          </cell>
          <cell r="J3360" t="str">
            <v>FLAC 4</v>
          </cell>
          <cell r="K3360" t="str">
            <v>LACTALIS</v>
          </cell>
          <cell r="L3360" t="str">
            <v>RODRIGO</v>
          </cell>
          <cell r="M3360" t="str">
            <v>RAQUEL BARBOSA</v>
          </cell>
        </row>
        <row r="3361">
          <cell r="B3361">
            <v>5094302</v>
          </cell>
          <cell r="C3361" t="str">
            <v>TOURINHO ALIMENTOS LTDA</v>
          </cell>
          <cell r="D3361" t="str">
            <v>4001</v>
          </cell>
          <cell r="E3361" t="str">
            <v>0458</v>
          </cell>
          <cell r="F3361" t="str">
            <v>C1</v>
          </cell>
          <cell r="G3361" t="str">
            <v>MG</v>
          </cell>
          <cell r="H3361" t="str">
            <v>INGREDIENTS</v>
          </cell>
          <cell r="I3361" t="str">
            <v>INGREDIENTS</v>
          </cell>
          <cell r="J3361" t="str">
            <v>HENRIQUE FERREIRA</v>
          </cell>
          <cell r="K3361" t="str">
            <v>LACTALIS</v>
          </cell>
          <cell r="L3361" t="str">
            <v>MAURICIO</v>
          </cell>
          <cell r="M3361" t="str">
            <v>JOEL</v>
          </cell>
        </row>
        <row r="3362">
          <cell r="B3362">
            <v>5367122</v>
          </cell>
          <cell r="C3362" t="str">
            <v>59296938 ELDA SILVERIO COSTA</v>
          </cell>
          <cell r="D3362" t="str">
            <v>7001</v>
          </cell>
          <cell r="E3362" t="str">
            <v>0749</v>
          </cell>
          <cell r="F3362" t="str">
            <v>C5</v>
          </cell>
          <cell r="G3362" t="str">
            <v>SP</v>
          </cell>
          <cell r="H3362" t="str">
            <v>DISTRIBUIÇÃO</v>
          </cell>
          <cell r="I3362" t="str">
            <v>FOOD SERVICE</v>
          </cell>
          <cell r="J3362" t="str">
            <v>FLAC 10</v>
          </cell>
          <cell r="K3362" t="str">
            <v>LACTALIS</v>
          </cell>
          <cell r="L3362" t="str">
            <v>RODRIGO</v>
          </cell>
          <cell r="M3362" t="str">
            <v>RAQUEL BARBOSA</v>
          </cell>
        </row>
        <row r="3363">
          <cell r="B3363">
            <v>5221443</v>
          </cell>
          <cell r="C3363" t="str">
            <v>TATHI C DE D E SALG P FES EM G LTDA</v>
          </cell>
          <cell r="D3363" t="str">
            <v>7001</v>
          </cell>
          <cell r="E3363" t="str">
            <v>0749</v>
          </cell>
          <cell r="F3363" t="str">
            <v>C5</v>
          </cell>
          <cell r="G3363" t="str">
            <v>SP</v>
          </cell>
          <cell r="H3363" t="str">
            <v>DISTRIBUIÇÃO</v>
          </cell>
          <cell r="I3363" t="str">
            <v>FOOD SERVICE</v>
          </cell>
          <cell r="J3363" t="str">
            <v>FLAC 4</v>
          </cell>
          <cell r="K3363" t="str">
            <v>LACTALIS</v>
          </cell>
          <cell r="L3363" t="str">
            <v>RODRIGO</v>
          </cell>
          <cell r="M3363" t="str">
            <v>RAQUEL BARBOSA</v>
          </cell>
        </row>
        <row r="3364">
          <cell r="B3364">
            <v>5278463</v>
          </cell>
          <cell r="C3364" t="str">
            <v>PANIFICADORA E CONFEITARIA SORA</v>
          </cell>
          <cell r="D3364" t="str">
            <v>7001</v>
          </cell>
          <cell r="E3364" t="str">
            <v>0749</v>
          </cell>
          <cell r="F3364" t="str">
            <v>C5</v>
          </cell>
          <cell r="G3364" t="str">
            <v>SP</v>
          </cell>
          <cell r="H3364" t="str">
            <v>DISTRIBUIÇÃO</v>
          </cell>
          <cell r="I3364" t="str">
            <v>FOOD SERVICE</v>
          </cell>
          <cell r="J3364" t="str">
            <v>FLAC 5</v>
          </cell>
          <cell r="K3364" t="str">
            <v>LACTALIS</v>
          </cell>
          <cell r="L3364" t="str">
            <v>RODRIGO</v>
          </cell>
          <cell r="M3364" t="str">
            <v>RAQUEL BARBOSA</v>
          </cell>
        </row>
        <row r="3365">
          <cell r="B3365">
            <v>5303069</v>
          </cell>
          <cell r="C3365" t="str">
            <v>LAGHETTO HOTEIS LTDA</v>
          </cell>
          <cell r="D3365" t="str">
            <v>6001</v>
          </cell>
          <cell r="E3365" t="str">
            <v>6125</v>
          </cell>
          <cell r="F3365" t="str">
            <v>C1</v>
          </cell>
          <cell r="G3365" t="str">
            <v>SP</v>
          </cell>
          <cell r="H3365" t="str">
            <v>DISTRIBUIÇÃO</v>
          </cell>
          <cell r="I3365" t="str">
            <v>FOOD SERVICE</v>
          </cell>
          <cell r="J3365" t="str">
            <v>SP ITB FS FLAC REP.E COMERCIO</v>
          </cell>
          <cell r="K3365" t="str">
            <v>ITAMBÉ</v>
          </cell>
          <cell r="L3365" t="str">
            <v>RODRIGO</v>
          </cell>
          <cell r="M3365" t="str">
            <v>RAQUEL BARBOSA</v>
          </cell>
        </row>
        <row r="3366">
          <cell r="B3366">
            <v>5366835</v>
          </cell>
          <cell r="C3366" t="str">
            <v>ESPACO LILLO LTDA</v>
          </cell>
          <cell r="D3366" t="str">
            <v>7001</v>
          </cell>
          <cell r="E3366" t="str">
            <v>0749</v>
          </cell>
          <cell r="F3366" t="str">
            <v>C5</v>
          </cell>
          <cell r="G3366" t="str">
            <v>SP</v>
          </cell>
          <cell r="H3366" t="str">
            <v>DISTRIBUIÇÃO</v>
          </cell>
          <cell r="I3366" t="str">
            <v>FOOD SERVICE</v>
          </cell>
          <cell r="J3366" t="str">
            <v>FLAC 3</v>
          </cell>
          <cell r="K3366" t="str">
            <v>LACTALIS</v>
          </cell>
          <cell r="L3366" t="str">
            <v>RODRIGO</v>
          </cell>
          <cell r="M3366" t="str">
            <v>RAQUEL BARBOSA</v>
          </cell>
        </row>
        <row r="3367">
          <cell r="B3367">
            <v>5367394</v>
          </cell>
          <cell r="C3367" t="str">
            <v>NATALIA SALVE DAMASCENO 3256521</v>
          </cell>
          <cell r="D3367" t="str">
            <v>6001</v>
          </cell>
          <cell r="E3367" t="str">
            <v>6125</v>
          </cell>
          <cell r="F3367" t="str">
            <v>C1</v>
          </cell>
          <cell r="G3367" t="str">
            <v>SP</v>
          </cell>
          <cell r="H3367" t="str">
            <v>DISTRIBUIÇÃO</v>
          </cell>
          <cell r="I3367" t="str">
            <v>FOOD SERVICE</v>
          </cell>
          <cell r="J3367" t="str">
            <v>SP ITB FS FLAC REP.E COMERCIO</v>
          </cell>
          <cell r="K3367" t="str">
            <v>ITAMBÉ</v>
          </cell>
          <cell r="L3367" t="str">
            <v>RODRIGO</v>
          </cell>
          <cell r="M3367" t="str">
            <v>RAQUEL BARBOSA</v>
          </cell>
        </row>
        <row r="3368">
          <cell r="B3368">
            <v>5337773</v>
          </cell>
          <cell r="C3368" t="str">
            <v>CAFE PACIFICO LTDA</v>
          </cell>
          <cell r="D3368" t="str">
            <v>4001</v>
          </cell>
          <cell r="E3368" t="str">
            <v>0546</v>
          </cell>
          <cell r="F3368" t="str">
            <v>C1</v>
          </cell>
          <cell r="G3368" t="str">
            <v>SP</v>
          </cell>
          <cell r="H3368" t="str">
            <v>QSR</v>
          </cell>
          <cell r="I3368" t="str">
            <v>FOOD SERVICE</v>
          </cell>
          <cell r="J3368" t="str">
            <v>ANA MENIQUETE</v>
          </cell>
          <cell r="K3368" t="str">
            <v>LACTALIS</v>
          </cell>
          <cell r="L3368" t="str">
            <v>PEDRO</v>
          </cell>
          <cell r="M3368" t="str">
            <v>ANA MENIQUETE</v>
          </cell>
        </row>
        <row r="3369">
          <cell r="B3369">
            <v>5358671</v>
          </cell>
          <cell r="C3369" t="str">
            <v>CAFE PACIFICO SA</v>
          </cell>
          <cell r="D3369" t="str">
            <v>4001</v>
          </cell>
          <cell r="E3369" t="str">
            <v>0546</v>
          </cell>
          <cell r="F3369" t="str">
            <v>C1</v>
          </cell>
          <cell r="G3369" t="str">
            <v>SP</v>
          </cell>
          <cell r="H3369" t="str">
            <v>QSR</v>
          </cell>
          <cell r="I3369" t="str">
            <v>FOOD SERVICE</v>
          </cell>
          <cell r="J3369" t="str">
            <v>ANA MENIQUETE</v>
          </cell>
          <cell r="K3369" t="str">
            <v>LACTALIS</v>
          </cell>
          <cell r="L3369" t="str">
            <v>PEDRO</v>
          </cell>
          <cell r="M3369" t="str">
            <v>ANA MENIQUETE</v>
          </cell>
        </row>
        <row r="3370">
          <cell r="B3370">
            <v>5368586</v>
          </cell>
          <cell r="C3370" t="str">
            <v>66165054 LUCAS GALVAO PINTO</v>
          </cell>
          <cell r="D3370" t="str">
            <v>7001</v>
          </cell>
          <cell r="E3370" t="str">
            <v>0749</v>
          </cell>
          <cell r="F3370" t="str">
            <v>C5</v>
          </cell>
          <cell r="G3370" t="str">
            <v>SP</v>
          </cell>
          <cell r="H3370" t="str">
            <v>DISTRIBUIÇÃO</v>
          </cell>
          <cell r="I3370" t="str">
            <v>FOOD SERVICE</v>
          </cell>
          <cell r="J3370" t="str">
            <v>FLAC 2</v>
          </cell>
          <cell r="K3370" t="str">
            <v>LACTALIS</v>
          </cell>
          <cell r="L3370" t="str">
            <v>RODRIGO</v>
          </cell>
          <cell r="M3370" t="str">
            <v>RAQUEL BARBOSA</v>
          </cell>
        </row>
        <row r="3371">
          <cell r="B3371">
            <v>5247948</v>
          </cell>
          <cell r="C3371" t="str">
            <v>GOLDEN TOWER HOTEIS E TURISMO L</v>
          </cell>
          <cell r="D3371" t="str">
            <v>7001</v>
          </cell>
          <cell r="E3371" t="str">
            <v>0749</v>
          </cell>
          <cell r="F3371" t="str">
            <v>C5</v>
          </cell>
          <cell r="G3371" t="str">
            <v>SP</v>
          </cell>
          <cell r="H3371" t="str">
            <v>DISTRIBUIÇÃO</v>
          </cell>
          <cell r="I3371" t="str">
            <v>FOOD SERVICE</v>
          </cell>
          <cell r="J3371" t="str">
            <v>FLAC 5</v>
          </cell>
          <cell r="K3371" t="str">
            <v>LACTALIS</v>
          </cell>
          <cell r="L3371" t="str">
            <v>RODRIGO</v>
          </cell>
          <cell r="M3371" t="str">
            <v>RAQUEL BARBOSA</v>
          </cell>
        </row>
        <row r="3372">
          <cell r="B3372">
            <v>5350936</v>
          </cell>
          <cell r="C3372" t="str">
            <v>SEARA ALIMENTOS LTDA</v>
          </cell>
          <cell r="D3372" t="str">
            <v>4001</v>
          </cell>
          <cell r="E3372" t="str">
            <v>0437</v>
          </cell>
          <cell r="F3372" t="str">
            <v>C1</v>
          </cell>
          <cell r="G3372" t="str">
            <v>MS</v>
          </cell>
          <cell r="H3372" t="str">
            <v>INGREDIENTS</v>
          </cell>
          <cell r="I3372" t="str">
            <v>INGREDIENTS</v>
          </cell>
          <cell r="J3372" t="str">
            <v>JOEL ELEOTÉRIO</v>
          </cell>
          <cell r="K3372" t="str">
            <v>LACTALIS</v>
          </cell>
          <cell r="L3372" t="str">
            <v>MAURICIO</v>
          </cell>
          <cell r="M3372" t="str">
            <v>JOEL</v>
          </cell>
        </row>
        <row r="3373">
          <cell r="B3373">
            <v>5368518</v>
          </cell>
          <cell r="C3373" t="str">
            <v>48603934 AMANDA FRANC DE OL AND</v>
          </cell>
          <cell r="D3373" t="str">
            <v>7001</v>
          </cell>
          <cell r="E3373" t="str">
            <v>0749</v>
          </cell>
          <cell r="F3373" t="str">
            <v>C5</v>
          </cell>
          <cell r="G3373" t="str">
            <v>SP</v>
          </cell>
          <cell r="H3373" t="str">
            <v>DISTRIBUIÇÃO</v>
          </cell>
          <cell r="I3373" t="str">
            <v>FOOD SERVICE</v>
          </cell>
          <cell r="J3373" t="str">
            <v>FLAC 7</v>
          </cell>
          <cell r="K3373" t="str">
            <v>LACTALIS</v>
          </cell>
          <cell r="L3373" t="str">
            <v>RODRIGO</v>
          </cell>
          <cell r="M3373" t="str">
            <v>RAQUEL BARBOSA</v>
          </cell>
        </row>
        <row r="3374">
          <cell r="B3374">
            <v>5368646</v>
          </cell>
          <cell r="C3374" t="str">
            <v>FISCALE PAES E ALIMENTOS LTDA</v>
          </cell>
          <cell r="D3374" t="str">
            <v>7001</v>
          </cell>
          <cell r="E3374" t="str">
            <v>0749</v>
          </cell>
          <cell r="F3374" t="str">
            <v>C5</v>
          </cell>
          <cell r="G3374" t="str">
            <v>SP</v>
          </cell>
          <cell r="H3374" t="str">
            <v>DISTRIBUIÇÃO</v>
          </cell>
          <cell r="I3374" t="str">
            <v>FOOD SERVICE</v>
          </cell>
          <cell r="J3374" t="str">
            <v>FLAC 6</v>
          </cell>
          <cell r="K3374" t="str">
            <v>LACTALIS</v>
          </cell>
          <cell r="L3374" t="str">
            <v>RODRIGO</v>
          </cell>
          <cell r="M3374" t="str">
            <v>RAQUEL BARBOSA</v>
          </cell>
        </row>
        <row r="3375">
          <cell r="B3375">
            <v>5194247</v>
          </cell>
          <cell r="C3375" t="str">
            <v>GRANBELLO ALIMENTOS LTDA</v>
          </cell>
          <cell r="D3375" t="str">
            <v>3001</v>
          </cell>
          <cell r="E3375" t="str">
            <v>0028</v>
          </cell>
          <cell r="F3375" t="str">
            <v>C1</v>
          </cell>
          <cell r="G3375" t="str">
            <v>SC</v>
          </cell>
          <cell r="H3375" t="str">
            <v>INGREDIENTS</v>
          </cell>
          <cell r="I3375" t="str">
            <v>INGREDIENTS</v>
          </cell>
          <cell r="J3375" t="str">
            <v>MARCELO RODRIGUES</v>
          </cell>
          <cell r="K3375" t="str">
            <v>ITAMBÉ</v>
          </cell>
          <cell r="L3375" t="str">
            <v>MAURICIO</v>
          </cell>
          <cell r="M3375" t="str">
            <v>MARCELO</v>
          </cell>
        </row>
        <row r="3376">
          <cell r="B3376">
            <v>5355177</v>
          </cell>
          <cell r="C3376" t="str">
            <v>BUY MARKET MINIMERCADOS LTDA</v>
          </cell>
          <cell r="D3376" t="str">
            <v>7001</v>
          </cell>
          <cell r="E3376" t="str">
            <v>0749</v>
          </cell>
          <cell r="F3376" t="str">
            <v>C5</v>
          </cell>
          <cell r="G3376" t="str">
            <v>SP</v>
          </cell>
          <cell r="H3376" t="str">
            <v>DISTRIBUIÇÃO</v>
          </cell>
          <cell r="I3376" t="str">
            <v>FOOD SERVICE</v>
          </cell>
          <cell r="J3376" t="str">
            <v>FLAC 6</v>
          </cell>
          <cell r="K3376" t="str">
            <v>LACTALIS</v>
          </cell>
          <cell r="L3376" t="str">
            <v>RODRIGO</v>
          </cell>
          <cell r="M3376" t="str">
            <v>RAQUEL BARBOSA</v>
          </cell>
        </row>
        <row r="3377">
          <cell r="B3377">
            <v>5004685</v>
          </cell>
          <cell r="C3377" t="str">
            <v>DINIZ COM ATAC DE PROD ALIM LTDA</v>
          </cell>
          <cell r="D3377" t="str">
            <v>6001</v>
          </cell>
          <cell r="E3377" t="str">
            <v>0125</v>
          </cell>
          <cell r="F3377" t="str">
            <v>C1</v>
          </cell>
          <cell r="G3377" t="str">
            <v>SP</v>
          </cell>
          <cell r="H3377" t="str">
            <v>DISTRIBUIÇÃO</v>
          </cell>
          <cell r="I3377" t="str">
            <v>FOOD SERVICE</v>
          </cell>
          <cell r="J3377" t="str">
            <v>ALEXANDRO RODRIGUES</v>
          </cell>
          <cell r="K3377" t="str">
            <v>ITAMBÉ</v>
          </cell>
          <cell r="L3377" t="str">
            <v>RODRIGO</v>
          </cell>
          <cell r="M3377" t="str">
            <v>ALEXANDRO</v>
          </cell>
        </row>
        <row r="3378">
          <cell r="B3378">
            <v>5006978</v>
          </cell>
          <cell r="C3378" t="str">
            <v>DISTRIBUIDORA E IMP IRMAOS AVELINO</v>
          </cell>
          <cell r="D3378" t="str">
            <v>6001</v>
          </cell>
          <cell r="E3378" t="str">
            <v>0125</v>
          </cell>
          <cell r="F3378" t="str">
            <v>C1</v>
          </cell>
          <cell r="G3378" t="str">
            <v>SP</v>
          </cell>
          <cell r="H3378" t="str">
            <v>DISTRIBUIÇÃO</v>
          </cell>
          <cell r="I3378" t="str">
            <v>FOOD SERVICE</v>
          </cell>
          <cell r="J3378" t="str">
            <v>RAQUEL BARBOSA</v>
          </cell>
          <cell r="K3378" t="str">
            <v>ITAMBÉ</v>
          </cell>
          <cell r="L3378" t="str">
            <v>RODRIGO</v>
          </cell>
          <cell r="M3378" t="str">
            <v>RAQUEL BARBOSA</v>
          </cell>
        </row>
        <row r="3379">
          <cell r="B3379">
            <v>5008636</v>
          </cell>
          <cell r="C3379" t="str">
            <v>GR SERVICOS E ALIMENTACAO LTDA</v>
          </cell>
          <cell r="D3379" t="str">
            <v>6001</v>
          </cell>
          <cell r="E3379" t="str">
            <v>0028</v>
          </cell>
          <cell r="F3379" t="str">
            <v>C1</v>
          </cell>
          <cell r="G3379" t="str">
            <v>RJ</v>
          </cell>
          <cell r="H3379" t="str">
            <v>QSR</v>
          </cell>
          <cell r="I3379" t="str">
            <v>FOOD SERVICE</v>
          </cell>
          <cell r="J3379" t="str">
            <v>NUTRI</v>
          </cell>
          <cell r="K3379" t="str">
            <v>ITAMBÉ</v>
          </cell>
          <cell r="L3379" t="str">
            <v>PEDRO</v>
          </cell>
          <cell r="M3379" t="str">
            <v>VAGO QSR</v>
          </cell>
        </row>
        <row r="3380">
          <cell r="B3380">
            <v>5009420</v>
          </cell>
          <cell r="C3380" t="str">
            <v>BASF SA</v>
          </cell>
          <cell r="D3380" t="str">
            <v>6001</v>
          </cell>
          <cell r="E3380" t="str">
            <v>0028</v>
          </cell>
          <cell r="F3380" t="str">
            <v>C1</v>
          </cell>
          <cell r="G3380" t="str">
            <v>SP</v>
          </cell>
          <cell r="H3380" t="str">
            <v>INGREDIENTS</v>
          </cell>
          <cell r="I3380" t="str">
            <v>INGREDIENTS</v>
          </cell>
          <cell r="J3380" t="str">
            <v>HENRIQUE FERREIRA</v>
          </cell>
          <cell r="K3380" t="str">
            <v>ITAMBÉ</v>
          </cell>
          <cell r="L3380" t="str">
            <v>MAURICIO</v>
          </cell>
          <cell r="M3380" t="str">
            <v>JOEL</v>
          </cell>
        </row>
        <row r="3381">
          <cell r="B3381">
            <v>5011698</v>
          </cell>
          <cell r="C3381" t="str">
            <v>CASA DO SACHET LTDA</v>
          </cell>
          <cell r="D3381" t="str">
            <v>6001</v>
          </cell>
          <cell r="E3381" t="str">
            <v>0123</v>
          </cell>
          <cell r="F3381" t="str">
            <v>C1</v>
          </cell>
          <cell r="G3381" t="str">
            <v>MS</v>
          </cell>
          <cell r="H3381" t="str">
            <v>DISTRIBUIÇÃO</v>
          </cell>
          <cell r="I3381" t="str">
            <v>FOOD SERVICE</v>
          </cell>
          <cell r="J3381" t="str">
            <v>MARCO AURELIO</v>
          </cell>
          <cell r="K3381" t="str">
            <v>ITAMBÉ</v>
          </cell>
          <cell r="L3381" t="str">
            <v>RODRIGO</v>
          </cell>
          <cell r="M3381" t="str">
            <v>MARCO AURELIO</v>
          </cell>
        </row>
        <row r="3382">
          <cell r="B3382">
            <v>5012641</v>
          </cell>
          <cell r="C3382" t="str">
            <v>COM LOURO DE FRIOS E SALGADOS LTDA</v>
          </cell>
          <cell r="D3382" t="str">
            <v>6001</v>
          </cell>
          <cell r="E3382" t="str">
            <v>0125</v>
          </cell>
          <cell r="F3382" t="str">
            <v>C1</v>
          </cell>
          <cell r="G3382" t="str">
            <v>SP</v>
          </cell>
          <cell r="H3382" t="str">
            <v>DISTRIBUIÇÃO</v>
          </cell>
          <cell r="I3382" t="str">
            <v>FOOD SERVICE</v>
          </cell>
          <cell r="J3382" t="str">
            <v>GUILHERME NASCIMENTO</v>
          </cell>
          <cell r="K3382" t="str">
            <v>ITAMBÉ</v>
          </cell>
          <cell r="L3382" t="str">
            <v>RODRIGO</v>
          </cell>
          <cell r="M3382" t="str">
            <v>ALEXANDRO</v>
          </cell>
        </row>
        <row r="3383">
          <cell r="B3383">
            <v>5017576</v>
          </cell>
          <cell r="C3383" t="str">
            <v>COMERCIAL DISKPAN LTDA</v>
          </cell>
          <cell r="D3383" t="str">
            <v>6001</v>
          </cell>
          <cell r="E3383" t="str">
            <v>0169</v>
          </cell>
          <cell r="F3383" t="str">
            <v>C1</v>
          </cell>
          <cell r="G3383" t="str">
            <v>ES</v>
          </cell>
          <cell r="H3383" t="str">
            <v>DISTRIBUIÇÃO</v>
          </cell>
          <cell r="I3383" t="str">
            <v>FOOD SERVICE</v>
          </cell>
          <cell r="J3383" t="str">
            <v>MARCELO DUARTE</v>
          </cell>
          <cell r="K3383" t="str">
            <v>ITAMBÉ</v>
          </cell>
          <cell r="L3383" t="str">
            <v>RODRIGO</v>
          </cell>
          <cell r="M3383" t="str">
            <v>JESSICA</v>
          </cell>
        </row>
        <row r="3384">
          <cell r="B3384">
            <v>5019126</v>
          </cell>
          <cell r="C3384" t="str">
            <v>ROCHA PAN INDUSTRIA E COMERCIO LTDA</v>
          </cell>
          <cell r="D3384" t="str">
            <v>6001</v>
          </cell>
          <cell r="E3384" t="str">
            <v>0125</v>
          </cell>
          <cell r="F3384" t="str">
            <v>C1</v>
          </cell>
          <cell r="G3384" t="str">
            <v>SP</v>
          </cell>
          <cell r="H3384" t="str">
            <v>DISTRIBUIÇÃO</v>
          </cell>
          <cell r="I3384" t="str">
            <v>FOOD SERVICE</v>
          </cell>
          <cell r="J3384" t="str">
            <v>VAGO SP</v>
          </cell>
          <cell r="K3384" t="str">
            <v>ITAMBÉ</v>
          </cell>
          <cell r="L3384" t="str">
            <v>RODRIGO</v>
          </cell>
          <cell r="M3384" t="str">
            <v>RAQUEL BARBOSA</v>
          </cell>
        </row>
        <row r="3385">
          <cell r="B3385">
            <v>5019640</v>
          </cell>
          <cell r="C3385" t="str">
            <v>BIG CHURROS DE PIRACICABA LTDA</v>
          </cell>
          <cell r="D3385" t="str">
            <v>6001</v>
          </cell>
          <cell r="E3385" t="str">
            <v>0125</v>
          </cell>
          <cell r="F3385" t="str">
            <v>C1</v>
          </cell>
          <cell r="G3385" t="str">
            <v>SP</v>
          </cell>
          <cell r="H3385" t="str">
            <v>INGREDIENTS</v>
          </cell>
          <cell r="I3385" t="str">
            <v>INGREDIENTS</v>
          </cell>
          <cell r="J3385" t="str">
            <v>HENRIQUE FERREIRA</v>
          </cell>
          <cell r="K3385" t="str">
            <v>ITAMBÉ</v>
          </cell>
          <cell r="L3385" t="str">
            <v>MAURICIO</v>
          </cell>
          <cell r="M3385" t="str">
            <v>JOEL</v>
          </cell>
        </row>
        <row r="3386">
          <cell r="B3386">
            <v>5020319</v>
          </cell>
          <cell r="C3386" t="str">
            <v>SOST IND E COM DE ALIMENTOS EIRELI</v>
          </cell>
          <cell r="D3386" t="str">
            <v>6001</v>
          </cell>
          <cell r="E3386" t="str">
            <v>0127</v>
          </cell>
          <cell r="F3386" t="str">
            <v>C1</v>
          </cell>
          <cell r="G3386" t="str">
            <v>BA</v>
          </cell>
          <cell r="H3386" t="str">
            <v>DISTRIBUIÇÃO</v>
          </cell>
          <cell r="I3386" t="str">
            <v>FOOD SERVICE</v>
          </cell>
          <cell r="J3386" t="str">
            <v>CLAUDIO JORGE/LUIZ</v>
          </cell>
          <cell r="K3386" t="str">
            <v>ITAMBÉ</v>
          </cell>
          <cell r="L3386" t="str">
            <v>RODRIGO</v>
          </cell>
          <cell r="M3386" t="str">
            <v>MARIA LOURDES</v>
          </cell>
        </row>
        <row r="3387">
          <cell r="B3387">
            <v>5020347</v>
          </cell>
          <cell r="C3387" t="str">
            <v>SVP COMERCIO DE ALIMENTOS LTDA</v>
          </cell>
          <cell r="D3387" t="str">
            <v>6001</v>
          </cell>
          <cell r="E3387" t="str">
            <v>0125</v>
          </cell>
          <cell r="F3387" t="str">
            <v>C1</v>
          </cell>
          <cell r="G3387" t="str">
            <v>SP</v>
          </cell>
          <cell r="H3387" t="str">
            <v>DISTRIBUIÇÃO</v>
          </cell>
          <cell r="I3387" t="str">
            <v>FOOD SERVICE</v>
          </cell>
          <cell r="J3387" t="str">
            <v>GUILHERME NASCIMENTO</v>
          </cell>
          <cell r="K3387" t="str">
            <v>ITAMBÉ</v>
          </cell>
          <cell r="L3387" t="str">
            <v>RODRIGO</v>
          </cell>
          <cell r="M3387" t="str">
            <v>ALEXANDRO</v>
          </cell>
        </row>
        <row r="3388">
          <cell r="B3388">
            <v>5020352</v>
          </cell>
          <cell r="C3388" t="str">
            <v>SPAN VALE COM DE PROD ALIM LTDA</v>
          </cell>
          <cell r="D3388" t="str">
            <v>6001</v>
          </cell>
          <cell r="E3388" t="str">
            <v>0125</v>
          </cell>
          <cell r="F3388" t="str">
            <v>C1</v>
          </cell>
          <cell r="G3388" t="str">
            <v>SP</v>
          </cell>
          <cell r="H3388" t="str">
            <v>DISTRIBUIÇÃO</v>
          </cell>
          <cell r="I3388" t="str">
            <v>FOOD SERVICE</v>
          </cell>
          <cell r="J3388" t="str">
            <v>GUILHERME NASCIMENTO</v>
          </cell>
          <cell r="K3388" t="str">
            <v>ITAMBÉ</v>
          </cell>
          <cell r="L3388" t="str">
            <v>RODRIGO</v>
          </cell>
          <cell r="M3388" t="str">
            <v>ALEXANDRO</v>
          </cell>
        </row>
        <row r="3389">
          <cell r="B3389">
            <v>5023334</v>
          </cell>
          <cell r="C3389" t="str">
            <v>S P PRODUTOS LTDA</v>
          </cell>
          <cell r="D3389" t="str">
            <v>6001</v>
          </cell>
          <cell r="E3389" t="str">
            <v>0169</v>
          </cell>
          <cell r="F3389" t="str">
            <v>C1</v>
          </cell>
          <cell r="G3389" t="str">
            <v>ES</v>
          </cell>
          <cell r="H3389" t="str">
            <v>DISTRIBUIÇÃO</v>
          </cell>
          <cell r="I3389" t="str">
            <v>FOOD SERVICE</v>
          </cell>
          <cell r="J3389" t="str">
            <v>MARCELO DUARTE</v>
          </cell>
          <cell r="K3389" t="str">
            <v>ITAMBÉ</v>
          </cell>
          <cell r="L3389" t="str">
            <v>RODRIGO</v>
          </cell>
          <cell r="M3389" t="str">
            <v>JESSICA</v>
          </cell>
        </row>
        <row r="3390">
          <cell r="B3390">
            <v>5023770</v>
          </cell>
          <cell r="C3390" t="str">
            <v>SOLMAR DIST DE ALIMENTOS LTDA</v>
          </cell>
          <cell r="D3390" t="str">
            <v>6001</v>
          </cell>
          <cell r="E3390" t="str">
            <v>0127</v>
          </cell>
          <cell r="F3390" t="str">
            <v>C1</v>
          </cell>
          <cell r="G3390" t="str">
            <v>CE</v>
          </cell>
          <cell r="H3390" t="str">
            <v>DISTRIBUIÇÃO</v>
          </cell>
          <cell r="I3390" t="str">
            <v>FOOD SERVICE</v>
          </cell>
          <cell r="J3390" t="str">
            <v>WH FOOD SERVICE CE</v>
          </cell>
          <cell r="K3390" t="str">
            <v>ITAMBÉ</v>
          </cell>
          <cell r="L3390" t="str">
            <v>RODRIGO</v>
          </cell>
          <cell r="M3390" t="str">
            <v>MARIA LOURDES</v>
          </cell>
        </row>
        <row r="3391">
          <cell r="B3391">
            <v>5023831</v>
          </cell>
          <cell r="C3391" t="str">
            <v>DORIVALI COM DIST DE PROD ALIM LTDA</v>
          </cell>
          <cell r="D3391" t="str">
            <v>6001</v>
          </cell>
          <cell r="E3391" t="str">
            <v>0125</v>
          </cell>
          <cell r="F3391" t="str">
            <v>C1</v>
          </cell>
          <cell r="G3391" t="str">
            <v>SP</v>
          </cell>
          <cell r="H3391" t="str">
            <v>DISTRIBUIÇÃO</v>
          </cell>
          <cell r="I3391" t="str">
            <v>FOOD SERVICE</v>
          </cell>
          <cell r="J3391" t="str">
            <v>VAGO SP</v>
          </cell>
          <cell r="K3391" t="str">
            <v>ITAMBÉ</v>
          </cell>
          <cell r="L3391" t="str">
            <v>RODRIGO</v>
          </cell>
          <cell r="M3391" t="str">
            <v>RAQUEL BARBOSA</v>
          </cell>
        </row>
        <row r="3392">
          <cell r="B3392">
            <v>5024011</v>
          </cell>
          <cell r="C3392" t="str">
            <v>M C MORAES ME</v>
          </cell>
          <cell r="D3392" t="str">
            <v>6001</v>
          </cell>
          <cell r="E3392" t="str">
            <v>0169</v>
          </cell>
          <cell r="F3392" t="str">
            <v>C1</v>
          </cell>
          <cell r="G3392" t="str">
            <v>ES</v>
          </cell>
          <cell r="H3392" t="str">
            <v>DISTRIBUIÇÃO</v>
          </cell>
          <cell r="I3392" t="str">
            <v>FOOD SERVICE</v>
          </cell>
          <cell r="J3392" t="str">
            <v>MARCELO DUARTE</v>
          </cell>
          <cell r="K3392" t="str">
            <v>ITAMBÉ</v>
          </cell>
          <cell r="L3392" t="str">
            <v>RODRIGO</v>
          </cell>
          <cell r="M3392" t="str">
            <v>JESSICA</v>
          </cell>
        </row>
        <row r="3393">
          <cell r="B3393">
            <v>5026399</v>
          </cell>
          <cell r="C3393" t="str">
            <v>RIO QUALITY COMERCIO DE ALIMENTOS</v>
          </cell>
          <cell r="D3393" t="str">
            <v>6001</v>
          </cell>
          <cell r="E3393" t="str">
            <v>0169</v>
          </cell>
          <cell r="F3393" t="str">
            <v>C1</v>
          </cell>
          <cell r="G3393" t="str">
            <v>RJ</v>
          </cell>
          <cell r="H3393" t="str">
            <v>DISTRIBUIÇÃO</v>
          </cell>
          <cell r="I3393" t="str">
            <v>FOOD SERVICE</v>
          </cell>
          <cell r="J3393" t="str">
            <v>JESSICA CARLA</v>
          </cell>
          <cell r="K3393" t="str">
            <v>ITAMBÉ</v>
          </cell>
          <cell r="L3393" t="str">
            <v>RODRIGO</v>
          </cell>
          <cell r="M3393" t="str">
            <v>JESSICA</v>
          </cell>
        </row>
        <row r="3394">
          <cell r="B3394">
            <v>5026768</v>
          </cell>
          <cell r="C3394" t="str">
            <v>FORTALI DIST DE ALIMENTOS LTDA</v>
          </cell>
          <cell r="D3394" t="str">
            <v>6001</v>
          </cell>
          <cell r="E3394" t="str">
            <v>0127</v>
          </cell>
          <cell r="F3394" t="str">
            <v>C1</v>
          </cell>
          <cell r="G3394" t="str">
            <v>CE</v>
          </cell>
          <cell r="H3394" t="str">
            <v>DISTRIBUIÇÃO</v>
          </cell>
          <cell r="I3394" t="str">
            <v>FOOD SERVICE</v>
          </cell>
          <cell r="J3394" t="str">
            <v>WH FOOD SERVICE CE</v>
          </cell>
          <cell r="K3394" t="str">
            <v>ITAMBÉ</v>
          </cell>
          <cell r="L3394" t="str">
            <v>RODRIGO</v>
          </cell>
          <cell r="M3394" t="str">
            <v>MARIA LOURDES</v>
          </cell>
        </row>
        <row r="3395">
          <cell r="B3395">
            <v>5028457</v>
          </cell>
          <cell r="C3395" t="str">
            <v>F L EMBALAGENS LTDA</v>
          </cell>
          <cell r="D3395" t="str">
            <v>6001</v>
          </cell>
          <cell r="E3395" t="str">
            <v>0169</v>
          </cell>
          <cell r="F3395" t="str">
            <v>C1</v>
          </cell>
          <cell r="G3395" t="str">
            <v>ES</v>
          </cell>
          <cell r="H3395" t="str">
            <v>DISTRIBUIÇÃO</v>
          </cell>
          <cell r="I3395" t="str">
            <v>FOOD SERVICE</v>
          </cell>
          <cell r="J3395" t="str">
            <v>MARCELO DUARTE</v>
          </cell>
          <cell r="K3395" t="str">
            <v>ITAMBÉ</v>
          </cell>
          <cell r="L3395" t="str">
            <v>RODRIGO</v>
          </cell>
          <cell r="M3395" t="str">
            <v>JESSICA</v>
          </cell>
        </row>
        <row r="3396">
          <cell r="B3396">
            <v>5031156</v>
          </cell>
          <cell r="C3396" t="str">
            <v>SIRLEI MENDES DE OLIVEIRA</v>
          </cell>
          <cell r="D3396" t="str">
            <v>6001</v>
          </cell>
          <cell r="E3396" t="str">
            <v>0125</v>
          </cell>
          <cell r="F3396" t="str">
            <v>C1</v>
          </cell>
          <cell r="G3396" t="str">
            <v>SP</v>
          </cell>
          <cell r="H3396" t="str">
            <v>DISTRIBUIÇÃO</v>
          </cell>
          <cell r="I3396" t="str">
            <v>FOOD SERVICE</v>
          </cell>
          <cell r="J3396" t="str">
            <v>SP ITB FS FLAC REP.E COMERCIO</v>
          </cell>
          <cell r="K3396" t="str">
            <v>ITAMBÉ</v>
          </cell>
          <cell r="L3396" t="str">
            <v>RODRIGO</v>
          </cell>
          <cell r="M3396" t="str">
            <v>RAQUEL BARBOSA</v>
          </cell>
        </row>
        <row r="3397">
          <cell r="B3397">
            <v>5032480</v>
          </cell>
          <cell r="C3397" t="str">
            <v>ATACADO E DISTRIBUIDORA MARITER</v>
          </cell>
          <cell r="D3397" t="str">
            <v>6001</v>
          </cell>
          <cell r="E3397" t="str">
            <v>0169</v>
          </cell>
          <cell r="F3397" t="str">
            <v>C1</v>
          </cell>
          <cell r="G3397" t="str">
            <v>ES</v>
          </cell>
          <cell r="H3397" t="str">
            <v>DISTRIBUIÇÃO</v>
          </cell>
          <cell r="I3397" t="str">
            <v>FOOD SERVICE</v>
          </cell>
          <cell r="J3397" t="str">
            <v>MARCELO DUARTE</v>
          </cell>
          <cell r="K3397" t="str">
            <v>ITAMBÉ</v>
          </cell>
          <cell r="L3397" t="str">
            <v>RODRIGO</v>
          </cell>
          <cell r="M3397" t="str">
            <v>JESSICA</v>
          </cell>
        </row>
        <row r="3398">
          <cell r="B3398">
            <v>5033323</v>
          </cell>
          <cell r="C3398" t="str">
            <v>SORVESHOPES COMERCIAL LTDA</v>
          </cell>
          <cell r="D3398" t="str">
            <v>6001</v>
          </cell>
          <cell r="E3398" t="str">
            <v>0028</v>
          </cell>
          <cell r="F3398" t="str">
            <v>C1</v>
          </cell>
          <cell r="G3398" t="str">
            <v>ES</v>
          </cell>
          <cell r="H3398" t="str">
            <v>DISTRIBUIÇÃO</v>
          </cell>
          <cell r="I3398" t="str">
            <v>FOOD SERVICE</v>
          </cell>
          <cell r="J3398" t="str">
            <v>MARCELO DUARTE</v>
          </cell>
          <cell r="K3398" t="str">
            <v>ITAMBÉ</v>
          </cell>
          <cell r="L3398" t="str">
            <v>RODRIGO</v>
          </cell>
          <cell r="M3398" t="str">
            <v>JESSICA</v>
          </cell>
        </row>
        <row r="3399">
          <cell r="B3399">
            <v>5038591</v>
          </cell>
          <cell r="C3399" t="str">
            <v>TRIGAL IMP EXP PROD ALIM LTDA</v>
          </cell>
          <cell r="D3399" t="str">
            <v>6001</v>
          </cell>
          <cell r="E3399" t="str">
            <v>0127</v>
          </cell>
          <cell r="F3399" t="str">
            <v>C1</v>
          </cell>
          <cell r="G3399" t="str">
            <v>BA</v>
          </cell>
          <cell r="H3399" t="str">
            <v>DISTRIBUIÇÃO</v>
          </cell>
          <cell r="I3399" t="str">
            <v>FOOD SERVICE</v>
          </cell>
          <cell r="J3399" t="str">
            <v>CLAUDIO JORGE/LUIZ</v>
          </cell>
          <cell r="K3399" t="str">
            <v>ITAMBÉ</v>
          </cell>
          <cell r="L3399" t="str">
            <v>RODRIGO</v>
          </cell>
          <cell r="M3399" t="str">
            <v>MARIA LOURDES</v>
          </cell>
        </row>
        <row r="3400">
          <cell r="B3400">
            <v>5040108</v>
          </cell>
          <cell r="C3400" t="str">
            <v>CCN COMERCIO CENTRO NORTE ALIM LTDA</v>
          </cell>
          <cell r="D3400" t="str">
            <v>6001</v>
          </cell>
          <cell r="E3400" t="str">
            <v>0169</v>
          </cell>
          <cell r="F3400" t="str">
            <v>C1</v>
          </cell>
          <cell r="G3400" t="str">
            <v>RJ</v>
          </cell>
          <cell r="H3400" t="str">
            <v>DISTRIBUIÇÃO</v>
          </cell>
          <cell r="I3400" t="str">
            <v>FOOD SERVICE</v>
          </cell>
          <cell r="J3400" t="str">
            <v>CLAUDIO JORGE</v>
          </cell>
          <cell r="K3400" t="str">
            <v>ITAMBÉ</v>
          </cell>
          <cell r="L3400" t="str">
            <v>RODRIGO</v>
          </cell>
          <cell r="M3400" t="str">
            <v>JESSICA</v>
          </cell>
        </row>
        <row r="3401">
          <cell r="B3401">
            <v>5045012</v>
          </cell>
          <cell r="C3401" t="str">
            <v>BEBIDAS NOVA ENGENHOCA EILERI</v>
          </cell>
          <cell r="D3401" t="str">
            <v>6001</v>
          </cell>
          <cell r="E3401" t="str">
            <v>0125</v>
          </cell>
          <cell r="F3401" t="str">
            <v>C1</v>
          </cell>
          <cell r="G3401" t="str">
            <v>SP</v>
          </cell>
          <cell r="H3401" t="str">
            <v>INGREDIENTS</v>
          </cell>
          <cell r="I3401" t="str">
            <v>INGREDIENTS</v>
          </cell>
          <cell r="J3401" t="str">
            <v>TATIANA NITTA</v>
          </cell>
          <cell r="K3401" t="str">
            <v>ITAMBÉ</v>
          </cell>
          <cell r="L3401" t="str">
            <v>MAURICIO</v>
          </cell>
          <cell r="M3401" t="str">
            <v>TATIANA NITTA</v>
          </cell>
        </row>
        <row r="3402">
          <cell r="B3402">
            <v>5058881</v>
          </cell>
          <cell r="C3402" t="str">
            <v>GR SERVICOS E ALIMENTACAO LTDA</v>
          </cell>
          <cell r="D3402" t="str">
            <v>6001</v>
          </cell>
          <cell r="E3402" t="str">
            <v>0028</v>
          </cell>
          <cell r="F3402" t="str">
            <v>C1</v>
          </cell>
          <cell r="G3402" t="str">
            <v>SP</v>
          </cell>
          <cell r="H3402" t="str">
            <v>QSR</v>
          </cell>
          <cell r="I3402" t="str">
            <v>FOOD SERVICE</v>
          </cell>
          <cell r="J3402" t="str">
            <v>NUTRI</v>
          </cell>
          <cell r="K3402" t="str">
            <v>ITAMBÉ</v>
          </cell>
          <cell r="L3402" t="str">
            <v>PEDRO</v>
          </cell>
          <cell r="M3402" t="str">
            <v>VAGO QSR</v>
          </cell>
        </row>
        <row r="3403">
          <cell r="B3403">
            <v>5059971</v>
          </cell>
          <cell r="C3403" t="str">
            <v>GATE GOURMET LT</v>
          </cell>
          <cell r="D3403" t="str">
            <v>6001</v>
          </cell>
          <cell r="E3403" t="str">
            <v>0125</v>
          </cell>
          <cell r="F3403" t="str">
            <v>C1</v>
          </cell>
          <cell r="G3403" t="str">
            <v>SP</v>
          </cell>
          <cell r="H3403" t="str">
            <v>QSR</v>
          </cell>
          <cell r="I3403" t="str">
            <v>FOOD SERVICE</v>
          </cell>
          <cell r="J3403" t="str">
            <v>ANA MENIQUETE</v>
          </cell>
          <cell r="K3403" t="str">
            <v>ITAMBÉ</v>
          </cell>
          <cell r="L3403" t="str">
            <v>PEDRO</v>
          </cell>
          <cell r="M3403" t="str">
            <v>ANA MENIQUETE</v>
          </cell>
        </row>
        <row r="3404">
          <cell r="B3404">
            <v>5070522</v>
          </cell>
          <cell r="C3404" t="str">
            <v>WEA COM DE PROD DE PANIF LTDA</v>
          </cell>
          <cell r="D3404" t="str">
            <v>6001</v>
          </cell>
          <cell r="E3404" t="str">
            <v>0125</v>
          </cell>
          <cell r="F3404" t="str">
            <v>C1</v>
          </cell>
          <cell r="G3404" t="str">
            <v>SP</v>
          </cell>
          <cell r="H3404" t="str">
            <v>DISTRIBUIÇÃO</v>
          </cell>
          <cell r="I3404" t="str">
            <v>FOOD SERVICE</v>
          </cell>
          <cell r="J3404" t="str">
            <v>GUILHERME NASCIMENTO</v>
          </cell>
          <cell r="K3404" t="str">
            <v>ITAMBÉ</v>
          </cell>
          <cell r="L3404" t="str">
            <v>RODRIGO</v>
          </cell>
          <cell r="M3404" t="str">
            <v>ALEXANDRO</v>
          </cell>
        </row>
        <row r="3405">
          <cell r="B3405">
            <v>5077852</v>
          </cell>
          <cell r="C3405" t="str">
            <v>RODRIGO FITZGERALD LUPIANHES</v>
          </cell>
          <cell r="D3405" t="str">
            <v>6001</v>
          </cell>
          <cell r="E3405" t="str">
            <v>0125</v>
          </cell>
          <cell r="F3405" t="str">
            <v>C1</v>
          </cell>
          <cell r="G3405" t="str">
            <v>SP</v>
          </cell>
          <cell r="H3405" t="str">
            <v>DISTRIBUIÇÃO</v>
          </cell>
          <cell r="I3405" t="str">
            <v>FOOD SERVICE</v>
          </cell>
          <cell r="J3405" t="str">
            <v>ALEXANDRE BONANI</v>
          </cell>
          <cell r="K3405" t="str">
            <v>ITAMBÉ</v>
          </cell>
          <cell r="L3405" t="str">
            <v>RODRIGO</v>
          </cell>
          <cell r="M3405" t="str">
            <v>ALEXANDRE BONANI</v>
          </cell>
        </row>
        <row r="3406">
          <cell r="B3406">
            <v>5083008</v>
          </cell>
          <cell r="C3406" t="str">
            <v>ADRIPAN PRODUTOS PARA PANIFICACAO L</v>
          </cell>
          <cell r="D3406" t="str">
            <v>6001</v>
          </cell>
          <cell r="E3406" t="str">
            <v>0125</v>
          </cell>
          <cell r="F3406" t="str">
            <v>C1</v>
          </cell>
          <cell r="G3406" t="str">
            <v>SP</v>
          </cell>
          <cell r="H3406" t="str">
            <v>DISTRIBUIÇÃO</v>
          </cell>
          <cell r="I3406" t="str">
            <v>FOOD SERVICE</v>
          </cell>
          <cell r="J3406" t="str">
            <v>ALEXANDRE BONANI</v>
          </cell>
          <cell r="K3406" t="str">
            <v>ITAMBÉ</v>
          </cell>
          <cell r="L3406" t="str">
            <v>RODRIGO</v>
          </cell>
          <cell r="M3406" t="str">
            <v>ALEXANDRE BONANI</v>
          </cell>
        </row>
        <row r="3407">
          <cell r="B3407">
            <v>5083201</v>
          </cell>
          <cell r="C3407" t="str">
            <v>SILVA BRAGA COML DE ALIMENTOS LTDA</v>
          </cell>
          <cell r="D3407" t="str">
            <v>6001</v>
          </cell>
          <cell r="E3407" t="str">
            <v>0127</v>
          </cell>
          <cell r="F3407" t="str">
            <v>C1</v>
          </cell>
          <cell r="G3407" t="str">
            <v>CE</v>
          </cell>
          <cell r="H3407" t="str">
            <v>DISTRIBUIÇÃO</v>
          </cell>
          <cell r="I3407" t="str">
            <v>FOOD SERVICE</v>
          </cell>
          <cell r="J3407" t="str">
            <v>WH FOOD SERVICE CE</v>
          </cell>
          <cell r="K3407" t="str">
            <v>ITAMBÉ</v>
          </cell>
          <cell r="L3407" t="str">
            <v>RODRIGO</v>
          </cell>
          <cell r="M3407" t="str">
            <v>MARIA LOURDES</v>
          </cell>
        </row>
        <row r="3408">
          <cell r="B3408">
            <v>5105392</v>
          </cell>
          <cell r="C3408" t="str">
            <v>PEC COM DE DOCES E ORG DE FESTAS LT</v>
          </cell>
          <cell r="D3408" t="str">
            <v>6001</v>
          </cell>
          <cell r="E3408" t="str">
            <v>0125</v>
          </cell>
          <cell r="F3408" t="str">
            <v>C1</v>
          </cell>
          <cell r="G3408" t="str">
            <v>SP</v>
          </cell>
          <cell r="H3408" t="str">
            <v>DISTRIBUIÇÃO</v>
          </cell>
          <cell r="I3408" t="str">
            <v>FOOD SERVICE</v>
          </cell>
          <cell r="J3408" t="str">
            <v>SP ITB FS FLAC REP.E COMERCIO</v>
          </cell>
          <cell r="K3408" t="str">
            <v>ITAMBÉ</v>
          </cell>
          <cell r="L3408" t="str">
            <v>RODRIGO</v>
          </cell>
          <cell r="M3408" t="str">
            <v>RAQUEL BARBOSA</v>
          </cell>
        </row>
        <row r="3409">
          <cell r="B3409">
            <v>5105940</v>
          </cell>
          <cell r="C3409" t="str">
            <v>MERCANTIL PRIMAR LTDA</v>
          </cell>
          <cell r="D3409" t="str">
            <v>6001</v>
          </cell>
          <cell r="E3409" t="str">
            <v>0125</v>
          </cell>
          <cell r="F3409" t="str">
            <v>C1</v>
          </cell>
          <cell r="G3409" t="str">
            <v>SP</v>
          </cell>
          <cell r="H3409" t="str">
            <v>DISTRIBUIÇÃO</v>
          </cell>
          <cell r="I3409" t="str">
            <v>FOOD SERVICE</v>
          </cell>
          <cell r="J3409" t="str">
            <v>VAGO SP</v>
          </cell>
          <cell r="K3409" t="str">
            <v>ITAMBÉ</v>
          </cell>
          <cell r="L3409" t="str">
            <v>RODRIGO</v>
          </cell>
          <cell r="M3409" t="str">
            <v>RAQUEL BARBOSA</v>
          </cell>
        </row>
        <row r="3410">
          <cell r="B3410">
            <v>5107112</v>
          </cell>
          <cell r="C3410" t="str">
            <v>MACPAN COM E DIST DE PROD ALIM LT M</v>
          </cell>
          <cell r="D3410" t="str">
            <v>6001</v>
          </cell>
          <cell r="E3410" t="str">
            <v>0125</v>
          </cell>
          <cell r="F3410" t="str">
            <v>C1</v>
          </cell>
          <cell r="G3410" t="str">
            <v>SP</v>
          </cell>
          <cell r="H3410" t="str">
            <v>DISTRIBUIÇÃO</v>
          </cell>
          <cell r="I3410" t="str">
            <v>FOOD SERVICE</v>
          </cell>
          <cell r="J3410" t="str">
            <v>GUILHERME NASCIMENTO</v>
          </cell>
          <cell r="K3410" t="str">
            <v>ITAMBÉ</v>
          </cell>
          <cell r="L3410" t="str">
            <v>RODRIGO</v>
          </cell>
          <cell r="M3410" t="str">
            <v>ALEXANDRO</v>
          </cell>
        </row>
        <row r="3411">
          <cell r="B3411">
            <v>5109334</v>
          </cell>
          <cell r="C3411" t="str">
            <v>CENTRAL OSASCO DIST ALIM E BEBI</v>
          </cell>
          <cell r="D3411" t="str">
            <v>6001</v>
          </cell>
          <cell r="E3411" t="str">
            <v>0125</v>
          </cell>
          <cell r="F3411" t="str">
            <v>C1</v>
          </cell>
          <cell r="G3411" t="str">
            <v>SP</v>
          </cell>
          <cell r="H3411" t="str">
            <v>DISTRIBUIÇÃO</v>
          </cell>
          <cell r="I3411" t="str">
            <v>FOOD SERVICE</v>
          </cell>
          <cell r="J3411" t="str">
            <v>SP ITB FS FLAC REP.E COMERCIO</v>
          </cell>
          <cell r="K3411" t="str">
            <v>ITAMBÉ</v>
          </cell>
          <cell r="L3411" t="str">
            <v>RODRIGO</v>
          </cell>
          <cell r="M3411" t="str">
            <v>RAQUEL BARBOSA</v>
          </cell>
        </row>
        <row r="3412">
          <cell r="B3412">
            <v>5109656</v>
          </cell>
          <cell r="C3412" t="str">
            <v>RIBERFOODS PRODUTOS ALIMENTICIOS LT</v>
          </cell>
          <cell r="D3412" t="str">
            <v>6001</v>
          </cell>
          <cell r="E3412" t="str">
            <v>0125</v>
          </cell>
          <cell r="F3412" t="str">
            <v>C1</v>
          </cell>
          <cell r="G3412" t="str">
            <v>SP</v>
          </cell>
          <cell r="H3412" t="str">
            <v>DISTRIBUIÇÃO</v>
          </cell>
          <cell r="I3412" t="str">
            <v>FOOD SERVICE</v>
          </cell>
          <cell r="J3412" t="str">
            <v>ALEXANDRE BONANI</v>
          </cell>
          <cell r="K3412" t="str">
            <v>ITAMBÉ</v>
          </cell>
          <cell r="L3412" t="str">
            <v>RODRIGO</v>
          </cell>
          <cell r="M3412" t="str">
            <v>ALEXANDRE BONANI</v>
          </cell>
        </row>
        <row r="3413">
          <cell r="B3413">
            <v>5109682</v>
          </cell>
          <cell r="C3413" t="str">
            <v>FERPEREZ COMERCIO DE ALIMENTOS</v>
          </cell>
          <cell r="D3413" t="str">
            <v>6001</v>
          </cell>
          <cell r="E3413" t="str">
            <v>0125</v>
          </cell>
          <cell r="F3413" t="str">
            <v>C1</v>
          </cell>
          <cell r="G3413" t="str">
            <v>SP</v>
          </cell>
          <cell r="H3413" t="str">
            <v>DISTRIBUIÇÃO</v>
          </cell>
          <cell r="I3413" t="str">
            <v>FOOD SERVICE</v>
          </cell>
          <cell r="J3413" t="str">
            <v>VAGO SP</v>
          </cell>
          <cell r="K3413" t="str">
            <v>ITAMBÉ</v>
          </cell>
          <cell r="L3413" t="str">
            <v>RODRIGO</v>
          </cell>
          <cell r="M3413" t="str">
            <v>RAQUEL BARBOSA</v>
          </cell>
        </row>
        <row r="3414">
          <cell r="B3414">
            <v>5110498</v>
          </cell>
          <cell r="C3414" t="str">
            <v>ZANEPAN COM ATAC DE GENEROS ALIM EI</v>
          </cell>
          <cell r="D3414" t="str">
            <v>6001</v>
          </cell>
          <cell r="E3414" t="str">
            <v>0169</v>
          </cell>
          <cell r="F3414" t="str">
            <v>C1</v>
          </cell>
          <cell r="G3414" t="str">
            <v>ES</v>
          </cell>
          <cell r="H3414" t="str">
            <v>DISTRIBUIÇÃO</v>
          </cell>
          <cell r="I3414" t="str">
            <v>FOOD SERVICE</v>
          </cell>
          <cell r="J3414" t="str">
            <v>MARCELO DUARTE</v>
          </cell>
          <cell r="K3414" t="str">
            <v>ITAMBÉ</v>
          </cell>
          <cell r="L3414" t="str">
            <v>RODRIGO</v>
          </cell>
          <cell r="M3414" t="str">
            <v>JESSICA</v>
          </cell>
        </row>
        <row r="3415">
          <cell r="B3415">
            <v>5110662</v>
          </cell>
          <cell r="C3415" t="str">
            <v>CANELA E CIA RESTAURANTE LTDA</v>
          </cell>
          <cell r="D3415" t="str">
            <v>6001</v>
          </cell>
          <cell r="E3415" t="str">
            <v>0127</v>
          </cell>
          <cell r="F3415" t="str">
            <v>C1</v>
          </cell>
          <cell r="G3415" t="str">
            <v>BA</v>
          </cell>
          <cell r="H3415" t="str">
            <v>DISTRIBUIÇÃO</v>
          </cell>
          <cell r="I3415" t="str">
            <v>FOOD SERVICE</v>
          </cell>
          <cell r="J3415" t="str">
            <v>CLAUDIO JORGE/LUIZ</v>
          </cell>
          <cell r="K3415" t="str">
            <v>ITAMBÉ</v>
          </cell>
          <cell r="L3415" t="str">
            <v>RODRIGO</v>
          </cell>
          <cell r="M3415" t="str">
            <v>MARIA LOURDES</v>
          </cell>
        </row>
        <row r="3416">
          <cell r="B3416">
            <v>5111398</v>
          </cell>
          <cell r="C3416" t="str">
            <v>SCANIA LATIN AMERICA LTDA</v>
          </cell>
          <cell r="D3416" t="str">
            <v>6001</v>
          </cell>
          <cell r="E3416" t="str">
            <v>0125</v>
          </cell>
          <cell r="F3416" t="str">
            <v>C1</v>
          </cell>
          <cell r="G3416" t="str">
            <v>SP</v>
          </cell>
          <cell r="H3416" t="str">
            <v>QSR</v>
          </cell>
          <cell r="I3416" t="str">
            <v>FOOD SERVICE</v>
          </cell>
          <cell r="J3416" t="str">
            <v>VAGO QSR</v>
          </cell>
          <cell r="K3416" t="str">
            <v>ITAMBÉ</v>
          </cell>
          <cell r="L3416" t="str">
            <v>PEDRO</v>
          </cell>
          <cell r="M3416" t="str">
            <v>VAGO QSR</v>
          </cell>
        </row>
        <row r="3417">
          <cell r="B3417">
            <v>5114387</v>
          </cell>
          <cell r="C3417" t="str">
            <v>JAQUELINI CARDOSO COSTA DA SILV</v>
          </cell>
          <cell r="D3417" t="str">
            <v>6001</v>
          </cell>
          <cell r="E3417" t="str">
            <v>0125</v>
          </cell>
          <cell r="F3417" t="str">
            <v>C1</v>
          </cell>
          <cell r="G3417" t="str">
            <v>SP</v>
          </cell>
          <cell r="H3417" t="str">
            <v>INGREDIENTS</v>
          </cell>
          <cell r="I3417" t="str">
            <v>INGREDIENTS</v>
          </cell>
          <cell r="J3417" t="str">
            <v>HENRIQUE FERREIRA</v>
          </cell>
          <cell r="K3417" t="str">
            <v>ITAMBÉ</v>
          </cell>
          <cell r="L3417" t="str">
            <v>MAURICIO</v>
          </cell>
          <cell r="M3417" t="str">
            <v>JOEL</v>
          </cell>
        </row>
        <row r="3418">
          <cell r="B3418">
            <v>5114882</v>
          </cell>
          <cell r="C3418" t="str">
            <v>SORVEDOCES IND E COM DE PROD ALIM L</v>
          </cell>
          <cell r="D3418" t="str">
            <v>6001</v>
          </cell>
          <cell r="E3418" t="str">
            <v>0169</v>
          </cell>
          <cell r="F3418" t="str">
            <v>C1</v>
          </cell>
          <cell r="G3418" t="str">
            <v>ES</v>
          </cell>
          <cell r="H3418" t="str">
            <v>DISTRIBUIÇÃO</v>
          </cell>
          <cell r="I3418" t="str">
            <v>FOOD SERVICE</v>
          </cell>
          <cell r="J3418" t="str">
            <v>MARCELO DUARTE</v>
          </cell>
          <cell r="K3418" t="str">
            <v>ITAMBÉ</v>
          </cell>
          <cell r="L3418" t="str">
            <v>RODRIGO</v>
          </cell>
          <cell r="M3418" t="str">
            <v>JESSICA</v>
          </cell>
        </row>
        <row r="3419">
          <cell r="B3419">
            <v>5115019</v>
          </cell>
          <cell r="C3419" t="str">
            <v>J ARAUJO DISTRIBUIDORA IMP E EXP SA</v>
          </cell>
          <cell r="D3419" t="str">
            <v>6001</v>
          </cell>
          <cell r="E3419" t="str">
            <v>0169</v>
          </cell>
          <cell r="F3419" t="str">
            <v>C1</v>
          </cell>
          <cell r="G3419" t="str">
            <v>RJ</v>
          </cell>
          <cell r="H3419" t="str">
            <v>DISTRIBUIÇÃO</v>
          </cell>
          <cell r="I3419" t="str">
            <v>FOOD SERVICE</v>
          </cell>
          <cell r="J3419" t="str">
            <v>JESSICA CARLA</v>
          </cell>
          <cell r="K3419" t="str">
            <v>ITAMBÉ</v>
          </cell>
          <cell r="L3419" t="str">
            <v>RODRIGO</v>
          </cell>
          <cell r="M3419" t="str">
            <v>JESSICA</v>
          </cell>
        </row>
        <row r="3420">
          <cell r="B3420">
            <v>5115814</v>
          </cell>
          <cell r="C3420" t="str">
            <v>HAND BAKER DIST DE PROD P PANIF EIR</v>
          </cell>
          <cell r="D3420" t="str">
            <v>6001</v>
          </cell>
          <cell r="E3420" t="str">
            <v>0169</v>
          </cell>
          <cell r="F3420" t="str">
            <v>C1</v>
          </cell>
          <cell r="G3420" t="str">
            <v>RJ</v>
          </cell>
          <cell r="H3420" t="str">
            <v>DISTRIBUIÇÃO</v>
          </cell>
          <cell r="I3420" t="str">
            <v>FOOD SERVICE</v>
          </cell>
          <cell r="J3420" t="str">
            <v>JULIANA CORDEIRO</v>
          </cell>
          <cell r="K3420" t="str">
            <v>ITAMBÉ</v>
          </cell>
          <cell r="L3420" t="str">
            <v>RODRIGO</v>
          </cell>
          <cell r="M3420" t="str">
            <v>JESSICA</v>
          </cell>
        </row>
        <row r="3421">
          <cell r="B3421">
            <v>5118346</v>
          </cell>
          <cell r="C3421" t="str">
            <v>CONFESPAN COMERCIO E DISTRIBUICAO L</v>
          </cell>
          <cell r="D3421" t="str">
            <v>6001</v>
          </cell>
          <cell r="E3421" t="str">
            <v>0125</v>
          </cell>
          <cell r="F3421" t="str">
            <v>C1</v>
          </cell>
          <cell r="G3421" t="str">
            <v>SP</v>
          </cell>
          <cell r="H3421" t="str">
            <v>DISTRIBUIÇÃO</v>
          </cell>
          <cell r="I3421" t="str">
            <v>FOOD SERVICE</v>
          </cell>
          <cell r="J3421" t="str">
            <v>VAGO SP</v>
          </cell>
          <cell r="K3421" t="str">
            <v>ITAMBÉ</v>
          </cell>
          <cell r="L3421" t="str">
            <v>RODRIGO</v>
          </cell>
          <cell r="M3421" t="str">
            <v>RAQUEL BARBOSA</v>
          </cell>
        </row>
        <row r="3422">
          <cell r="B3422">
            <v>5122245</v>
          </cell>
          <cell r="C3422" t="str">
            <v>NOVAMIX FOOD SERVICE COM DE ALIM LT</v>
          </cell>
          <cell r="D3422" t="str">
            <v>6001</v>
          </cell>
          <cell r="E3422" t="str">
            <v>0169</v>
          </cell>
          <cell r="F3422" t="str">
            <v>C1</v>
          </cell>
          <cell r="G3422" t="str">
            <v>RJ</v>
          </cell>
          <cell r="H3422" t="str">
            <v>DISTRIBUIÇÃO</v>
          </cell>
          <cell r="I3422" t="str">
            <v>FOOD SERVICE</v>
          </cell>
          <cell r="J3422" t="str">
            <v>JULIANA CORDEIRO</v>
          </cell>
          <cell r="K3422" t="str">
            <v>ITAMBÉ</v>
          </cell>
          <cell r="L3422" t="str">
            <v>RODRIGO</v>
          </cell>
          <cell r="M3422" t="str">
            <v>JESSICA</v>
          </cell>
        </row>
        <row r="3423">
          <cell r="B3423">
            <v>5127549</v>
          </cell>
          <cell r="C3423" t="str">
            <v>SECOMANDI IND E COM DE SORVETES LTD</v>
          </cell>
          <cell r="D3423" t="str">
            <v>6001</v>
          </cell>
          <cell r="E3423" t="str">
            <v>0122</v>
          </cell>
          <cell r="F3423" t="str">
            <v>C1</v>
          </cell>
          <cell r="G3423" t="str">
            <v>ES</v>
          </cell>
          <cell r="H3423" t="str">
            <v>INGREDIENTS</v>
          </cell>
          <cell r="I3423" t="str">
            <v>INGREDIENTS</v>
          </cell>
          <cell r="J3423" t="str">
            <v>HENRIQUE FERREIRA</v>
          </cell>
          <cell r="K3423" t="str">
            <v>ITAMBÉ</v>
          </cell>
          <cell r="L3423" t="str">
            <v>MAURICIO</v>
          </cell>
          <cell r="M3423" t="str">
            <v>JOEL</v>
          </cell>
        </row>
        <row r="3424">
          <cell r="B3424">
            <v>5130343</v>
          </cell>
          <cell r="C3424" t="str">
            <v>CDI BARRA PROD IMP E EXPORTACAO LTD</v>
          </cell>
          <cell r="D3424" t="str">
            <v>6001</v>
          </cell>
          <cell r="E3424" t="str">
            <v>0125</v>
          </cell>
          <cell r="F3424" t="str">
            <v>C1</v>
          </cell>
          <cell r="G3424" t="str">
            <v>SP</v>
          </cell>
          <cell r="H3424" t="str">
            <v>DISTRIBUIÇÃO</v>
          </cell>
          <cell r="I3424" t="str">
            <v>FOOD SERVICE</v>
          </cell>
          <cell r="J3424" t="str">
            <v>SP ITB FS FLAC REP.E COMERCIO</v>
          </cell>
          <cell r="K3424" t="str">
            <v>ITAMBÉ</v>
          </cell>
          <cell r="L3424" t="str">
            <v>RODRIGO</v>
          </cell>
          <cell r="M3424" t="str">
            <v>RAQUEL BARBOSA</v>
          </cell>
        </row>
        <row r="3425">
          <cell r="B3425">
            <v>5130738</v>
          </cell>
          <cell r="C3425" t="str">
            <v>ODAIR JOSE DA SILVA COUTO 882126105</v>
          </cell>
          <cell r="D3425" t="str">
            <v>6001</v>
          </cell>
          <cell r="E3425" t="str">
            <v>0127</v>
          </cell>
          <cell r="F3425" t="str">
            <v>C1</v>
          </cell>
          <cell r="G3425" t="str">
            <v>BA</v>
          </cell>
          <cell r="H3425" t="str">
            <v>DISTRIBUIÇÃO</v>
          </cell>
          <cell r="I3425" t="str">
            <v>FOOD SERVICE</v>
          </cell>
          <cell r="J3425" t="str">
            <v>CLAUDIO JORGE/LUIZ</v>
          </cell>
          <cell r="K3425" t="str">
            <v>ITAMBÉ</v>
          </cell>
          <cell r="L3425" t="str">
            <v>RODRIGO</v>
          </cell>
          <cell r="M3425" t="str">
            <v>MARIA LOURDES</v>
          </cell>
        </row>
        <row r="3426">
          <cell r="B3426">
            <v>5131101</v>
          </cell>
          <cell r="C3426" t="str">
            <v>GRANO NICOLETTI COM ALIM LTDA</v>
          </cell>
          <cell r="D3426" t="str">
            <v>6001</v>
          </cell>
          <cell r="E3426" t="str">
            <v>0125</v>
          </cell>
          <cell r="F3426" t="str">
            <v>C1</v>
          </cell>
          <cell r="G3426" t="str">
            <v>SP</v>
          </cell>
          <cell r="H3426" t="str">
            <v>DISTRIBUIÇÃO</v>
          </cell>
          <cell r="I3426" t="str">
            <v>FOOD SERVICE</v>
          </cell>
          <cell r="J3426" t="str">
            <v>VAGO SP</v>
          </cell>
          <cell r="K3426" t="str">
            <v>ITAMBÉ</v>
          </cell>
          <cell r="L3426" t="str">
            <v>RODRIGO</v>
          </cell>
          <cell r="M3426" t="str">
            <v>RAQUEL BARBOSA</v>
          </cell>
        </row>
        <row r="3427">
          <cell r="B3427">
            <v>5141420</v>
          </cell>
          <cell r="C3427" t="str">
            <v>UNIPAN COMERCIO DE PROD ALIM LT</v>
          </cell>
          <cell r="D3427" t="str">
            <v>6001</v>
          </cell>
          <cell r="E3427" t="str">
            <v>0123</v>
          </cell>
          <cell r="F3427" t="str">
            <v>C1</v>
          </cell>
          <cell r="G3427" t="str">
            <v>DF</v>
          </cell>
          <cell r="H3427" t="str">
            <v>DISTRIBUIÇÃO</v>
          </cell>
          <cell r="I3427" t="str">
            <v>FOOD SERVICE</v>
          </cell>
          <cell r="J3427" t="str">
            <v>MARCO AURELIO</v>
          </cell>
          <cell r="K3427" t="str">
            <v>ITAMBÉ</v>
          </cell>
          <cell r="L3427" t="str">
            <v>RODRIGO</v>
          </cell>
          <cell r="M3427" t="str">
            <v>MARCO AURELIO</v>
          </cell>
        </row>
        <row r="3428">
          <cell r="B3428">
            <v>5144654</v>
          </cell>
          <cell r="C3428" t="str">
            <v>SAUIPE SA</v>
          </cell>
          <cell r="D3428" t="str">
            <v>6001</v>
          </cell>
          <cell r="E3428" t="str">
            <v>0127</v>
          </cell>
          <cell r="F3428" t="str">
            <v>C1</v>
          </cell>
          <cell r="G3428" t="str">
            <v>BA</v>
          </cell>
          <cell r="H3428" t="str">
            <v>DISTRIBUIÇÃO</v>
          </cell>
          <cell r="I3428" t="str">
            <v>FOOD SERVICE</v>
          </cell>
          <cell r="J3428" t="str">
            <v>CLAUDIO JORGE/LUIZ</v>
          </cell>
          <cell r="K3428" t="str">
            <v>ITAMBÉ</v>
          </cell>
          <cell r="L3428" t="str">
            <v>RODRIGO</v>
          </cell>
          <cell r="M3428" t="str">
            <v>MARIA LOURDES</v>
          </cell>
        </row>
        <row r="3429">
          <cell r="B3429">
            <v>5147462</v>
          </cell>
          <cell r="C3429" t="str">
            <v>NOVAMIX FOOD SERV COM DE ALIM LTDA</v>
          </cell>
          <cell r="D3429" t="str">
            <v>6001</v>
          </cell>
          <cell r="E3429" t="str">
            <v>0169</v>
          </cell>
          <cell r="F3429" t="str">
            <v>C1</v>
          </cell>
          <cell r="G3429" t="str">
            <v>RJ</v>
          </cell>
          <cell r="H3429" t="str">
            <v>DISTRIBUIÇÃO</v>
          </cell>
          <cell r="I3429" t="str">
            <v>FOOD SERVICE</v>
          </cell>
          <cell r="J3429" t="str">
            <v>JULIANA CORDEIRO</v>
          </cell>
          <cell r="K3429" t="str">
            <v>ITAMBÉ</v>
          </cell>
          <cell r="L3429" t="str">
            <v>RODRIGO</v>
          </cell>
          <cell r="M3429" t="str">
            <v>JESSICA</v>
          </cell>
        </row>
        <row r="3430">
          <cell r="B3430">
            <v>5147526</v>
          </cell>
          <cell r="C3430" t="str">
            <v>SAPORE SA</v>
          </cell>
          <cell r="D3430" t="str">
            <v>6001</v>
          </cell>
          <cell r="E3430" t="str">
            <v>0028</v>
          </cell>
          <cell r="F3430" t="str">
            <v>C1</v>
          </cell>
          <cell r="G3430" t="str">
            <v>RJ</v>
          </cell>
          <cell r="H3430" t="str">
            <v>QSR</v>
          </cell>
          <cell r="I3430" t="str">
            <v>FOOD SERVICE</v>
          </cell>
          <cell r="J3430" t="str">
            <v>NUTRI</v>
          </cell>
          <cell r="K3430" t="str">
            <v>ITAMBÉ</v>
          </cell>
          <cell r="L3430" t="str">
            <v>PEDRO</v>
          </cell>
          <cell r="M3430" t="str">
            <v>VAGO QSR</v>
          </cell>
        </row>
        <row r="3431">
          <cell r="B3431">
            <v>5149985</v>
          </cell>
          <cell r="C3431" t="str">
            <v>AROUMAR DISTRIB DE PRODUTOS ALIM LT</v>
          </cell>
          <cell r="D3431" t="str">
            <v>6001</v>
          </cell>
          <cell r="E3431" t="str">
            <v>0125</v>
          </cell>
          <cell r="F3431" t="str">
            <v>C1</v>
          </cell>
          <cell r="G3431" t="str">
            <v>SP</v>
          </cell>
          <cell r="H3431" t="str">
            <v>DISTRIBUIÇÃO</v>
          </cell>
          <cell r="I3431" t="str">
            <v>FOOD SERVICE</v>
          </cell>
          <cell r="J3431" t="str">
            <v>GUILHERME NASCIMENTO</v>
          </cell>
          <cell r="K3431" t="str">
            <v>ITAMBÉ</v>
          </cell>
          <cell r="L3431" t="str">
            <v>RODRIGO</v>
          </cell>
          <cell r="M3431" t="str">
            <v>ALEXANDRO</v>
          </cell>
        </row>
        <row r="3432">
          <cell r="B3432">
            <v>5150495</v>
          </cell>
          <cell r="C3432" t="str">
            <v>CASA DE BOLOS DIST LTDA EPP</v>
          </cell>
          <cell r="D3432" t="str">
            <v>6001</v>
          </cell>
          <cell r="E3432" t="str">
            <v>0125</v>
          </cell>
          <cell r="F3432" t="str">
            <v>C1</v>
          </cell>
          <cell r="G3432" t="str">
            <v>SP</v>
          </cell>
          <cell r="H3432" t="str">
            <v>DISTRIBUIÇÃO</v>
          </cell>
          <cell r="I3432" t="str">
            <v>FOOD SERVICE</v>
          </cell>
          <cell r="J3432" t="str">
            <v>GUILHERME NASCIMENTO</v>
          </cell>
          <cell r="K3432" t="str">
            <v>ITAMBÉ</v>
          </cell>
          <cell r="L3432" t="str">
            <v>RODRIGO</v>
          </cell>
          <cell r="M3432" t="str">
            <v>ALEXANDRO</v>
          </cell>
        </row>
        <row r="3433">
          <cell r="B3433">
            <v>5157891</v>
          </cell>
          <cell r="C3433" t="str">
            <v>NOVA MEGA G ATACADISTA DE ALIM SA</v>
          </cell>
          <cell r="D3433" t="str">
            <v>6001</v>
          </cell>
          <cell r="E3433" t="str">
            <v>0169</v>
          </cell>
          <cell r="F3433" t="str">
            <v>C1</v>
          </cell>
          <cell r="G3433" t="str">
            <v>SP</v>
          </cell>
          <cell r="H3433" t="str">
            <v>DISTRIBUIÇÃO</v>
          </cell>
          <cell r="I3433" t="str">
            <v>FOOD SERVICE</v>
          </cell>
          <cell r="J3433" t="str">
            <v>RAQUEL BARBOSA</v>
          </cell>
          <cell r="K3433" t="str">
            <v>ITAMBÉ</v>
          </cell>
          <cell r="L3433" t="str">
            <v>RODRIGO</v>
          </cell>
          <cell r="M3433" t="str">
            <v>RAQUEL BARBOSA</v>
          </cell>
        </row>
        <row r="3434">
          <cell r="B3434">
            <v>5159289</v>
          </cell>
          <cell r="C3434" t="str">
            <v>FUNCHAL IND COM DE PAPEIS LT</v>
          </cell>
          <cell r="D3434" t="str">
            <v>6001</v>
          </cell>
          <cell r="E3434" t="str">
            <v>0125</v>
          </cell>
          <cell r="F3434" t="str">
            <v>C1</v>
          </cell>
          <cell r="G3434" t="str">
            <v>SP</v>
          </cell>
          <cell r="H3434" t="str">
            <v>DISTRIBUIÇÃO</v>
          </cell>
          <cell r="I3434" t="str">
            <v>FOOD SERVICE</v>
          </cell>
          <cell r="J3434" t="str">
            <v>VAGO SP</v>
          </cell>
          <cell r="K3434" t="str">
            <v>ITAMBÉ</v>
          </cell>
          <cell r="L3434" t="str">
            <v>RODRIGO</v>
          </cell>
          <cell r="M3434" t="str">
            <v>RAQUEL BARBOSA</v>
          </cell>
        </row>
        <row r="3435">
          <cell r="B3435">
            <v>5161386</v>
          </cell>
          <cell r="C3435" t="str">
            <v>TOP ALTO PARTICIPACOES E COM LTDA</v>
          </cell>
          <cell r="D3435" t="str">
            <v>6001</v>
          </cell>
          <cell r="E3435" t="str">
            <v>0169</v>
          </cell>
          <cell r="F3435" t="str">
            <v>C1</v>
          </cell>
          <cell r="G3435" t="str">
            <v>RJ</v>
          </cell>
          <cell r="H3435" t="str">
            <v>DISTRIBUIÇÃO</v>
          </cell>
          <cell r="I3435" t="str">
            <v>FOOD SERVICE</v>
          </cell>
          <cell r="J3435" t="str">
            <v>JESSICA CARLA</v>
          </cell>
          <cell r="K3435" t="str">
            <v>ITAMBÉ</v>
          </cell>
          <cell r="L3435" t="str">
            <v>RODRIGO</v>
          </cell>
          <cell r="M3435" t="str">
            <v>JESSICA</v>
          </cell>
        </row>
        <row r="3436">
          <cell r="B3436">
            <v>5161469</v>
          </cell>
          <cell r="C3436" t="str">
            <v>FORCA TOTAL DIST DE GENE ALIM L</v>
          </cell>
          <cell r="D3436" t="str">
            <v>6001</v>
          </cell>
          <cell r="E3436" t="str">
            <v>0169</v>
          </cell>
          <cell r="F3436" t="str">
            <v>C1</v>
          </cell>
          <cell r="G3436" t="str">
            <v>RJ</v>
          </cell>
          <cell r="H3436" t="str">
            <v>DISTRIBUIÇÃO</v>
          </cell>
          <cell r="I3436" t="str">
            <v>FOOD SERVICE</v>
          </cell>
          <cell r="J3436" t="str">
            <v>LUCIANA MARTINS</v>
          </cell>
          <cell r="K3436" t="str">
            <v>ITAMBÉ</v>
          </cell>
          <cell r="L3436" t="str">
            <v>RODRIGO</v>
          </cell>
          <cell r="M3436" t="str">
            <v>JESSICA</v>
          </cell>
        </row>
        <row r="3437">
          <cell r="B3437">
            <v>5161583</v>
          </cell>
          <cell r="C3437" t="str">
            <v>DOHLER AMERICA LATINA LTDA</v>
          </cell>
          <cell r="D3437" t="str">
            <v>6001</v>
          </cell>
          <cell r="E3437" t="str">
            <v>0125</v>
          </cell>
          <cell r="F3437" t="str">
            <v>C1</v>
          </cell>
          <cell r="G3437" t="str">
            <v>SP</v>
          </cell>
          <cell r="H3437" t="str">
            <v>INGREDIENTS</v>
          </cell>
          <cell r="I3437" t="str">
            <v>INGREDIENTS</v>
          </cell>
          <cell r="J3437" t="str">
            <v>HENRIQUE FERREIRA</v>
          </cell>
          <cell r="K3437" t="str">
            <v>ITAMBÉ</v>
          </cell>
          <cell r="L3437" t="str">
            <v>MAURICIO</v>
          </cell>
          <cell r="M3437" t="str">
            <v>JOEL</v>
          </cell>
        </row>
        <row r="3438">
          <cell r="B3438">
            <v>5164717</v>
          </cell>
          <cell r="C3438" t="str">
            <v>HENDUPAN COM DE PROD CON LTDA</v>
          </cell>
          <cell r="D3438" t="str">
            <v>6001</v>
          </cell>
          <cell r="E3438" t="str">
            <v>0125</v>
          </cell>
          <cell r="F3438" t="str">
            <v>C1</v>
          </cell>
          <cell r="G3438" t="str">
            <v>SP</v>
          </cell>
          <cell r="H3438" t="str">
            <v>DISTRIBUIÇÃO</v>
          </cell>
          <cell r="I3438" t="str">
            <v>FOOD SERVICE</v>
          </cell>
          <cell r="J3438" t="str">
            <v>SP ITB FS FLAC REP.E COMERCIO</v>
          </cell>
          <cell r="K3438" t="str">
            <v>ITAMBÉ</v>
          </cell>
          <cell r="L3438" t="str">
            <v>RODRIGO</v>
          </cell>
          <cell r="M3438" t="str">
            <v>RAQUEL BARBOSA</v>
          </cell>
        </row>
        <row r="3439">
          <cell r="B3439">
            <v>5166159</v>
          </cell>
          <cell r="C3439" t="str">
            <v>JME RAUTA COM DIST LTDA</v>
          </cell>
          <cell r="D3439" t="str">
            <v>6001</v>
          </cell>
          <cell r="E3439" t="str">
            <v>0028</v>
          </cell>
          <cell r="F3439" t="str">
            <v>C1</v>
          </cell>
          <cell r="G3439" t="str">
            <v>RJ</v>
          </cell>
          <cell r="H3439" t="str">
            <v>DISTRIBUIÇÃO</v>
          </cell>
          <cell r="I3439" t="str">
            <v>FOOD SERVICE</v>
          </cell>
          <cell r="J3439" t="str">
            <v>LUCIANA MARTINS</v>
          </cell>
          <cell r="K3439" t="str">
            <v>ITAMBÉ</v>
          </cell>
          <cell r="L3439" t="str">
            <v>RODRIGO</v>
          </cell>
          <cell r="M3439" t="str">
            <v>JESSICA</v>
          </cell>
        </row>
        <row r="3440">
          <cell r="B3440">
            <v>5168811</v>
          </cell>
          <cell r="C3440" t="str">
            <v>ESPACO CHEF COM PROD ALIM DOM LTDA</v>
          </cell>
          <cell r="D3440" t="str">
            <v>6001</v>
          </cell>
          <cell r="E3440" t="str">
            <v>0127</v>
          </cell>
          <cell r="F3440" t="str">
            <v>C1</v>
          </cell>
          <cell r="G3440" t="str">
            <v>CE</v>
          </cell>
          <cell r="H3440" t="str">
            <v>DISTRIBUIÇÃO</v>
          </cell>
          <cell r="I3440" t="str">
            <v>FOOD SERVICE</v>
          </cell>
          <cell r="J3440" t="str">
            <v>WH FOOD SERVICE CE</v>
          </cell>
          <cell r="K3440" t="str">
            <v>ITAMBÉ</v>
          </cell>
          <cell r="L3440" t="str">
            <v>RODRIGO</v>
          </cell>
          <cell r="M3440" t="str">
            <v>MARIA LOURDES</v>
          </cell>
        </row>
        <row r="3441">
          <cell r="B3441">
            <v>5168877</v>
          </cell>
          <cell r="C3441" t="str">
            <v>GILSON PIMENTEL DA SILVA SORVETERIA</v>
          </cell>
          <cell r="D3441" t="str">
            <v>6001</v>
          </cell>
          <cell r="E3441" t="str">
            <v>0028</v>
          </cell>
          <cell r="F3441" t="str">
            <v>C1</v>
          </cell>
          <cell r="G3441" t="str">
            <v>RJ</v>
          </cell>
          <cell r="H3441" t="str">
            <v>INGREDIENTS</v>
          </cell>
          <cell r="I3441" t="str">
            <v>INGREDIENTS</v>
          </cell>
          <cell r="J3441" t="str">
            <v>RJ ITB FS L T MARTINS</v>
          </cell>
          <cell r="K3441" t="str">
            <v>ITAMBÉ</v>
          </cell>
          <cell r="L3441" t="str">
            <v>MAURICIO</v>
          </cell>
          <cell r="M3441" t="str">
            <v>TATIANA NITTA</v>
          </cell>
        </row>
        <row r="3442">
          <cell r="B3442">
            <v>5169592</v>
          </cell>
          <cell r="C3442" t="str">
            <v>ESQUILOS ACAI LTDA ME</v>
          </cell>
          <cell r="D3442" t="str">
            <v>6001</v>
          </cell>
          <cell r="E3442" t="str">
            <v>0028</v>
          </cell>
          <cell r="F3442" t="str">
            <v>C1</v>
          </cell>
          <cell r="G3442" t="str">
            <v>SP</v>
          </cell>
          <cell r="H3442" t="str">
            <v>INGREDIENTS</v>
          </cell>
          <cell r="I3442" t="str">
            <v>INGREDIENTS</v>
          </cell>
          <cell r="J3442" t="str">
            <v>SP ITB FS LUIZ PEREIRA</v>
          </cell>
          <cell r="K3442" t="str">
            <v>ITAMBÉ</v>
          </cell>
          <cell r="L3442" t="str">
            <v>MAURICIO</v>
          </cell>
          <cell r="M3442" t="str">
            <v>TATIANA NITTA</v>
          </cell>
        </row>
        <row r="3443">
          <cell r="B3443">
            <v>5169969</v>
          </cell>
          <cell r="C3443" t="str">
            <v>WCN COM E REPRESENTACAO DE ALIM LTD</v>
          </cell>
          <cell r="D3443" t="str">
            <v>6001</v>
          </cell>
          <cell r="E3443" t="str">
            <v>0127</v>
          </cell>
          <cell r="F3443" t="str">
            <v>C1</v>
          </cell>
          <cell r="G3443" t="str">
            <v>BA</v>
          </cell>
          <cell r="H3443" t="str">
            <v>DISTRIBUIÇÃO</v>
          </cell>
          <cell r="I3443" t="str">
            <v>FOOD SERVICE</v>
          </cell>
          <cell r="J3443" t="str">
            <v>CLAUDIO JORGE/LUIZ</v>
          </cell>
          <cell r="K3443" t="str">
            <v>ITAMBÉ</v>
          </cell>
          <cell r="L3443" t="str">
            <v>RODRIGO</v>
          </cell>
          <cell r="M3443" t="str">
            <v>MARIA LOURDES</v>
          </cell>
        </row>
        <row r="3444">
          <cell r="B3444">
            <v>5170033</v>
          </cell>
          <cell r="C3444" t="str">
            <v>SORVETERIA SANTIAGO LTDA</v>
          </cell>
          <cell r="D3444" t="str">
            <v>6001</v>
          </cell>
          <cell r="E3444" t="str">
            <v>0028</v>
          </cell>
          <cell r="F3444" t="str">
            <v>C1</v>
          </cell>
          <cell r="G3444" t="str">
            <v>BA</v>
          </cell>
          <cell r="H3444" t="str">
            <v>INGREDIENTS</v>
          </cell>
          <cell r="I3444" t="str">
            <v>INGREDIENTS</v>
          </cell>
          <cell r="J3444" t="str">
            <v>BA ITB FS ML FLAVORS</v>
          </cell>
          <cell r="K3444" t="str">
            <v>ITAMBÉ</v>
          </cell>
          <cell r="L3444" t="str">
            <v>MAURICIO</v>
          </cell>
          <cell r="M3444" t="str">
            <v>JOEL</v>
          </cell>
        </row>
        <row r="3445">
          <cell r="B3445">
            <v>5170377</v>
          </cell>
          <cell r="C3445" t="str">
            <v>NUTRIBOM SORVETES EILRELI ME</v>
          </cell>
          <cell r="D3445" t="str">
            <v>6001</v>
          </cell>
          <cell r="E3445" t="str">
            <v>0028</v>
          </cell>
          <cell r="F3445" t="str">
            <v>C1</v>
          </cell>
          <cell r="G3445" t="str">
            <v>RJ</v>
          </cell>
          <cell r="H3445" t="str">
            <v>INGREDIENTS</v>
          </cell>
          <cell r="I3445" t="str">
            <v>INGREDIENTS</v>
          </cell>
          <cell r="J3445" t="str">
            <v>RJ ITB FS L T MARTINS</v>
          </cell>
          <cell r="K3445" t="str">
            <v>ITAMBÉ</v>
          </cell>
          <cell r="L3445" t="str">
            <v>MAURICIO</v>
          </cell>
          <cell r="M3445" t="str">
            <v>TATIANA NITTA</v>
          </cell>
        </row>
        <row r="3446">
          <cell r="B3446">
            <v>5171558</v>
          </cell>
          <cell r="C3446" t="str">
            <v>CASCA E BOLA SORVETERIA LTDA</v>
          </cell>
          <cell r="D3446" t="str">
            <v>6001</v>
          </cell>
          <cell r="E3446" t="str">
            <v>0169</v>
          </cell>
          <cell r="F3446" t="str">
            <v>C1</v>
          </cell>
          <cell r="G3446" t="str">
            <v>RJ</v>
          </cell>
          <cell r="H3446" t="str">
            <v>INGREDIENTS</v>
          </cell>
          <cell r="I3446" t="str">
            <v>INGREDIENTS</v>
          </cell>
          <cell r="J3446" t="str">
            <v>RJ ITB FS CDR REPRESENTAÇÕES</v>
          </cell>
          <cell r="K3446" t="str">
            <v>ITAMBÉ</v>
          </cell>
          <cell r="L3446" t="str">
            <v>MAURICIO</v>
          </cell>
          <cell r="M3446" t="str">
            <v>TATIANA NITTA</v>
          </cell>
        </row>
        <row r="3447">
          <cell r="B3447">
            <v>5172699</v>
          </cell>
          <cell r="C3447" t="str">
            <v>ATOS PAN COM DE PROD ALIM EIRELI</v>
          </cell>
          <cell r="D3447" t="str">
            <v>6001</v>
          </cell>
          <cell r="E3447" t="str">
            <v>0125</v>
          </cell>
          <cell r="F3447" t="str">
            <v>C1</v>
          </cell>
          <cell r="G3447" t="str">
            <v>SP</v>
          </cell>
          <cell r="H3447" t="str">
            <v>DISTRIBUIÇÃO</v>
          </cell>
          <cell r="I3447" t="str">
            <v>FOOD SERVICE</v>
          </cell>
          <cell r="J3447" t="str">
            <v>SP ITB FS FLAC REP.E COMERCIO</v>
          </cell>
          <cell r="K3447" t="str">
            <v>ITAMBÉ</v>
          </cell>
          <cell r="L3447" t="str">
            <v>RODRIGO</v>
          </cell>
          <cell r="M3447" t="str">
            <v>RAQUEL BARBOSA</v>
          </cell>
        </row>
        <row r="3448">
          <cell r="B3448">
            <v>5174259</v>
          </cell>
          <cell r="C3448" t="str">
            <v>MIX TUDO COMERCIO E SERVICOS EI</v>
          </cell>
          <cell r="D3448" t="str">
            <v>6001</v>
          </cell>
          <cell r="E3448" t="str">
            <v>0169</v>
          </cell>
          <cell r="F3448" t="str">
            <v>C1</v>
          </cell>
          <cell r="G3448" t="str">
            <v>ES</v>
          </cell>
          <cell r="H3448" t="str">
            <v>DISTRIBUIÇÃO</v>
          </cell>
          <cell r="I3448" t="str">
            <v>FOOD SERVICE</v>
          </cell>
          <cell r="J3448" t="str">
            <v>MARCELO DUARTE</v>
          </cell>
          <cell r="K3448" t="str">
            <v>ITAMBÉ</v>
          </cell>
          <cell r="L3448" t="str">
            <v>RODRIGO</v>
          </cell>
          <cell r="M3448" t="str">
            <v>JESSICA</v>
          </cell>
        </row>
        <row r="3449">
          <cell r="B3449">
            <v>5174274</v>
          </cell>
          <cell r="C3449" t="str">
            <v>PIMENTA VERDE ALIMENTOS LTDA</v>
          </cell>
          <cell r="D3449" t="str">
            <v>6001</v>
          </cell>
          <cell r="E3449" t="str">
            <v>0125</v>
          </cell>
          <cell r="F3449" t="str">
            <v>C1</v>
          </cell>
          <cell r="G3449" t="str">
            <v>SP</v>
          </cell>
          <cell r="H3449" t="str">
            <v>QSR</v>
          </cell>
          <cell r="I3449" t="str">
            <v>FOOD SERVICE</v>
          </cell>
          <cell r="J3449" t="str">
            <v>VAGO QSR</v>
          </cell>
          <cell r="K3449" t="str">
            <v>ITAMBÉ</v>
          </cell>
          <cell r="L3449" t="str">
            <v>PEDRO</v>
          </cell>
          <cell r="M3449" t="str">
            <v>VAGO QSR</v>
          </cell>
        </row>
        <row r="3450">
          <cell r="B3450">
            <v>5174977</v>
          </cell>
          <cell r="C3450" t="str">
            <v>MARTINS DA COSTA E CIA LTDA</v>
          </cell>
          <cell r="D3450" t="str">
            <v>6001</v>
          </cell>
          <cell r="E3450" t="str">
            <v>0125</v>
          </cell>
          <cell r="F3450" t="str">
            <v>C1</v>
          </cell>
          <cell r="G3450" t="str">
            <v>SP</v>
          </cell>
          <cell r="H3450" t="str">
            <v>QSR</v>
          </cell>
          <cell r="I3450" t="str">
            <v>FOOD SERVICE</v>
          </cell>
          <cell r="J3450" t="str">
            <v>ANA MENIQUETE</v>
          </cell>
          <cell r="K3450" t="str">
            <v>ITAMBÉ</v>
          </cell>
          <cell r="L3450" t="str">
            <v>PEDRO</v>
          </cell>
          <cell r="M3450" t="str">
            <v>ANA MENIQUETE</v>
          </cell>
        </row>
        <row r="3451">
          <cell r="B3451">
            <v>5175205</v>
          </cell>
          <cell r="C3451" t="str">
            <v>CANELA VERDE DIST E TRANSP LTDA ME</v>
          </cell>
          <cell r="D3451" t="str">
            <v>6001</v>
          </cell>
          <cell r="E3451" t="str">
            <v>0169</v>
          </cell>
          <cell r="F3451" t="str">
            <v>C1</v>
          </cell>
          <cell r="G3451" t="str">
            <v>ES</v>
          </cell>
          <cell r="H3451" t="str">
            <v>DISTRIBUIÇÃO</v>
          </cell>
          <cell r="I3451" t="str">
            <v>FOOD SERVICE</v>
          </cell>
          <cell r="J3451" t="str">
            <v>MARCELO DUARTE</v>
          </cell>
          <cell r="K3451" t="str">
            <v>ITAMBÉ</v>
          </cell>
          <cell r="L3451" t="str">
            <v>RODRIGO</v>
          </cell>
          <cell r="M3451" t="str">
            <v>JESSICA</v>
          </cell>
        </row>
        <row r="3452">
          <cell r="B3452">
            <v>5175227</v>
          </cell>
          <cell r="C3452" t="str">
            <v>MASSIMA SOLUCOES EM ALIMENTACAO</v>
          </cell>
          <cell r="D3452" t="str">
            <v>6001</v>
          </cell>
          <cell r="E3452" t="str">
            <v>0125</v>
          </cell>
          <cell r="F3452" t="str">
            <v>C1</v>
          </cell>
          <cell r="G3452" t="str">
            <v>SP</v>
          </cell>
          <cell r="H3452" t="str">
            <v>QSR</v>
          </cell>
          <cell r="I3452" t="str">
            <v>FOOD SERVICE</v>
          </cell>
          <cell r="J3452" t="str">
            <v>NUTRI</v>
          </cell>
          <cell r="K3452" t="str">
            <v>ITAMBÉ</v>
          </cell>
          <cell r="L3452" t="str">
            <v>PEDRO</v>
          </cell>
          <cell r="M3452" t="str">
            <v>VAGO QSR</v>
          </cell>
        </row>
        <row r="3453">
          <cell r="B3453">
            <v>5176053</v>
          </cell>
          <cell r="C3453" t="str">
            <v>BAKELS BRASIL INGREDIENT PARA P</v>
          </cell>
          <cell r="D3453" t="str">
            <v>6001</v>
          </cell>
          <cell r="E3453" t="str">
            <v>0125</v>
          </cell>
          <cell r="F3453" t="str">
            <v>C1</v>
          </cell>
          <cell r="G3453" t="str">
            <v>SP</v>
          </cell>
          <cell r="H3453" t="str">
            <v>INGREDIENTS</v>
          </cell>
          <cell r="I3453" t="str">
            <v>INGREDIENTS</v>
          </cell>
          <cell r="J3453" t="str">
            <v>TATIANA NITTA</v>
          </cell>
          <cell r="K3453" t="str">
            <v>ITAMBÉ</v>
          </cell>
          <cell r="L3453" t="str">
            <v>MAURICIO</v>
          </cell>
          <cell r="M3453" t="str">
            <v>TATIANA NITTA</v>
          </cell>
        </row>
        <row r="3454">
          <cell r="B3454">
            <v>5176952</v>
          </cell>
          <cell r="C3454" t="str">
            <v>CLUBE DO CONFEITEIRO LTDA</v>
          </cell>
          <cell r="D3454" t="str">
            <v>6001</v>
          </cell>
          <cell r="E3454" t="str">
            <v>0125</v>
          </cell>
          <cell r="F3454" t="str">
            <v>C1</v>
          </cell>
          <cell r="G3454" t="str">
            <v>SP</v>
          </cell>
          <cell r="H3454" t="str">
            <v>DISTRIBUIÇÃO</v>
          </cell>
          <cell r="I3454" t="str">
            <v>FOOD SERVICE</v>
          </cell>
          <cell r="J3454" t="str">
            <v>SP ITB FS FLAC REP.E COMERCIO</v>
          </cell>
          <cell r="K3454" t="str">
            <v>ITAMBÉ</v>
          </cell>
          <cell r="L3454" t="str">
            <v>RODRIGO</v>
          </cell>
          <cell r="M3454" t="str">
            <v>RAQUEL BARBOSA</v>
          </cell>
        </row>
        <row r="3455">
          <cell r="B3455">
            <v>5177629</v>
          </cell>
          <cell r="C3455" t="str">
            <v>BFS DISTRIB DE PRODUT ALIMENTIC</v>
          </cell>
          <cell r="D3455" t="str">
            <v>6001</v>
          </cell>
          <cell r="E3455" t="str">
            <v>0127</v>
          </cell>
          <cell r="F3455" t="str">
            <v>C1</v>
          </cell>
          <cell r="G3455" t="str">
            <v>BA</v>
          </cell>
          <cell r="H3455" t="str">
            <v>DISTRIBUIÇÃO</v>
          </cell>
          <cell r="I3455" t="str">
            <v>FOOD SERVICE</v>
          </cell>
          <cell r="J3455" t="str">
            <v>CLAUDIO JORGE/LUIZ</v>
          </cell>
          <cell r="K3455" t="str">
            <v>ITAMBÉ</v>
          </cell>
          <cell r="L3455" t="str">
            <v>RODRIGO</v>
          </cell>
          <cell r="M3455" t="str">
            <v>MARIA LOURDES</v>
          </cell>
        </row>
        <row r="3456">
          <cell r="B3456">
            <v>5178518</v>
          </cell>
          <cell r="C3456" t="str">
            <v>NECHIO COMERCIO DISTRIB DE ALIMENT</v>
          </cell>
          <cell r="D3456" t="str">
            <v>6001</v>
          </cell>
          <cell r="E3456" t="str">
            <v>0169</v>
          </cell>
          <cell r="F3456" t="str">
            <v>C1</v>
          </cell>
          <cell r="G3456" t="str">
            <v>RJ</v>
          </cell>
          <cell r="H3456" t="str">
            <v>DISTRIBUIÇÃO</v>
          </cell>
          <cell r="I3456" t="str">
            <v>FOOD SERVICE</v>
          </cell>
          <cell r="J3456" t="str">
            <v>LUCIANA MARTINS</v>
          </cell>
          <cell r="K3456" t="str">
            <v>ITAMBÉ</v>
          </cell>
          <cell r="L3456" t="str">
            <v>RODRIGO</v>
          </cell>
          <cell r="M3456" t="str">
            <v>JESSICA</v>
          </cell>
        </row>
        <row r="3457">
          <cell r="B3457">
            <v>5179610</v>
          </cell>
          <cell r="C3457" t="str">
            <v>GP EMBALAGENS EIRELI EPP</v>
          </cell>
          <cell r="D3457" t="str">
            <v>6001</v>
          </cell>
          <cell r="E3457" t="str">
            <v>0123</v>
          </cell>
          <cell r="F3457" t="str">
            <v>C1</v>
          </cell>
          <cell r="G3457" t="str">
            <v>MS</v>
          </cell>
          <cell r="H3457" t="str">
            <v>DISTRIBUIÇÃO</v>
          </cell>
          <cell r="I3457" t="str">
            <v>FOOD SERVICE</v>
          </cell>
          <cell r="J3457" t="str">
            <v>MARCO AURELIO</v>
          </cell>
          <cell r="K3457" t="str">
            <v>ITAMBÉ</v>
          </cell>
          <cell r="L3457" t="str">
            <v>RODRIGO</v>
          </cell>
          <cell r="M3457" t="str">
            <v>MARCO AURELIO</v>
          </cell>
        </row>
        <row r="3458">
          <cell r="B3458">
            <v>5181722</v>
          </cell>
          <cell r="C3458" t="str">
            <v>CINDERELA SORVETES LTDA ME</v>
          </cell>
          <cell r="D3458" t="str">
            <v>6001</v>
          </cell>
          <cell r="E3458" t="str">
            <v>0028</v>
          </cell>
          <cell r="F3458" t="str">
            <v>C1</v>
          </cell>
          <cell r="G3458" t="str">
            <v>ES</v>
          </cell>
          <cell r="H3458" t="str">
            <v>INGREDIENTS</v>
          </cell>
          <cell r="I3458" t="str">
            <v>INGREDIENTS</v>
          </cell>
          <cell r="J3458" t="str">
            <v>ES ITB FS RADTKE REPRES</v>
          </cell>
          <cell r="K3458" t="str">
            <v>ITAMBÉ</v>
          </cell>
          <cell r="L3458" t="str">
            <v>MAURICIO</v>
          </cell>
          <cell r="M3458" t="str">
            <v>JOEL</v>
          </cell>
        </row>
        <row r="3459">
          <cell r="B3459">
            <v>5182195</v>
          </cell>
          <cell r="C3459" t="str">
            <v>VR BUZIM COMERCIO PROD ALIMENTICIOS</v>
          </cell>
          <cell r="D3459" t="str">
            <v>6001</v>
          </cell>
          <cell r="E3459" t="str">
            <v>0169</v>
          </cell>
          <cell r="F3459" t="str">
            <v>C1</v>
          </cell>
          <cell r="G3459" t="str">
            <v>ES</v>
          </cell>
          <cell r="H3459" t="str">
            <v>DISTRIBUIÇÃO</v>
          </cell>
          <cell r="I3459" t="str">
            <v>FOOD SERVICE</v>
          </cell>
          <cell r="J3459" t="str">
            <v>MARCELO DUARTE</v>
          </cell>
          <cell r="K3459" t="str">
            <v>ITAMBÉ</v>
          </cell>
          <cell r="L3459" t="str">
            <v>RODRIGO</v>
          </cell>
          <cell r="M3459" t="str">
            <v>JESSICA</v>
          </cell>
        </row>
        <row r="3460">
          <cell r="B3460">
            <v>5182318</v>
          </cell>
          <cell r="C3460" t="str">
            <v>MARQUISE EMPREENDIMENTOS SA</v>
          </cell>
          <cell r="D3460" t="str">
            <v>6001</v>
          </cell>
          <cell r="E3460" t="str">
            <v>0127</v>
          </cell>
          <cell r="F3460" t="str">
            <v>C1</v>
          </cell>
          <cell r="G3460" t="str">
            <v>CE</v>
          </cell>
          <cell r="H3460" t="str">
            <v>DISTRIBUIÇÃO</v>
          </cell>
          <cell r="I3460" t="str">
            <v>FOOD SERVICE</v>
          </cell>
          <cell r="J3460" t="str">
            <v>WH FOOD SERVICE CE</v>
          </cell>
          <cell r="K3460" t="str">
            <v>ITAMBÉ</v>
          </cell>
          <cell r="L3460" t="str">
            <v>RODRIGO</v>
          </cell>
          <cell r="M3460" t="str">
            <v>MARIA LOURDES</v>
          </cell>
        </row>
        <row r="3461">
          <cell r="B3461">
            <v>5182435</v>
          </cell>
          <cell r="C3461" t="str">
            <v>NOVAMIX FOOD SERVICE COM DE ALIM LT</v>
          </cell>
          <cell r="D3461" t="str">
            <v>6001</v>
          </cell>
          <cell r="E3461" t="str">
            <v>0169</v>
          </cell>
          <cell r="F3461" t="str">
            <v>C1</v>
          </cell>
          <cell r="G3461" t="str">
            <v>RJ</v>
          </cell>
          <cell r="H3461" t="str">
            <v>DISTRIBUIÇÃO</v>
          </cell>
          <cell r="I3461" t="str">
            <v>FOOD SERVICE</v>
          </cell>
          <cell r="J3461" t="str">
            <v>JULIANA CORDEIRO</v>
          </cell>
          <cell r="K3461" t="str">
            <v>ITAMBÉ</v>
          </cell>
          <cell r="L3461" t="str">
            <v>RODRIGO</v>
          </cell>
          <cell r="M3461" t="str">
            <v>JESSICA</v>
          </cell>
        </row>
        <row r="3462">
          <cell r="B3462">
            <v>5182512</v>
          </cell>
          <cell r="C3462" t="str">
            <v>DOCA COMERCIO DE PROD ALIM LTDA</v>
          </cell>
          <cell r="D3462" t="str">
            <v>6001</v>
          </cell>
          <cell r="E3462" t="str">
            <v>0127</v>
          </cell>
          <cell r="F3462" t="str">
            <v>C1</v>
          </cell>
          <cell r="G3462" t="str">
            <v>CE</v>
          </cell>
          <cell r="H3462" t="str">
            <v>DISTRIBUIÇÃO</v>
          </cell>
          <cell r="I3462" t="str">
            <v>FOOD SERVICE</v>
          </cell>
          <cell r="J3462" t="str">
            <v>WH FOOD SERVICE CE</v>
          </cell>
          <cell r="K3462" t="str">
            <v>ITAMBÉ</v>
          </cell>
          <cell r="L3462" t="str">
            <v>RODRIGO</v>
          </cell>
          <cell r="M3462" t="str">
            <v>MARIA LOURDES</v>
          </cell>
        </row>
        <row r="3463">
          <cell r="B3463">
            <v>5182718</v>
          </cell>
          <cell r="C3463" t="str">
            <v>BARAO DO ACAI COMERCIAL LTDA ME</v>
          </cell>
          <cell r="D3463" t="str">
            <v>6001</v>
          </cell>
          <cell r="E3463" t="str">
            <v>0122</v>
          </cell>
          <cell r="F3463" t="str">
            <v>C1</v>
          </cell>
          <cell r="G3463" t="str">
            <v>ES</v>
          </cell>
          <cell r="H3463" t="str">
            <v>DISTRIBUIÇÃO</v>
          </cell>
          <cell r="I3463" t="str">
            <v>FOOD SERVICE</v>
          </cell>
          <cell r="J3463" t="str">
            <v>MARCELO DUARTE</v>
          </cell>
          <cell r="K3463" t="str">
            <v>ITAMBÉ</v>
          </cell>
          <cell r="L3463" t="str">
            <v>RODRIGO</v>
          </cell>
          <cell r="M3463" t="str">
            <v>JESSICA</v>
          </cell>
        </row>
        <row r="3464">
          <cell r="B3464">
            <v>5182903</v>
          </cell>
          <cell r="C3464" t="str">
            <v>CERVINO E MARTINEZ LTDA</v>
          </cell>
          <cell r="D3464" t="str">
            <v>6001</v>
          </cell>
          <cell r="E3464" t="str">
            <v>0127</v>
          </cell>
          <cell r="F3464" t="str">
            <v>C1</v>
          </cell>
          <cell r="G3464" t="str">
            <v>BA</v>
          </cell>
          <cell r="H3464" t="str">
            <v>DISTRIBUIÇÃO</v>
          </cell>
          <cell r="I3464" t="str">
            <v>FOOD SERVICE</v>
          </cell>
          <cell r="J3464" t="str">
            <v>CLAUDIO JORGE/LUIZ</v>
          </cell>
          <cell r="K3464" t="str">
            <v>ITAMBÉ</v>
          </cell>
          <cell r="L3464" t="str">
            <v>RODRIGO</v>
          </cell>
          <cell r="M3464" t="str">
            <v>MARIA LOURDES</v>
          </cell>
        </row>
        <row r="3465">
          <cell r="B3465">
            <v>5184715</v>
          </cell>
          <cell r="C3465" t="str">
            <v>CARLOS GEOVANE ALMEIDA DE PAULA LTDA</v>
          </cell>
          <cell r="D3465" t="str">
            <v>6001</v>
          </cell>
          <cell r="E3465" t="str">
            <v>0028</v>
          </cell>
          <cell r="F3465" t="str">
            <v>C1</v>
          </cell>
          <cell r="G3465" t="str">
            <v>MS</v>
          </cell>
          <cell r="H3465" t="str">
            <v>INGREDIENTS</v>
          </cell>
          <cell r="I3465" t="str">
            <v>INGREDIENTS</v>
          </cell>
          <cell r="J3465" t="str">
            <v>DUAS RODAS</v>
          </cell>
          <cell r="K3465" t="str">
            <v>ITAMBÉ</v>
          </cell>
          <cell r="L3465" t="str">
            <v>MAURICIO</v>
          </cell>
          <cell r="M3465" t="str">
            <v>MARCELO</v>
          </cell>
        </row>
        <row r="3466">
          <cell r="B3466">
            <v>5184851</v>
          </cell>
          <cell r="C3466" t="str">
            <v>ALLPAN COM DE PROD ALIMENTICIOS</v>
          </cell>
          <cell r="D3466" t="str">
            <v>6001</v>
          </cell>
          <cell r="E3466" t="str">
            <v>0125</v>
          </cell>
          <cell r="F3466" t="str">
            <v>C1</v>
          </cell>
          <cell r="G3466" t="str">
            <v>SP</v>
          </cell>
          <cell r="H3466" t="str">
            <v>DISTRIBUIÇÃO</v>
          </cell>
          <cell r="I3466" t="str">
            <v>FOOD SERVICE</v>
          </cell>
          <cell r="J3466" t="str">
            <v>ALEXANDRE BONANI</v>
          </cell>
          <cell r="K3466" t="str">
            <v>ITAMBÉ</v>
          </cell>
          <cell r="L3466" t="str">
            <v>RODRIGO</v>
          </cell>
          <cell r="M3466" t="str">
            <v>ALEXANDRE BONANI</v>
          </cell>
        </row>
        <row r="3467">
          <cell r="B3467">
            <v>5184917</v>
          </cell>
          <cell r="C3467" t="str">
            <v>BARONIN IND E COM DE SORVETES LTDA</v>
          </cell>
          <cell r="D3467" t="str">
            <v>6001</v>
          </cell>
          <cell r="E3467" t="str">
            <v>0028</v>
          </cell>
          <cell r="F3467" t="str">
            <v>C1</v>
          </cell>
          <cell r="G3467" t="str">
            <v>SP</v>
          </cell>
          <cell r="H3467" t="str">
            <v>INGREDIENTS</v>
          </cell>
          <cell r="I3467" t="str">
            <v>INGREDIENTS</v>
          </cell>
          <cell r="J3467" t="str">
            <v>DUAS RODAS</v>
          </cell>
          <cell r="K3467" t="str">
            <v>ITAMBÉ</v>
          </cell>
          <cell r="L3467" t="str">
            <v>MAURICIO</v>
          </cell>
          <cell r="M3467" t="str">
            <v>MARCELO</v>
          </cell>
        </row>
        <row r="3468">
          <cell r="B3468">
            <v>5185042</v>
          </cell>
          <cell r="C3468" t="str">
            <v>GA INDUSTRIA E COMERCIO DE ALIMENTO</v>
          </cell>
          <cell r="D3468" t="str">
            <v>6001</v>
          </cell>
          <cell r="E3468" t="str">
            <v>0127</v>
          </cell>
          <cell r="F3468" t="str">
            <v>C1</v>
          </cell>
          <cell r="G3468" t="str">
            <v>BA</v>
          </cell>
          <cell r="H3468" t="str">
            <v>DISTRIBUIÇÃO</v>
          </cell>
          <cell r="I3468" t="str">
            <v>FOOD SERVICE</v>
          </cell>
          <cell r="J3468" t="str">
            <v>CLAUDIO JORGE/LUIZ</v>
          </cell>
          <cell r="K3468" t="str">
            <v>ITAMBÉ</v>
          </cell>
          <cell r="L3468" t="str">
            <v>RODRIGO</v>
          </cell>
          <cell r="M3468" t="str">
            <v>MARIA LOURDES</v>
          </cell>
        </row>
        <row r="3469">
          <cell r="B3469">
            <v>5185642</v>
          </cell>
          <cell r="C3469" t="str">
            <v>CASA DO PADEIRO COM DE PROD ALIM LT</v>
          </cell>
          <cell r="D3469" t="str">
            <v>6001</v>
          </cell>
          <cell r="E3469" t="str">
            <v>0125</v>
          </cell>
          <cell r="F3469" t="str">
            <v>C1</v>
          </cell>
          <cell r="G3469" t="str">
            <v>SP</v>
          </cell>
          <cell r="H3469" t="str">
            <v>DISTRIBUIÇÃO</v>
          </cell>
          <cell r="I3469" t="str">
            <v>FOOD SERVICE</v>
          </cell>
          <cell r="J3469" t="str">
            <v>VAGO SP</v>
          </cell>
          <cell r="K3469" t="str">
            <v>ITAMBÉ</v>
          </cell>
          <cell r="L3469" t="str">
            <v>RODRIGO</v>
          </cell>
          <cell r="M3469" t="str">
            <v>RAQUEL BARBOSA</v>
          </cell>
        </row>
        <row r="3470">
          <cell r="B3470">
            <v>5186251</v>
          </cell>
          <cell r="C3470" t="str">
            <v>GABRIELA MACHADO MATOS</v>
          </cell>
          <cell r="D3470" t="str">
            <v>6001</v>
          </cell>
          <cell r="E3470" t="str">
            <v>0028</v>
          </cell>
          <cell r="F3470" t="str">
            <v>C1</v>
          </cell>
          <cell r="G3470" t="str">
            <v>MS</v>
          </cell>
          <cell r="H3470" t="str">
            <v>INGREDIENTS</v>
          </cell>
          <cell r="I3470" t="str">
            <v>INGREDIENTS</v>
          </cell>
          <cell r="J3470" t="str">
            <v>DUAS RODAS</v>
          </cell>
          <cell r="K3470" t="str">
            <v>ITAMBÉ</v>
          </cell>
          <cell r="L3470" t="str">
            <v>MAURICIO</v>
          </cell>
          <cell r="M3470" t="str">
            <v>MARCELO</v>
          </cell>
        </row>
        <row r="3471">
          <cell r="B3471">
            <v>5188800</v>
          </cell>
          <cell r="C3471" t="str">
            <v>DIEGO CESAR GOMES DA SILVA</v>
          </cell>
          <cell r="D3471" t="str">
            <v>6001</v>
          </cell>
          <cell r="E3471" t="str">
            <v>0125</v>
          </cell>
          <cell r="F3471" t="str">
            <v>C1</v>
          </cell>
          <cell r="G3471" t="str">
            <v>SP</v>
          </cell>
          <cell r="H3471" t="str">
            <v>INGREDIENTS</v>
          </cell>
          <cell r="I3471" t="str">
            <v>INGREDIENTS</v>
          </cell>
          <cell r="J3471" t="str">
            <v>HENRIQUE FERREIRA</v>
          </cell>
          <cell r="K3471" t="str">
            <v>ITAMBÉ</v>
          </cell>
          <cell r="L3471" t="str">
            <v>MAURICIO</v>
          </cell>
          <cell r="M3471" t="str">
            <v>JOEL</v>
          </cell>
        </row>
        <row r="3472">
          <cell r="B3472">
            <v>5191490</v>
          </cell>
          <cell r="C3472" t="str">
            <v>G S LIMA ALIMENTOS</v>
          </cell>
          <cell r="D3472" t="str">
            <v>6001</v>
          </cell>
          <cell r="E3472" t="str">
            <v>0127</v>
          </cell>
          <cell r="F3472" t="str">
            <v>C1</v>
          </cell>
          <cell r="G3472" t="str">
            <v>CE</v>
          </cell>
          <cell r="H3472" t="str">
            <v>DISTRIBUIÇÃO</v>
          </cell>
          <cell r="I3472" t="str">
            <v>FOOD SERVICE</v>
          </cell>
          <cell r="J3472" t="str">
            <v>WH FOOD SERVICE CE</v>
          </cell>
          <cell r="K3472" t="str">
            <v>ITAMBÉ</v>
          </cell>
          <cell r="L3472" t="str">
            <v>RODRIGO</v>
          </cell>
          <cell r="M3472" t="str">
            <v>MARIA LOURDES</v>
          </cell>
        </row>
        <row r="3473">
          <cell r="B3473">
            <v>5192611</v>
          </cell>
          <cell r="C3473" t="str">
            <v>VALENTE E CASTRO DIST DE ALIMENTOS</v>
          </cell>
          <cell r="D3473" t="str">
            <v>6001</v>
          </cell>
          <cell r="E3473" t="str">
            <v>0169</v>
          </cell>
          <cell r="F3473" t="str">
            <v>C1</v>
          </cell>
          <cell r="G3473" t="str">
            <v>RJ</v>
          </cell>
          <cell r="H3473" t="str">
            <v>DISTRIBUIÇÃO</v>
          </cell>
          <cell r="I3473" t="str">
            <v>FOOD SERVICE</v>
          </cell>
          <cell r="J3473" t="str">
            <v>JULIANA CORDEIRO</v>
          </cell>
          <cell r="K3473" t="str">
            <v>ITAMBÉ</v>
          </cell>
          <cell r="L3473" t="str">
            <v>RODRIGO</v>
          </cell>
          <cell r="M3473" t="str">
            <v>JESSICA</v>
          </cell>
        </row>
        <row r="3474">
          <cell r="B3474">
            <v>5192822</v>
          </cell>
          <cell r="C3474" t="str">
            <v>T T F ALIMENTOS SOROCABA LTDA</v>
          </cell>
          <cell r="D3474" t="str">
            <v>6001</v>
          </cell>
          <cell r="E3474" t="str">
            <v>0125</v>
          </cell>
          <cell r="F3474" t="str">
            <v>C1</v>
          </cell>
          <cell r="G3474" t="str">
            <v>SP</v>
          </cell>
          <cell r="H3474" t="str">
            <v>DISTRIBUIÇÃO</v>
          </cell>
          <cell r="I3474" t="str">
            <v>FOOD SERVICE</v>
          </cell>
          <cell r="J3474" t="str">
            <v>VAGO SP</v>
          </cell>
          <cell r="K3474" t="str">
            <v>ITAMBÉ</v>
          </cell>
          <cell r="L3474" t="str">
            <v>RODRIGO</v>
          </cell>
          <cell r="M3474" t="str">
            <v>RAQUEL BARBOSA</v>
          </cell>
        </row>
        <row r="3475">
          <cell r="B3475">
            <v>5194018</v>
          </cell>
          <cell r="C3475" t="str">
            <v>GURIRI EMBALAGENS LTDA ME</v>
          </cell>
          <cell r="D3475" t="str">
            <v>6001</v>
          </cell>
          <cell r="E3475" t="str">
            <v>0169</v>
          </cell>
          <cell r="F3475" t="str">
            <v>C1</v>
          </cell>
          <cell r="G3475" t="str">
            <v>ES</v>
          </cell>
          <cell r="H3475" t="str">
            <v>DISTRIBUIÇÃO</v>
          </cell>
          <cell r="I3475" t="str">
            <v>FOOD SERVICE</v>
          </cell>
          <cell r="J3475" t="str">
            <v>MARCELO DUARTE</v>
          </cell>
          <cell r="K3475" t="str">
            <v>ITAMBÉ</v>
          </cell>
          <cell r="L3475" t="str">
            <v>RODRIGO</v>
          </cell>
          <cell r="M3475" t="str">
            <v>JESSICA</v>
          </cell>
        </row>
        <row r="3476">
          <cell r="B3476">
            <v>5194319</v>
          </cell>
          <cell r="C3476" t="str">
            <v>PIMENTA VERDE ALIMENTOS LTDA</v>
          </cell>
          <cell r="D3476" t="str">
            <v>6001</v>
          </cell>
          <cell r="E3476" t="str">
            <v>0125</v>
          </cell>
          <cell r="F3476" t="str">
            <v>C1</v>
          </cell>
          <cell r="G3476" t="str">
            <v>SP</v>
          </cell>
          <cell r="H3476" t="str">
            <v>QSR</v>
          </cell>
          <cell r="I3476" t="str">
            <v>FOOD SERVICE</v>
          </cell>
          <cell r="J3476" t="str">
            <v>VAGO QSR</v>
          </cell>
          <cell r="K3476" t="str">
            <v>ITAMBÉ</v>
          </cell>
          <cell r="L3476" t="str">
            <v>PEDRO</v>
          </cell>
          <cell r="M3476" t="str">
            <v>VAGO QSR</v>
          </cell>
        </row>
        <row r="3477">
          <cell r="B3477">
            <v>5194510</v>
          </cell>
          <cell r="C3477" t="str">
            <v>ALEGRO ALIMENTOS LTDA</v>
          </cell>
          <cell r="D3477" t="str">
            <v>6001</v>
          </cell>
          <cell r="E3477" t="str">
            <v>0127</v>
          </cell>
          <cell r="F3477" t="str">
            <v>C1</v>
          </cell>
          <cell r="G3477" t="str">
            <v>BA</v>
          </cell>
          <cell r="H3477" t="str">
            <v>DISTRIBUIÇÃO</v>
          </cell>
          <cell r="I3477" t="str">
            <v>FOOD SERVICE</v>
          </cell>
          <cell r="J3477" t="str">
            <v>CLAUDIO JORGE/LUIZ</v>
          </cell>
          <cell r="K3477" t="str">
            <v>ITAMBÉ</v>
          </cell>
          <cell r="L3477" t="str">
            <v>RODRIGO</v>
          </cell>
          <cell r="M3477" t="str">
            <v>MARIA LOURDES</v>
          </cell>
        </row>
        <row r="3478">
          <cell r="B3478">
            <v>5194644</v>
          </cell>
          <cell r="C3478" t="str">
            <v>L F S COM E IMP DE ALIM LTDA</v>
          </cell>
          <cell r="D3478" t="str">
            <v>6001</v>
          </cell>
          <cell r="E3478" t="str">
            <v>0127</v>
          </cell>
          <cell r="F3478" t="str">
            <v>C1</v>
          </cell>
          <cell r="G3478" t="str">
            <v>CE</v>
          </cell>
          <cell r="H3478" t="str">
            <v>QSR</v>
          </cell>
          <cell r="I3478" t="str">
            <v>FOOD SERVICE</v>
          </cell>
          <cell r="J3478" t="str">
            <v>NUTRI</v>
          </cell>
          <cell r="K3478" t="str">
            <v>ITAMBÉ</v>
          </cell>
          <cell r="L3478" t="str">
            <v>PEDRO</v>
          </cell>
          <cell r="M3478" t="str">
            <v>VAGO QSR</v>
          </cell>
        </row>
        <row r="3479">
          <cell r="B3479">
            <v>5195605</v>
          </cell>
          <cell r="C3479" t="str">
            <v>PLANETA DOCES E ALIMENTICIOS EIRELI</v>
          </cell>
          <cell r="D3479" t="str">
            <v>6001</v>
          </cell>
          <cell r="E3479" t="str">
            <v>0125</v>
          </cell>
          <cell r="F3479" t="str">
            <v>C1</v>
          </cell>
          <cell r="G3479" t="str">
            <v>SP</v>
          </cell>
          <cell r="H3479" t="str">
            <v>DISTRIBUIÇÃO</v>
          </cell>
          <cell r="I3479" t="str">
            <v>FOOD SERVICE</v>
          </cell>
          <cell r="J3479" t="str">
            <v>SP ITB FS FLAC REP.E COMERCIO</v>
          </cell>
          <cell r="K3479" t="str">
            <v>ITAMBÉ</v>
          </cell>
          <cell r="L3479" t="str">
            <v>RODRIGO</v>
          </cell>
          <cell r="M3479" t="str">
            <v>RAQUEL BARBOSA</v>
          </cell>
        </row>
        <row r="3480">
          <cell r="B3480">
            <v>5196867</v>
          </cell>
          <cell r="C3480" t="str">
            <v>DEPOSITO DE DOCES MALU LTDA</v>
          </cell>
          <cell r="D3480" t="str">
            <v>6001</v>
          </cell>
          <cell r="E3480" t="str">
            <v>0125</v>
          </cell>
          <cell r="F3480" t="str">
            <v>C1</v>
          </cell>
          <cell r="G3480" t="str">
            <v>SP</v>
          </cell>
          <cell r="H3480" t="str">
            <v>DISTRIBUIÇÃO</v>
          </cell>
          <cell r="I3480" t="str">
            <v>FOOD SERVICE</v>
          </cell>
          <cell r="J3480" t="str">
            <v>SP ITB FS FLAC REP.E COMERCIO</v>
          </cell>
          <cell r="K3480" t="str">
            <v>ITAMBÉ</v>
          </cell>
          <cell r="L3480" t="str">
            <v>RODRIGO</v>
          </cell>
          <cell r="M3480" t="str">
            <v>RAQUEL BARBOSA</v>
          </cell>
        </row>
        <row r="3481">
          <cell r="B3481">
            <v>5196998</v>
          </cell>
          <cell r="C3481" t="str">
            <v>CROISSANT IND E COM DE SALGADOS LTD</v>
          </cell>
          <cell r="D3481" t="str">
            <v>6001</v>
          </cell>
          <cell r="E3481" t="str">
            <v>0125</v>
          </cell>
          <cell r="F3481" t="str">
            <v>C1</v>
          </cell>
          <cell r="G3481" t="str">
            <v>SP</v>
          </cell>
          <cell r="H3481" t="str">
            <v>INGREDIENTS</v>
          </cell>
          <cell r="I3481" t="str">
            <v>INGREDIENTS</v>
          </cell>
          <cell r="J3481" t="str">
            <v>HENRIQUE FERREIRA</v>
          </cell>
          <cell r="K3481" t="str">
            <v>ITAMBÉ</v>
          </cell>
          <cell r="L3481" t="str">
            <v>MAURICIO</v>
          </cell>
          <cell r="M3481" t="str">
            <v>JOEL</v>
          </cell>
        </row>
        <row r="3482">
          <cell r="B3482">
            <v>5198698</v>
          </cell>
          <cell r="C3482" t="str">
            <v>PANDURATA ALIMENTOS LTDA</v>
          </cell>
          <cell r="D3482" t="str">
            <v>6001</v>
          </cell>
          <cell r="E3482" t="str">
            <v>0028</v>
          </cell>
          <cell r="F3482" t="str">
            <v>C1</v>
          </cell>
          <cell r="G3482" t="str">
            <v>SP</v>
          </cell>
          <cell r="H3482" t="str">
            <v>INGREDIENTS</v>
          </cell>
          <cell r="I3482" t="str">
            <v>INGREDIENTS</v>
          </cell>
          <cell r="J3482" t="str">
            <v>JOEL ELEOTÉRIO</v>
          </cell>
          <cell r="K3482" t="str">
            <v>ITAMBÉ</v>
          </cell>
          <cell r="L3482" t="str">
            <v>MAURICIO</v>
          </cell>
          <cell r="M3482" t="str">
            <v>JOEL</v>
          </cell>
        </row>
        <row r="3483">
          <cell r="B3483">
            <v>5200068</v>
          </cell>
          <cell r="C3483" t="str">
            <v>GULA COM DE REF E BEB LTDA</v>
          </cell>
          <cell r="D3483" t="str">
            <v>6001</v>
          </cell>
          <cell r="E3483" t="str">
            <v>0127</v>
          </cell>
          <cell r="F3483" t="str">
            <v>C1</v>
          </cell>
          <cell r="G3483" t="str">
            <v>CE</v>
          </cell>
          <cell r="H3483" t="str">
            <v>DISTRIBUIÇÃO</v>
          </cell>
          <cell r="I3483" t="str">
            <v>FOOD SERVICE</v>
          </cell>
          <cell r="J3483" t="str">
            <v>WH FOOD SERVICE CE</v>
          </cell>
          <cell r="K3483" t="str">
            <v>ITAMBÉ</v>
          </cell>
          <cell r="L3483" t="str">
            <v>RODRIGO</v>
          </cell>
          <cell r="M3483" t="str">
            <v>MARIA LOURDES</v>
          </cell>
        </row>
        <row r="3484">
          <cell r="B3484">
            <v>5200125</v>
          </cell>
          <cell r="C3484" t="str">
            <v>DOCA COM DE EMB LTDA</v>
          </cell>
          <cell r="D3484" t="str">
            <v>6001</v>
          </cell>
          <cell r="E3484" t="str">
            <v>0127</v>
          </cell>
          <cell r="F3484" t="str">
            <v>C1</v>
          </cell>
          <cell r="G3484" t="str">
            <v>CE</v>
          </cell>
          <cell r="H3484" t="str">
            <v>DISTRIBUIÇÃO</v>
          </cell>
          <cell r="I3484" t="str">
            <v>FOOD SERVICE</v>
          </cell>
          <cell r="J3484" t="str">
            <v>WH FOOD SERVICE CE</v>
          </cell>
          <cell r="K3484" t="str">
            <v>ITAMBÉ</v>
          </cell>
          <cell r="L3484" t="str">
            <v>RODRIGO</v>
          </cell>
          <cell r="M3484" t="str">
            <v>MARIA LOURDES</v>
          </cell>
        </row>
        <row r="3485">
          <cell r="B3485">
            <v>5201973</v>
          </cell>
          <cell r="C3485" t="str">
            <v>HARUS COM VAREJ DE COSM LTDA</v>
          </cell>
          <cell r="D3485" t="str">
            <v>6001</v>
          </cell>
          <cell r="E3485" t="str">
            <v>0127</v>
          </cell>
          <cell r="F3485" t="str">
            <v>C1</v>
          </cell>
          <cell r="G3485" t="str">
            <v>CE</v>
          </cell>
          <cell r="H3485" t="str">
            <v>DISTRIBUIÇÃO</v>
          </cell>
          <cell r="I3485" t="str">
            <v>FOOD SERVICE</v>
          </cell>
          <cell r="J3485" t="str">
            <v>WH FOOD SERVICE CE</v>
          </cell>
          <cell r="K3485" t="str">
            <v>ITAMBÉ</v>
          </cell>
          <cell r="L3485" t="str">
            <v>RODRIGO</v>
          </cell>
          <cell r="M3485" t="str">
            <v>MARIA LOURDES</v>
          </cell>
        </row>
        <row r="3486">
          <cell r="B3486">
            <v>5204180</v>
          </cell>
          <cell r="C3486" t="str">
            <v>E E MODOLO ME</v>
          </cell>
          <cell r="D3486" t="str">
            <v>6001</v>
          </cell>
          <cell r="E3486" t="str">
            <v>0169</v>
          </cell>
          <cell r="F3486" t="str">
            <v>C1</v>
          </cell>
          <cell r="G3486" t="str">
            <v>ES</v>
          </cell>
          <cell r="H3486" t="str">
            <v>DISTRIBUIÇÃO</v>
          </cell>
          <cell r="I3486" t="str">
            <v>FOOD SERVICE</v>
          </cell>
          <cell r="J3486" t="str">
            <v>MARCELO DUARTE</v>
          </cell>
          <cell r="K3486" t="str">
            <v>ITAMBÉ</v>
          </cell>
          <cell r="L3486" t="str">
            <v>RODRIGO</v>
          </cell>
          <cell r="M3486" t="str">
            <v>JESSICA</v>
          </cell>
        </row>
        <row r="3487">
          <cell r="B3487">
            <v>5204235</v>
          </cell>
          <cell r="C3487" t="str">
            <v>NUTRIALIMENTAR INDUSTRIA LTDA</v>
          </cell>
          <cell r="D3487" t="str">
            <v>6001</v>
          </cell>
          <cell r="E3487" t="str">
            <v>0028</v>
          </cell>
          <cell r="F3487" t="str">
            <v>C1</v>
          </cell>
          <cell r="G3487" t="str">
            <v>SP</v>
          </cell>
          <cell r="H3487" t="str">
            <v>INGREDIENTS</v>
          </cell>
          <cell r="I3487" t="str">
            <v>INGREDIENTS</v>
          </cell>
          <cell r="J3487" t="str">
            <v>TATIANA NITTA</v>
          </cell>
          <cell r="K3487" t="str">
            <v>ITAMBÉ</v>
          </cell>
          <cell r="L3487" t="str">
            <v>MAURICIO</v>
          </cell>
          <cell r="M3487" t="str">
            <v>TATIANA NITTA</v>
          </cell>
        </row>
        <row r="3488">
          <cell r="B3488">
            <v>5206787</v>
          </cell>
          <cell r="C3488" t="str">
            <v>CS FABRICACAO DE ALIMENTOS</v>
          </cell>
          <cell r="D3488" t="str">
            <v>6001</v>
          </cell>
          <cell r="E3488" t="str">
            <v>0125</v>
          </cell>
          <cell r="F3488" t="str">
            <v>C1</v>
          </cell>
          <cell r="G3488" t="str">
            <v>SP</v>
          </cell>
          <cell r="H3488" t="str">
            <v>QSR</v>
          </cell>
          <cell r="I3488" t="str">
            <v>FOOD SERVICE</v>
          </cell>
          <cell r="J3488" t="str">
            <v>ANA MENIQUETE</v>
          </cell>
          <cell r="K3488" t="str">
            <v>ITAMBÉ</v>
          </cell>
          <cell r="L3488" t="str">
            <v>PEDRO</v>
          </cell>
          <cell r="M3488" t="str">
            <v>ANA MENIQUETE</v>
          </cell>
        </row>
        <row r="3489">
          <cell r="B3489">
            <v>5207394</v>
          </cell>
          <cell r="C3489" t="str">
            <v>NEWREST BRASIL S A AO T AEREO LTDA</v>
          </cell>
          <cell r="D3489" t="str">
            <v>6001</v>
          </cell>
          <cell r="E3489" t="str">
            <v>0169</v>
          </cell>
          <cell r="F3489" t="str">
            <v>C1</v>
          </cell>
          <cell r="G3489" t="str">
            <v>RJ</v>
          </cell>
          <cell r="H3489" t="str">
            <v>QSR</v>
          </cell>
          <cell r="I3489" t="str">
            <v>FOOD SERVICE</v>
          </cell>
          <cell r="J3489" t="str">
            <v>ANA MENIQUETE</v>
          </cell>
          <cell r="K3489" t="str">
            <v>ITAMBÉ</v>
          </cell>
          <cell r="L3489" t="str">
            <v>PEDRO</v>
          </cell>
          <cell r="M3489" t="str">
            <v>ANA MENIQUETE</v>
          </cell>
        </row>
        <row r="3490">
          <cell r="B3490">
            <v>5208028</v>
          </cell>
          <cell r="C3490" t="str">
            <v>MISTUREX COMERCIO ATACA DE ALIMENT</v>
          </cell>
          <cell r="D3490" t="str">
            <v>6001</v>
          </cell>
          <cell r="E3490" t="str">
            <v>0169</v>
          </cell>
          <cell r="F3490" t="str">
            <v>C1</v>
          </cell>
          <cell r="G3490" t="str">
            <v>ES</v>
          </cell>
          <cell r="H3490" t="str">
            <v>INGREDIENTS</v>
          </cell>
          <cell r="I3490" t="str">
            <v>INGREDIENTS</v>
          </cell>
          <cell r="J3490" t="str">
            <v>TATIANA NITTA</v>
          </cell>
          <cell r="K3490" t="str">
            <v>ITAMBÉ</v>
          </cell>
          <cell r="L3490" t="str">
            <v>MAURICIO</v>
          </cell>
          <cell r="M3490" t="str">
            <v>TATIANA NITTA</v>
          </cell>
        </row>
        <row r="3491">
          <cell r="B3491">
            <v>5209002</v>
          </cell>
          <cell r="C3491" t="str">
            <v>DOCA COME DE PROD ALIMEN LTDA</v>
          </cell>
          <cell r="D3491" t="str">
            <v>6001</v>
          </cell>
          <cell r="E3491" t="str">
            <v>0127</v>
          </cell>
          <cell r="F3491" t="str">
            <v>C1</v>
          </cell>
          <cell r="G3491" t="str">
            <v>CE</v>
          </cell>
          <cell r="H3491" t="str">
            <v>DISTRIBUIÇÃO</v>
          </cell>
          <cell r="I3491" t="str">
            <v>FOOD SERVICE</v>
          </cell>
          <cell r="J3491" t="str">
            <v>WH FOOD SERVICE CE</v>
          </cell>
          <cell r="K3491" t="str">
            <v>ITAMBÉ</v>
          </cell>
          <cell r="L3491" t="str">
            <v>RODRIGO</v>
          </cell>
          <cell r="M3491" t="str">
            <v>MARIA LOURDES</v>
          </cell>
        </row>
        <row r="3492">
          <cell r="B3492">
            <v>5210640</v>
          </cell>
          <cell r="C3492" t="str">
            <v>SALT PIE INDUSTRIA COMERCIO</v>
          </cell>
          <cell r="D3492" t="str">
            <v>6001</v>
          </cell>
          <cell r="E3492" t="str">
            <v>0125</v>
          </cell>
          <cell r="F3492" t="str">
            <v>C1</v>
          </cell>
          <cell r="G3492" t="str">
            <v>SP</v>
          </cell>
          <cell r="H3492" t="str">
            <v>INGREDIENTS</v>
          </cell>
          <cell r="I3492" t="str">
            <v>INGREDIENTS</v>
          </cell>
          <cell r="J3492" t="str">
            <v>HENRIQUE FERREIRA</v>
          </cell>
          <cell r="K3492" t="str">
            <v>ITAMBÉ</v>
          </cell>
          <cell r="L3492" t="str">
            <v>MAURICIO</v>
          </cell>
          <cell r="M3492" t="str">
            <v>JOEL</v>
          </cell>
        </row>
        <row r="3493">
          <cell r="B3493">
            <v>5211344</v>
          </cell>
          <cell r="C3493" t="str">
            <v>DISTRIB E IMPORT IRMAOS AVELINO</v>
          </cell>
          <cell r="D3493" t="str">
            <v>6001</v>
          </cell>
          <cell r="E3493" t="str">
            <v>0125</v>
          </cell>
          <cell r="F3493" t="str">
            <v>C1</v>
          </cell>
          <cell r="G3493" t="str">
            <v>SP</v>
          </cell>
          <cell r="H3493" t="str">
            <v>DISTRIBUIÇÃO</v>
          </cell>
          <cell r="I3493" t="str">
            <v>FOOD SERVICE</v>
          </cell>
          <cell r="J3493" t="str">
            <v>RAQUEL BARBOSA</v>
          </cell>
          <cell r="K3493" t="str">
            <v>ITAMBÉ</v>
          </cell>
          <cell r="L3493" t="str">
            <v>RODRIGO</v>
          </cell>
          <cell r="M3493" t="str">
            <v>RAQUEL BARBOSA</v>
          </cell>
        </row>
        <row r="3494">
          <cell r="B3494">
            <v>5213484</v>
          </cell>
          <cell r="C3494" t="str">
            <v>HAVANA COMERCIO DE BEBIDAS LTDA</v>
          </cell>
          <cell r="D3494" t="str">
            <v>6001</v>
          </cell>
          <cell r="E3494" t="str">
            <v>0125</v>
          </cell>
          <cell r="F3494" t="str">
            <v>C1</v>
          </cell>
          <cell r="G3494" t="str">
            <v>SP</v>
          </cell>
          <cell r="H3494" t="str">
            <v>DISTRIBUIÇÃO</v>
          </cell>
          <cell r="I3494" t="str">
            <v>FOOD SERVICE</v>
          </cell>
          <cell r="J3494" t="str">
            <v>SP ITB FS FLAC REP.E COMERCIO</v>
          </cell>
          <cell r="K3494" t="str">
            <v>ITAMBÉ</v>
          </cell>
          <cell r="L3494" t="str">
            <v>RODRIGO</v>
          </cell>
          <cell r="M3494" t="str">
            <v>RAQUEL BARBOSA</v>
          </cell>
        </row>
        <row r="3495">
          <cell r="B3495">
            <v>5213905</v>
          </cell>
          <cell r="C3495" t="str">
            <v>COLORADO FESTAS LTDA</v>
          </cell>
          <cell r="D3495" t="str">
            <v>6001</v>
          </cell>
          <cell r="E3495" t="str">
            <v>0169</v>
          </cell>
          <cell r="F3495" t="str">
            <v>C1</v>
          </cell>
          <cell r="G3495" t="str">
            <v>ES</v>
          </cell>
          <cell r="H3495" t="str">
            <v>DISTRIBUIÇÃO</v>
          </cell>
          <cell r="I3495" t="str">
            <v>FOOD SERVICE</v>
          </cell>
          <cell r="J3495" t="str">
            <v>MARCELO DUARTE</v>
          </cell>
          <cell r="K3495" t="str">
            <v>ITAMBÉ</v>
          </cell>
          <cell r="L3495" t="str">
            <v>RODRIGO</v>
          </cell>
          <cell r="M3495" t="str">
            <v>JESSICA</v>
          </cell>
        </row>
        <row r="3496">
          <cell r="B3496">
            <v>5214670</v>
          </cell>
          <cell r="C3496" t="str">
            <v>LORENZ COMERCIO E DIST DE ALIM LTDA</v>
          </cell>
          <cell r="D3496" t="str">
            <v>6001</v>
          </cell>
          <cell r="E3496" t="str">
            <v>0123</v>
          </cell>
          <cell r="F3496" t="str">
            <v>C1</v>
          </cell>
          <cell r="G3496" t="str">
            <v>MS</v>
          </cell>
          <cell r="H3496" t="str">
            <v>DISTRIBUIÇÃO</v>
          </cell>
          <cell r="I3496" t="str">
            <v>FOOD SERVICE</v>
          </cell>
          <cell r="J3496" t="str">
            <v>MARCO AURELIO</v>
          </cell>
          <cell r="K3496" t="str">
            <v>ITAMBÉ</v>
          </cell>
          <cell r="L3496" t="str">
            <v>RODRIGO</v>
          </cell>
          <cell r="M3496" t="str">
            <v>MARCO AURELIO</v>
          </cell>
        </row>
        <row r="3497">
          <cell r="B3497">
            <v>5217293</v>
          </cell>
          <cell r="C3497" t="str">
            <v>OESA COMERCIO E REPRESENTACOES SA</v>
          </cell>
          <cell r="D3497" t="str">
            <v>6001</v>
          </cell>
          <cell r="E3497" t="str">
            <v>0125</v>
          </cell>
          <cell r="F3497" t="str">
            <v>C1</v>
          </cell>
          <cell r="G3497" t="str">
            <v>SP</v>
          </cell>
          <cell r="H3497" t="str">
            <v>DISTRIBUIÇÃO</v>
          </cell>
          <cell r="I3497" t="str">
            <v>FOOD SERVICE</v>
          </cell>
          <cell r="J3497" t="str">
            <v>VAGO SP</v>
          </cell>
          <cell r="K3497" t="str">
            <v>ITAMBÉ</v>
          </cell>
          <cell r="L3497" t="str">
            <v>RODRIGO</v>
          </cell>
          <cell r="M3497" t="str">
            <v>RAQUEL BARBOSA</v>
          </cell>
        </row>
        <row r="3498">
          <cell r="B3498">
            <v>5219741</v>
          </cell>
          <cell r="C3498" t="str">
            <v>CASABLANCA CAFES LTDA</v>
          </cell>
          <cell r="D3498" t="str">
            <v>6001</v>
          </cell>
          <cell r="E3498" t="str">
            <v>0169</v>
          </cell>
          <cell r="F3498" t="str">
            <v>C1</v>
          </cell>
          <cell r="G3498" t="str">
            <v>ES</v>
          </cell>
          <cell r="H3498" t="str">
            <v>DISTRIBUIÇÃO</v>
          </cell>
          <cell r="I3498" t="str">
            <v>FOOD SERVICE</v>
          </cell>
          <cell r="J3498" t="str">
            <v>MARCELO DUARTE</v>
          </cell>
          <cell r="K3498" t="str">
            <v>ITAMBÉ</v>
          </cell>
          <cell r="L3498" t="str">
            <v>RODRIGO</v>
          </cell>
          <cell r="M3498" t="str">
            <v>JESSICA</v>
          </cell>
        </row>
        <row r="3499">
          <cell r="B3499">
            <v>5220627</v>
          </cell>
          <cell r="C3499" t="str">
            <v>JME RAUTA COMERCIAL DISTRIBUIDORA</v>
          </cell>
          <cell r="D3499" t="str">
            <v>6001</v>
          </cell>
          <cell r="E3499" t="str">
            <v>0028</v>
          </cell>
          <cell r="F3499" t="str">
            <v>C1</v>
          </cell>
          <cell r="G3499" t="str">
            <v>RJ</v>
          </cell>
          <cell r="H3499" t="str">
            <v>DISTRIBUIÇÃO</v>
          </cell>
          <cell r="I3499" t="str">
            <v>FOOD SERVICE</v>
          </cell>
          <cell r="J3499" t="str">
            <v>LUCIANA MARTINS</v>
          </cell>
          <cell r="K3499" t="str">
            <v>ITAMBÉ</v>
          </cell>
          <cell r="L3499" t="str">
            <v>RODRIGO</v>
          </cell>
          <cell r="M3499" t="str">
            <v>JESSICA</v>
          </cell>
        </row>
        <row r="3500">
          <cell r="B3500">
            <v>5220998</v>
          </cell>
          <cell r="C3500" t="str">
            <v>GELADOM SORVETES LTDA</v>
          </cell>
          <cell r="D3500" t="str">
            <v>6001</v>
          </cell>
          <cell r="E3500" t="str">
            <v>0127</v>
          </cell>
          <cell r="F3500" t="str">
            <v>C1</v>
          </cell>
          <cell r="G3500" t="str">
            <v>BA</v>
          </cell>
          <cell r="H3500" t="str">
            <v>DISTRIBUIÇÃO</v>
          </cell>
          <cell r="I3500" t="str">
            <v>FOOD SERVICE</v>
          </cell>
          <cell r="J3500" t="str">
            <v>CLAUDIO JORGE/LUIZ</v>
          </cell>
          <cell r="K3500" t="str">
            <v>ITAMBÉ</v>
          </cell>
          <cell r="L3500" t="str">
            <v>RODRIGO</v>
          </cell>
          <cell r="M3500" t="str">
            <v>MARIA LOURDES</v>
          </cell>
        </row>
        <row r="3501">
          <cell r="B3501">
            <v>5221391</v>
          </cell>
          <cell r="C3501" t="str">
            <v>LEONARDO RODRIGO SILVA SANTOS M</v>
          </cell>
          <cell r="D3501" t="str">
            <v>6001</v>
          </cell>
          <cell r="E3501" t="str">
            <v>0169</v>
          </cell>
          <cell r="F3501" t="str">
            <v>C1</v>
          </cell>
          <cell r="G3501" t="str">
            <v>RJ</v>
          </cell>
          <cell r="H3501" t="str">
            <v>DISTRIBUIÇÃO</v>
          </cell>
          <cell r="I3501" t="str">
            <v>FOOD SERVICE</v>
          </cell>
          <cell r="J3501" t="str">
            <v>JULIANA CORDEIRO</v>
          </cell>
          <cell r="K3501" t="str">
            <v>ITAMBÉ</v>
          </cell>
          <cell r="L3501" t="str">
            <v>RODRIGO</v>
          </cell>
          <cell r="M3501" t="str">
            <v>JESSICA</v>
          </cell>
        </row>
        <row r="3502">
          <cell r="B3502">
            <v>5223419</v>
          </cell>
          <cell r="C3502" t="str">
            <v>OESA COMERCIO E REPRESENTACOES</v>
          </cell>
          <cell r="D3502" t="str">
            <v>6001</v>
          </cell>
          <cell r="E3502" t="str">
            <v>0123</v>
          </cell>
          <cell r="F3502" t="str">
            <v>C1</v>
          </cell>
          <cell r="G3502" t="str">
            <v>DF</v>
          </cell>
          <cell r="H3502" t="str">
            <v>DISTRIBUIÇÃO</v>
          </cell>
          <cell r="I3502" t="str">
            <v>FOOD SERVICE</v>
          </cell>
          <cell r="J3502" t="str">
            <v>MARCO AURELIO</v>
          </cell>
          <cell r="K3502" t="str">
            <v>ITAMBÉ</v>
          </cell>
          <cell r="L3502" t="str">
            <v>RODRIGO</v>
          </cell>
          <cell r="M3502" t="str">
            <v>MARCO AURELIO</v>
          </cell>
        </row>
        <row r="3503">
          <cell r="B3503">
            <v>5223996</v>
          </cell>
          <cell r="C3503" t="str">
            <v>PLASTIC DISTRIBUIDORA LTDA</v>
          </cell>
          <cell r="D3503" t="str">
            <v>6001</v>
          </cell>
          <cell r="E3503" t="str">
            <v>0028</v>
          </cell>
          <cell r="F3503" t="str">
            <v>C1</v>
          </cell>
          <cell r="G3503" t="str">
            <v>ES</v>
          </cell>
          <cell r="H3503" t="str">
            <v>INGREDIENTS</v>
          </cell>
          <cell r="I3503" t="str">
            <v>INGREDIENTS</v>
          </cell>
          <cell r="J3503" t="str">
            <v>ES ITB FS RADTKE REPRES</v>
          </cell>
          <cell r="K3503" t="str">
            <v>ITAMBÉ</v>
          </cell>
          <cell r="L3503" t="str">
            <v>MAURICIO</v>
          </cell>
          <cell r="M3503" t="str">
            <v>JOEL</v>
          </cell>
        </row>
        <row r="3504">
          <cell r="B3504">
            <v>5224070</v>
          </cell>
          <cell r="C3504" t="str">
            <v>DISTRIBUIDORA JJ DE ALIMENTOS</v>
          </cell>
          <cell r="D3504" t="str">
            <v>6001</v>
          </cell>
          <cell r="E3504" t="str">
            <v>0127</v>
          </cell>
          <cell r="F3504" t="str">
            <v>C1</v>
          </cell>
          <cell r="G3504" t="str">
            <v>CE</v>
          </cell>
          <cell r="H3504" t="str">
            <v>DISTRIBUIÇÃO</v>
          </cell>
          <cell r="I3504" t="str">
            <v>FOOD SERVICE</v>
          </cell>
          <cell r="J3504" t="str">
            <v>WH FOOD SERVICE CE</v>
          </cell>
          <cell r="K3504" t="str">
            <v>ITAMBÉ</v>
          </cell>
          <cell r="L3504" t="str">
            <v>RODRIGO</v>
          </cell>
          <cell r="M3504" t="str">
            <v>MARIA LOURDES</v>
          </cell>
        </row>
        <row r="3505">
          <cell r="B3505">
            <v>5226499</v>
          </cell>
          <cell r="C3505" t="str">
            <v>NEWREST BR SERV AUX AO TRANS AEREO</v>
          </cell>
          <cell r="D3505" t="str">
            <v>6001</v>
          </cell>
          <cell r="E3505" t="str">
            <v>0125</v>
          </cell>
          <cell r="F3505" t="str">
            <v>C1</v>
          </cell>
          <cell r="G3505" t="str">
            <v>SP</v>
          </cell>
          <cell r="H3505" t="str">
            <v>QSR</v>
          </cell>
          <cell r="I3505" t="str">
            <v>FOOD SERVICE</v>
          </cell>
          <cell r="J3505" t="str">
            <v>ANA MENIQUETE</v>
          </cell>
          <cell r="K3505" t="str">
            <v>ITAMBÉ</v>
          </cell>
          <cell r="L3505" t="str">
            <v>PEDRO</v>
          </cell>
          <cell r="M3505" t="str">
            <v>ANA MENIQUETE</v>
          </cell>
        </row>
        <row r="3506">
          <cell r="B3506">
            <v>5226500</v>
          </cell>
          <cell r="C3506" t="str">
            <v>GARRA COMERCIO ATACADISTA DE ALIM L</v>
          </cell>
          <cell r="D3506" t="str">
            <v>6001</v>
          </cell>
          <cell r="E3506" t="str">
            <v>0123</v>
          </cell>
          <cell r="F3506" t="str">
            <v>C1</v>
          </cell>
          <cell r="G3506" t="str">
            <v>DF</v>
          </cell>
          <cell r="H3506" t="str">
            <v>DISTRIBUIÇÃO</v>
          </cell>
          <cell r="I3506" t="str">
            <v>FOOD SERVICE</v>
          </cell>
          <cell r="J3506" t="str">
            <v>MARCO AURELIO</v>
          </cell>
          <cell r="K3506" t="str">
            <v>ITAMBÉ</v>
          </cell>
          <cell r="L3506" t="str">
            <v>RODRIGO</v>
          </cell>
          <cell r="M3506" t="str">
            <v>MARCO AURELIO</v>
          </cell>
        </row>
        <row r="3507">
          <cell r="B3507">
            <v>5226531</v>
          </cell>
          <cell r="C3507" t="str">
            <v>NOBREDO COMERCIO E LOGISTICA LTDA</v>
          </cell>
          <cell r="D3507" t="str">
            <v>6001</v>
          </cell>
          <cell r="E3507" t="str">
            <v>0169</v>
          </cell>
          <cell r="F3507" t="str">
            <v>C1</v>
          </cell>
          <cell r="G3507" t="str">
            <v>RJ</v>
          </cell>
          <cell r="H3507" t="str">
            <v>DISTRIBUIÇÃO</v>
          </cell>
          <cell r="I3507" t="str">
            <v>FOOD SERVICE</v>
          </cell>
          <cell r="J3507" t="str">
            <v>LUCIANA MARTINS</v>
          </cell>
          <cell r="K3507" t="str">
            <v>ITAMBÉ</v>
          </cell>
          <cell r="L3507" t="str">
            <v>RODRIGO</v>
          </cell>
          <cell r="M3507" t="str">
            <v>JESSICA</v>
          </cell>
        </row>
        <row r="3508">
          <cell r="B3508">
            <v>5226643</v>
          </cell>
          <cell r="C3508" t="str">
            <v>HOSPITAL MATER DEI SA</v>
          </cell>
          <cell r="D3508" t="str">
            <v>6001</v>
          </cell>
          <cell r="E3508" t="str">
            <v>0127</v>
          </cell>
          <cell r="F3508" t="str">
            <v>C1</v>
          </cell>
          <cell r="G3508" t="str">
            <v>BA</v>
          </cell>
          <cell r="H3508" t="str">
            <v>DISTRIBUIÇÃO</v>
          </cell>
          <cell r="I3508" t="str">
            <v>FOOD SERVICE</v>
          </cell>
          <cell r="J3508" t="str">
            <v>CLAUDIO JORGE/LUIZ</v>
          </cell>
          <cell r="K3508" t="str">
            <v>ITAMBÉ</v>
          </cell>
          <cell r="L3508" t="str">
            <v>RODRIGO</v>
          </cell>
          <cell r="M3508" t="str">
            <v>MARIA LOURDES</v>
          </cell>
        </row>
        <row r="3509">
          <cell r="B3509">
            <v>5226985</v>
          </cell>
          <cell r="C3509" t="str">
            <v>DISTRIBUIDORA E IMP IRMAOS AVELINO</v>
          </cell>
          <cell r="D3509" t="str">
            <v>6001</v>
          </cell>
          <cell r="E3509" t="str">
            <v>0125</v>
          </cell>
          <cell r="F3509" t="str">
            <v>C1</v>
          </cell>
          <cell r="G3509" t="str">
            <v>SP</v>
          </cell>
          <cell r="H3509" t="str">
            <v>DISTRIBUIÇÃO</v>
          </cell>
          <cell r="I3509" t="str">
            <v>FOOD SERVICE</v>
          </cell>
          <cell r="J3509" t="str">
            <v>RAQUEL BARBOSA</v>
          </cell>
          <cell r="K3509" t="str">
            <v>ITAMBÉ</v>
          </cell>
          <cell r="L3509" t="str">
            <v>RODRIGO</v>
          </cell>
          <cell r="M3509" t="str">
            <v>RAQUEL BARBOSA</v>
          </cell>
        </row>
        <row r="3510">
          <cell r="B3510">
            <v>5227156</v>
          </cell>
          <cell r="C3510" t="str">
            <v>GELARTE ACAI MIX IND E COM DE S LTD</v>
          </cell>
          <cell r="D3510" t="str">
            <v>6001</v>
          </cell>
          <cell r="E3510" t="str">
            <v>0028</v>
          </cell>
          <cell r="F3510" t="str">
            <v>C1</v>
          </cell>
          <cell r="G3510" t="str">
            <v>RJ</v>
          </cell>
          <cell r="H3510" t="str">
            <v>INGREDIENTS</v>
          </cell>
          <cell r="I3510" t="str">
            <v>INGREDIENTS</v>
          </cell>
          <cell r="J3510" t="str">
            <v>RJ ITB FS CDR REPRESENTAÇÕES</v>
          </cell>
          <cell r="K3510" t="str">
            <v>ITAMBÉ</v>
          </cell>
          <cell r="L3510" t="str">
            <v>MAURICIO</v>
          </cell>
          <cell r="M3510" t="str">
            <v>TATIANA NITTA</v>
          </cell>
        </row>
        <row r="3511">
          <cell r="B3511">
            <v>5227253</v>
          </cell>
          <cell r="C3511" t="str">
            <v>PLATLOG IMPORTACAO LOG DIST LTDA</v>
          </cell>
          <cell r="D3511" t="str">
            <v>6001</v>
          </cell>
          <cell r="E3511" t="str">
            <v>0125</v>
          </cell>
          <cell r="F3511" t="str">
            <v>C1</v>
          </cell>
          <cell r="G3511" t="str">
            <v>SP</v>
          </cell>
          <cell r="H3511" t="str">
            <v>QSR</v>
          </cell>
          <cell r="I3511" t="str">
            <v>FOOD SERVICE</v>
          </cell>
          <cell r="J3511" t="str">
            <v>ANA MENIQUETE</v>
          </cell>
          <cell r="K3511" t="str">
            <v>ITAMBÉ</v>
          </cell>
          <cell r="L3511" t="str">
            <v>PEDRO</v>
          </cell>
          <cell r="M3511" t="str">
            <v>ANA MENIQUETE</v>
          </cell>
        </row>
        <row r="3512">
          <cell r="B3512">
            <v>5228827</v>
          </cell>
          <cell r="C3512" t="str">
            <v>FABRICA ACAI MAGNIFICO LTDA</v>
          </cell>
          <cell r="D3512" t="str">
            <v>6001</v>
          </cell>
          <cell r="E3512" t="str">
            <v>0125</v>
          </cell>
          <cell r="F3512" t="str">
            <v>C1</v>
          </cell>
          <cell r="G3512" t="str">
            <v>SP</v>
          </cell>
          <cell r="H3512" t="str">
            <v>INGREDIENTS</v>
          </cell>
          <cell r="I3512" t="str">
            <v>INGREDIENTS</v>
          </cell>
          <cell r="J3512" t="str">
            <v>HENRIQUE FERREIRA</v>
          </cell>
          <cell r="K3512" t="str">
            <v>ITAMBÉ</v>
          </cell>
          <cell r="L3512" t="str">
            <v>MAURICIO</v>
          </cell>
          <cell r="M3512" t="str">
            <v>JOEL</v>
          </cell>
        </row>
        <row r="3513">
          <cell r="B3513">
            <v>5229130</v>
          </cell>
          <cell r="C3513" t="str">
            <v>PLATLOG IMPORTACAO LOGISTICA E DIST</v>
          </cell>
          <cell r="D3513" t="str">
            <v>6001</v>
          </cell>
          <cell r="E3513" t="str">
            <v>0125</v>
          </cell>
          <cell r="F3513" t="str">
            <v>C1</v>
          </cell>
          <cell r="G3513" t="str">
            <v>SP</v>
          </cell>
          <cell r="H3513" t="str">
            <v>QSR</v>
          </cell>
          <cell r="I3513" t="str">
            <v>FOOD SERVICE</v>
          </cell>
          <cell r="J3513" t="str">
            <v>ANA MENIQUETE</v>
          </cell>
          <cell r="K3513" t="str">
            <v>ITAMBÉ</v>
          </cell>
          <cell r="L3513" t="str">
            <v>PEDRO</v>
          </cell>
          <cell r="M3513" t="str">
            <v>ANA MENIQUETE</v>
          </cell>
        </row>
        <row r="3514">
          <cell r="B3514">
            <v>5229510</v>
          </cell>
          <cell r="C3514" t="str">
            <v>DLVA DISTRIB DE PROD ALIMEN LTD</v>
          </cell>
          <cell r="D3514" t="str">
            <v>6001</v>
          </cell>
          <cell r="E3514" t="str">
            <v>0028</v>
          </cell>
          <cell r="F3514" t="str">
            <v>C1</v>
          </cell>
          <cell r="G3514" t="str">
            <v>SP</v>
          </cell>
          <cell r="H3514" t="str">
            <v>INGREDIENTS</v>
          </cell>
          <cell r="I3514" t="str">
            <v>INGREDIENTS</v>
          </cell>
          <cell r="J3514" t="str">
            <v>ITB FS SPLENDI REPRESENTAÇÕES</v>
          </cell>
          <cell r="K3514" t="str">
            <v>ITAMBÉ</v>
          </cell>
          <cell r="L3514" t="str">
            <v>MAURICIO</v>
          </cell>
          <cell r="M3514" t="str">
            <v>TATIANA NITTA</v>
          </cell>
        </row>
        <row r="3515">
          <cell r="B3515">
            <v>5229985</v>
          </cell>
          <cell r="C3515" t="str">
            <v>FRANCISCO C LIMA DISTRIB DE ALI</v>
          </cell>
          <cell r="D3515" t="str">
            <v>6001</v>
          </cell>
          <cell r="E3515" t="str">
            <v>0127</v>
          </cell>
          <cell r="F3515" t="str">
            <v>C1</v>
          </cell>
          <cell r="G3515" t="str">
            <v>CE</v>
          </cell>
          <cell r="H3515" t="str">
            <v>DISTRIBUIÇÃO</v>
          </cell>
          <cell r="I3515" t="str">
            <v>FOOD SERVICE</v>
          </cell>
          <cell r="J3515" t="str">
            <v>WH FOOD SERVICE CE</v>
          </cell>
          <cell r="K3515" t="str">
            <v>ITAMBÉ</v>
          </cell>
          <cell r="L3515" t="str">
            <v>RODRIGO</v>
          </cell>
          <cell r="M3515" t="str">
            <v>MARIA LOURDES</v>
          </cell>
        </row>
        <row r="3516">
          <cell r="B3516">
            <v>5230141</v>
          </cell>
          <cell r="C3516" t="str">
            <v>DADALTO E SILVA LTDA</v>
          </cell>
          <cell r="D3516" t="str">
            <v>6001</v>
          </cell>
          <cell r="E3516" t="str">
            <v>0169</v>
          </cell>
          <cell r="F3516" t="str">
            <v>C1</v>
          </cell>
          <cell r="G3516" t="str">
            <v>ES</v>
          </cell>
          <cell r="H3516" t="str">
            <v>DISTRIBUIÇÃO</v>
          </cell>
          <cell r="I3516" t="str">
            <v>FOOD SERVICE</v>
          </cell>
          <cell r="J3516" t="str">
            <v>MARCELO DUARTE</v>
          </cell>
          <cell r="K3516" t="str">
            <v>ITAMBÉ</v>
          </cell>
          <cell r="L3516" t="str">
            <v>RODRIGO</v>
          </cell>
          <cell r="M3516" t="str">
            <v>JESSICA</v>
          </cell>
        </row>
        <row r="3517">
          <cell r="B3517">
            <v>5231303</v>
          </cell>
          <cell r="C3517" t="str">
            <v>SUPER VINHOS DISTRIBUIDORA S A</v>
          </cell>
          <cell r="D3517" t="str">
            <v>6001</v>
          </cell>
          <cell r="E3517" t="str">
            <v>0169</v>
          </cell>
          <cell r="F3517" t="str">
            <v>C1</v>
          </cell>
          <cell r="G3517" t="str">
            <v>RJ</v>
          </cell>
          <cell r="H3517" t="str">
            <v>DISTRIBUIÇÃO</v>
          </cell>
          <cell r="I3517" t="str">
            <v>FOOD SERVICE</v>
          </cell>
          <cell r="J3517" t="str">
            <v>LUCIANA MARTINS</v>
          </cell>
          <cell r="K3517" t="str">
            <v>ITAMBÉ</v>
          </cell>
          <cell r="L3517" t="str">
            <v>RODRIGO</v>
          </cell>
          <cell r="M3517" t="str">
            <v>JESSICA</v>
          </cell>
        </row>
        <row r="3518">
          <cell r="B3518">
            <v>5232460</v>
          </cell>
          <cell r="C3518" t="str">
            <v>GELATO LUCE COMERCIO LTDA</v>
          </cell>
          <cell r="D3518" t="str">
            <v>6001</v>
          </cell>
          <cell r="E3518" t="str">
            <v>0127</v>
          </cell>
          <cell r="F3518" t="str">
            <v>C1</v>
          </cell>
          <cell r="G3518" t="str">
            <v>BA</v>
          </cell>
          <cell r="H3518" t="str">
            <v>DISTRIBUIÇÃO</v>
          </cell>
          <cell r="I3518" t="str">
            <v>FOOD SERVICE</v>
          </cell>
          <cell r="J3518" t="str">
            <v>CLAUDIO JORGE/LUIZ</v>
          </cell>
          <cell r="K3518" t="str">
            <v>ITAMBÉ</v>
          </cell>
          <cell r="L3518" t="str">
            <v>RODRIGO</v>
          </cell>
          <cell r="M3518" t="str">
            <v>MARIA LOURDES</v>
          </cell>
        </row>
        <row r="3519">
          <cell r="B3519">
            <v>5233833</v>
          </cell>
          <cell r="C3519" t="str">
            <v>CBAF COMERCIO DE ALIMENTOS LTDA</v>
          </cell>
          <cell r="D3519" t="str">
            <v>6001</v>
          </cell>
          <cell r="E3519" t="str">
            <v>0125</v>
          </cell>
          <cell r="F3519" t="str">
            <v>C1</v>
          </cell>
          <cell r="G3519" t="str">
            <v>SP</v>
          </cell>
          <cell r="H3519" t="str">
            <v>QSR</v>
          </cell>
          <cell r="I3519" t="str">
            <v>FOOD SERVICE</v>
          </cell>
          <cell r="J3519" t="str">
            <v>VAGO QSR</v>
          </cell>
          <cell r="K3519" t="str">
            <v>ITAMBÉ</v>
          </cell>
          <cell r="L3519" t="str">
            <v>PEDRO</v>
          </cell>
          <cell r="M3519" t="str">
            <v>VAGO QSR</v>
          </cell>
        </row>
        <row r="3520">
          <cell r="B3520">
            <v>5255804</v>
          </cell>
          <cell r="C3520" t="str">
            <v>COMFRIO FOOD SERVICE LTDA</v>
          </cell>
          <cell r="D3520" t="str">
            <v>6001</v>
          </cell>
          <cell r="E3520" t="str">
            <v>0125</v>
          </cell>
          <cell r="F3520" t="str">
            <v>C1</v>
          </cell>
          <cell r="G3520" t="str">
            <v>SP</v>
          </cell>
          <cell r="H3520" t="str">
            <v>QSR</v>
          </cell>
          <cell r="I3520" t="str">
            <v>FOOD SERVICE</v>
          </cell>
          <cell r="J3520" t="str">
            <v>VAGO QSR</v>
          </cell>
          <cell r="K3520" t="str">
            <v>ITAMBÉ</v>
          </cell>
          <cell r="L3520" t="str">
            <v>PEDRO</v>
          </cell>
          <cell r="M3520" t="str">
            <v>VAGO QSR</v>
          </cell>
        </row>
        <row r="3521">
          <cell r="B3521">
            <v>5256539</v>
          </cell>
          <cell r="C3521" t="str">
            <v>MAGAZZINO DIST DE ALIMENTOS LTD</v>
          </cell>
          <cell r="D3521" t="str">
            <v>6001</v>
          </cell>
          <cell r="E3521" t="str">
            <v>0169</v>
          </cell>
          <cell r="F3521" t="str">
            <v>C1</v>
          </cell>
          <cell r="G3521" t="str">
            <v>RJ</v>
          </cell>
          <cell r="H3521" t="str">
            <v>QSR</v>
          </cell>
          <cell r="I3521" t="str">
            <v>FOOD SERVICE</v>
          </cell>
          <cell r="J3521" t="str">
            <v>VAGO QSR</v>
          </cell>
          <cell r="K3521" t="str">
            <v>ITAMBÉ</v>
          </cell>
          <cell r="L3521" t="str">
            <v>PEDRO</v>
          </cell>
          <cell r="M3521" t="str">
            <v>VAGO QSR</v>
          </cell>
        </row>
        <row r="3522">
          <cell r="B3522">
            <v>5259915</v>
          </cell>
          <cell r="C3522" t="str">
            <v>PAMA COM DE GENEROS ALIMENTICIOS LT</v>
          </cell>
          <cell r="D3522" t="str">
            <v>6001</v>
          </cell>
          <cell r="E3522" t="str">
            <v>0125</v>
          </cell>
          <cell r="F3522" t="str">
            <v>C1</v>
          </cell>
          <cell r="G3522" t="str">
            <v>SP</v>
          </cell>
          <cell r="H3522" t="str">
            <v>DISTRIBUIÇÃO</v>
          </cell>
          <cell r="I3522" t="str">
            <v>FOOD SERVICE</v>
          </cell>
          <cell r="J3522" t="str">
            <v>GUILHERME NASCIMENTO</v>
          </cell>
          <cell r="K3522" t="str">
            <v>ITAMBÉ</v>
          </cell>
          <cell r="L3522" t="str">
            <v>RODRIGO</v>
          </cell>
          <cell r="M3522" t="str">
            <v>ALEXANDRO</v>
          </cell>
        </row>
        <row r="3523">
          <cell r="B3523">
            <v>5261089</v>
          </cell>
          <cell r="C3523" t="str">
            <v>INTERFRIOS COM FRIOS LATCINIOS</v>
          </cell>
          <cell r="D3523" t="str">
            <v>6001</v>
          </cell>
          <cell r="E3523" t="str">
            <v>0125</v>
          </cell>
          <cell r="F3523" t="str">
            <v>C1</v>
          </cell>
          <cell r="G3523" t="str">
            <v>SP</v>
          </cell>
          <cell r="H3523" t="str">
            <v>DISTRIBUIÇÃO</v>
          </cell>
          <cell r="I3523" t="str">
            <v>FOOD SERVICE</v>
          </cell>
          <cell r="J3523" t="str">
            <v>GUILHERME NASCIMENTO</v>
          </cell>
          <cell r="K3523" t="str">
            <v>ITAMBÉ</v>
          </cell>
          <cell r="L3523" t="str">
            <v>RODRIGO</v>
          </cell>
          <cell r="M3523" t="str">
            <v>ALEXANDRO</v>
          </cell>
        </row>
        <row r="3524">
          <cell r="B3524">
            <v>5266097</v>
          </cell>
          <cell r="C3524" t="str">
            <v>CAPITAL DAS CESTAS LTDA</v>
          </cell>
          <cell r="D3524" t="str">
            <v>7001</v>
          </cell>
          <cell r="E3524" t="str">
            <v>0749</v>
          </cell>
          <cell r="F3524" t="str">
            <v>C5</v>
          </cell>
          <cell r="G3524" t="str">
            <v>SP</v>
          </cell>
          <cell r="H3524" t="str">
            <v>DISTRIBUIÇÃO</v>
          </cell>
          <cell r="I3524" t="str">
            <v>FOOD SERVICE</v>
          </cell>
          <cell r="J3524" t="str">
            <v>FLAC 1</v>
          </cell>
          <cell r="K3524" t="str">
            <v>LACTALIS</v>
          </cell>
          <cell r="L3524" t="str">
            <v>RODRIGO</v>
          </cell>
          <cell r="M3524" t="str">
            <v>RAQUEL BARBOSA</v>
          </cell>
        </row>
        <row r="3525">
          <cell r="B3525">
            <v>5271447</v>
          </cell>
          <cell r="C3525" t="str">
            <v>NOBREDO COMERCIO E LOGISTICA LT</v>
          </cell>
          <cell r="D3525" t="str">
            <v>6001</v>
          </cell>
          <cell r="E3525" t="str">
            <v>0169</v>
          </cell>
          <cell r="F3525" t="str">
            <v>C1</v>
          </cell>
          <cell r="G3525" t="str">
            <v>ES</v>
          </cell>
          <cell r="H3525" t="str">
            <v>DISTRIBUIÇÃO</v>
          </cell>
          <cell r="I3525" t="str">
            <v>FOOD SERVICE</v>
          </cell>
          <cell r="J3525" t="str">
            <v>LUCIANA MARTINS</v>
          </cell>
          <cell r="K3525" t="str">
            <v>ITAMBÉ</v>
          </cell>
          <cell r="L3525" t="str">
            <v>RODRIGO</v>
          </cell>
          <cell r="M3525" t="str">
            <v>JESSICA</v>
          </cell>
        </row>
        <row r="3526">
          <cell r="B3526">
            <v>5272524</v>
          </cell>
          <cell r="C3526" t="str">
            <v>ANDRE REGIANI</v>
          </cell>
          <cell r="D3526" t="str">
            <v>6001</v>
          </cell>
          <cell r="E3526" t="str">
            <v>0125</v>
          </cell>
          <cell r="F3526" t="str">
            <v>C1</v>
          </cell>
          <cell r="G3526" t="str">
            <v>SP</v>
          </cell>
          <cell r="H3526" t="str">
            <v>OUTROS</v>
          </cell>
          <cell r="I3526" t="str">
            <v>OUTROS</v>
          </cell>
          <cell r="J3526" t="str">
            <v>OUTROS</v>
          </cell>
          <cell r="K3526" t="str">
            <v>ITAMBÉ</v>
          </cell>
          <cell r="L3526" t="str">
            <v>OUTROS</v>
          </cell>
          <cell r="M3526" t="str">
            <v>OUTROS</v>
          </cell>
        </row>
        <row r="3527">
          <cell r="B3527">
            <v>5307722</v>
          </cell>
          <cell r="C3527" t="str">
            <v>SELECTO CACAU IND E COM PR ALIM</v>
          </cell>
          <cell r="D3527" t="str">
            <v>6001</v>
          </cell>
          <cell r="E3527" t="str">
            <v>0125</v>
          </cell>
          <cell r="F3527" t="str">
            <v>C1</v>
          </cell>
          <cell r="G3527" t="str">
            <v>SP</v>
          </cell>
          <cell r="H3527" t="str">
            <v>INGREDIENTS</v>
          </cell>
          <cell r="I3527" t="str">
            <v>INGREDIENTS</v>
          </cell>
          <cell r="J3527" t="str">
            <v>TATIANA NITTA</v>
          </cell>
          <cell r="K3527" t="str">
            <v>ITAMBÉ</v>
          </cell>
          <cell r="L3527" t="str">
            <v>MAURICIO</v>
          </cell>
          <cell r="M3527" t="str">
            <v>TATIANA NITTA</v>
          </cell>
        </row>
        <row r="3528">
          <cell r="B3528">
            <v>5310560</v>
          </cell>
          <cell r="C3528" t="str">
            <v>ARTPAN COMERCIO DE ALIMENTOS LTDA</v>
          </cell>
          <cell r="D3528" t="str">
            <v>6001</v>
          </cell>
          <cell r="E3528" t="str">
            <v>0123</v>
          </cell>
          <cell r="F3528" t="str">
            <v>C1</v>
          </cell>
          <cell r="G3528" t="str">
            <v>MS</v>
          </cell>
          <cell r="H3528" t="str">
            <v>DISTRIBUIÇÃO</v>
          </cell>
          <cell r="I3528" t="str">
            <v>FOOD SERVICE</v>
          </cell>
          <cell r="J3528" t="str">
            <v>MARCO AURELIO</v>
          </cell>
          <cell r="K3528" t="str">
            <v>ITAMBÉ</v>
          </cell>
          <cell r="L3528" t="str">
            <v>RODRIGO</v>
          </cell>
          <cell r="M3528" t="str">
            <v>MARCO AURELIO</v>
          </cell>
        </row>
        <row r="3529">
          <cell r="B3529">
            <v>5313456</v>
          </cell>
          <cell r="C3529" t="str">
            <v>PORTEFRIO DISTRIBUIDORA DE GENEROS</v>
          </cell>
          <cell r="D3529" t="str">
            <v>6001</v>
          </cell>
          <cell r="E3529" t="str">
            <v>0169</v>
          </cell>
          <cell r="F3529" t="str">
            <v>C1</v>
          </cell>
          <cell r="G3529" t="str">
            <v>RJ</v>
          </cell>
          <cell r="H3529" t="str">
            <v>DISTRIBUIÇÃO</v>
          </cell>
          <cell r="I3529" t="str">
            <v>FOOD SERVICE</v>
          </cell>
          <cell r="J3529" t="str">
            <v>JULIANA CORDEIRO</v>
          </cell>
          <cell r="K3529" t="str">
            <v>ITAMBÉ</v>
          </cell>
          <cell r="L3529" t="str">
            <v>RODRIGO</v>
          </cell>
          <cell r="M3529" t="str">
            <v>JESSICA</v>
          </cell>
        </row>
        <row r="3530">
          <cell r="B3530">
            <v>5315925</v>
          </cell>
          <cell r="C3530" t="str">
            <v>CB VITORIA COMERCIO DE ALIMENTO</v>
          </cell>
          <cell r="D3530" t="str">
            <v>6001</v>
          </cell>
          <cell r="E3530" t="str">
            <v>0169</v>
          </cell>
          <cell r="F3530" t="str">
            <v>C1</v>
          </cell>
          <cell r="G3530" t="str">
            <v>ES</v>
          </cell>
          <cell r="H3530" t="str">
            <v>QSR</v>
          </cell>
          <cell r="I3530" t="str">
            <v>FOOD SERVICE</v>
          </cell>
          <cell r="J3530" t="str">
            <v>VAGO QSR</v>
          </cell>
          <cell r="K3530" t="str">
            <v>ITAMBÉ</v>
          </cell>
          <cell r="L3530" t="str">
            <v>PEDRO</v>
          </cell>
          <cell r="M3530" t="str">
            <v>VAGO QSR</v>
          </cell>
        </row>
        <row r="3531">
          <cell r="B3531">
            <v>5316223</v>
          </cell>
          <cell r="C3531" t="str">
            <v>DM MERCADO LTDA</v>
          </cell>
          <cell r="D3531" t="str">
            <v>6001</v>
          </cell>
          <cell r="E3531" t="str">
            <v>0125</v>
          </cell>
          <cell r="F3531" t="str">
            <v>C1</v>
          </cell>
          <cell r="G3531" t="str">
            <v>SP</v>
          </cell>
          <cell r="H3531" t="str">
            <v>DISTRIBUIÇÃO</v>
          </cell>
          <cell r="I3531" t="str">
            <v>FOOD SERVICE</v>
          </cell>
          <cell r="J3531" t="str">
            <v>SP ITB FS FLAC REP.E COMERCIO</v>
          </cell>
          <cell r="K3531" t="str">
            <v>ITAMBÉ</v>
          </cell>
          <cell r="L3531" t="str">
            <v>RODRIGO</v>
          </cell>
          <cell r="M3531" t="str">
            <v>RAQUEL BARBOSA</v>
          </cell>
        </row>
        <row r="3532">
          <cell r="B3532">
            <v>5317846</v>
          </cell>
          <cell r="C3532" t="str">
            <v>ACAI GRUMARI AVARE LTDA</v>
          </cell>
          <cell r="D3532" t="str">
            <v>6001</v>
          </cell>
          <cell r="E3532" t="str">
            <v>0028</v>
          </cell>
          <cell r="F3532" t="str">
            <v>C1</v>
          </cell>
          <cell r="G3532" t="str">
            <v>RJ</v>
          </cell>
          <cell r="H3532" t="str">
            <v>INGREDIENTS</v>
          </cell>
          <cell r="I3532" t="str">
            <v>INGREDIENTS</v>
          </cell>
          <cell r="J3532" t="str">
            <v>RJ ITB FS CDR REPRESENTAÇÕES</v>
          </cell>
          <cell r="K3532" t="str">
            <v>ITAMBÉ</v>
          </cell>
          <cell r="L3532" t="str">
            <v>MAURICIO</v>
          </cell>
          <cell r="M3532" t="str">
            <v>TATIANA NITTA</v>
          </cell>
        </row>
        <row r="3533">
          <cell r="B3533">
            <v>5320070</v>
          </cell>
          <cell r="C3533" t="str">
            <v>MON CHOU COM IMPORTACAO E EXPOR</v>
          </cell>
          <cell r="D3533" t="str">
            <v>6001</v>
          </cell>
          <cell r="E3533" t="str">
            <v>0169</v>
          </cell>
          <cell r="F3533" t="str">
            <v>C1</v>
          </cell>
          <cell r="G3533" t="str">
            <v>RJ</v>
          </cell>
          <cell r="H3533" t="str">
            <v>DISTRIBUIÇÃO</v>
          </cell>
          <cell r="I3533" t="str">
            <v>FOOD SERVICE</v>
          </cell>
          <cell r="J3533" t="str">
            <v>LUCIANA MARTINS</v>
          </cell>
          <cell r="K3533" t="str">
            <v>ITAMBÉ</v>
          </cell>
          <cell r="L3533" t="str">
            <v>RODRIGO</v>
          </cell>
          <cell r="M3533" t="str">
            <v>JESSICA</v>
          </cell>
        </row>
        <row r="3534">
          <cell r="B3534">
            <v>5324461</v>
          </cell>
          <cell r="C3534" t="str">
            <v>RODOLUKI COMERCIO LOGISTICA</v>
          </cell>
          <cell r="D3534" t="str">
            <v>6001</v>
          </cell>
          <cell r="E3534" t="str">
            <v>0125</v>
          </cell>
          <cell r="F3534" t="str">
            <v>C1</v>
          </cell>
          <cell r="G3534" t="str">
            <v>SP</v>
          </cell>
          <cell r="H3534" t="str">
            <v>QSR</v>
          </cell>
          <cell r="I3534" t="str">
            <v>FOOD SERVICE</v>
          </cell>
          <cell r="J3534" t="str">
            <v>ANA MENIQUETE</v>
          </cell>
          <cell r="K3534" t="str">
            <v>ITAMBÉ</v>
          </cell>
          <cell r="L3534" t="str">
            <v>PEDRO</v>
          </cell>
          <cell r="M3534" t="str">
            <v>ANA MENIQUETE</v>
          </cell>
        </row>
        <row r="3535">
          <cell r="B3535">
            <v>5330552</v>
          </cell>
          <cell r="C3535" t="str">
            <v>ML FLAVORS COMERCIO</v>
          </cell>
          <cell r="D3535" t="str">
            <v>6001</v>
          </cell>
          <cell r="E3535" t="str">
            <v>0127</v>
          </cell>
          <cell r="F3535" t="str">
            <v>C1</v>
          </cell>
          <cell r="G3535" t="str">
            <v>BA</v>
          </cell>
          <cell r="H3535" t="str">
            <v>INGREDIENTS</v>
          </cell>
          <cell r="I3535" t="str">
            <v>INGREDIENTS</v>
          </cell>
          <cell r="J3535" t="str">
            <v>BA ITB FS ML FLAVORS</v>
          </cell>
          <cell r="K3535" t="str">
            <v>ITAMBÉ</v>
          </cell>
          <cell r="L3535" t="str">
            <v>MAURICIO</v>
          </cell>
          <cell r="M3535" t="str">
            <v>JOEL</v>
          </cell>
        </row>
        <row r="3536">
          <cell r="B3536">
            <v>5335635</v>
          </cell>
          <cell r="C3536" t="str">
            <v>SUSANA SALES SIQUEIRA 159179698</v>
          </cell>
          <cell r="D3536" t="str">
            <v>6001</v>
          </cell>
          <cell r="E3536" t="str">
            <v>0028</v>
          </cell>
          <cell r="F3536" t="str">
            <v>C1</v>
          </cell>
          <cell r="G3536" t="str">
            <v>BA</v>
          </cell>
          <cell r="H3536" t="str">
            <v>INGREDIENTS</v>
          </cell>
          <cell r="I3536" t="str">
            <v>INGREDIENTS</v>
          </cell>
          <cell r="J3536" t="str">
            <v>BA ITB FS ML FLAVORS</v>
          </cell>
          <cell r="K3536" t="str">
            <v>ITAMBÉ</v>
          </cell>
          <cell r="L3536" t="str">
            <v>MAURICIO</v>
          </cell>
          <cell r="M3536" t="str">
            <v>JOEL</v>
          </cell>
        </row>
        <row r="3537">
          <cell r="B3537">
            <v>5336828</v>
          </cell>
          <cell r="C3537" t="str">
            <v>MILANO COMERCIO VAREJISTA DE ALIM SA</v>
          </cell>
          <cell r="D3537" t="str">
            <v>6001</v>
          </cell>
          <cell r="E3537" t="str">
            <v>0125</v>
          </cell>
          <cell r="F3537" t="str">
            <v>C1</v>
          </cell>
          <cell r="G3537" t="str">
            <v>SP</v>
          </cell>
          <cell r="H3537" t="str">
            <v>QSR</v>
          </cell>
          <cell r="I3537" t="str">
            <v>FOOD SERVICE</v>
          </cell>
          <cell r="J3537" t="str">
            <v>ANA MENIQUETE</v>
          </cell>
          <cell r="K3537" t="str">
            <v>ITAMBÉ</v>
          </cell>
          <cell r="L3537" t="str">
            <v>PEDRO</v>
          </cell>
          <cell r="M3537" t="str">
            <v>ANA MENIQUETE</v>
          </cell>
        </row>
        <row r="3538">
          <cell r="B3538">
            <v>5336831</v>
          </cell>
          <cell r="C3538" t="str">
            <v>COMERCIO VAREJISTA DE SORVETES</v>
          </cell>
          <cell r="D3538" t="str">
            <v>6001</v>
          </cell>
          <cell r="E3538" t="str">
            <v>0125</v>
          </cell>
          <cell r="F3538" t="str">
            <v>C1</v>
          </cell>
          <cell r="G3538" t="str">
            <v>SP</v>
          </cell>
          <cell r="H3538" t="str">
            <v>QSR</v>
          </cell>
          <cell r="I3538" t="str">
            <v>FOOD SERVICE</v>
          </cell>
          <cell r="J3538" t="str">
            <v>NUTRI</v>
          </cell>
          <cell r="K3538" t="str">
            <v>ITAMBÉ</v>
          </cell>
          <cell r="L3538" t="str">
            <v>PEDRO</v>
          </cell>
          <cell r="M3538" t="str">
            <v>VAGO QSR</v>
          </cell>
        </row>
        <row r="3539">
          <cell r="B3539">
            <v>5336832</v>
          </cell>
          <cell r="C3539" t="str">
            <v>COLORADO COMERCIO DE SORVETES LTDA</v>
          </cell>
          <cell r="D3539" t="str">
            <v>6001</v>
          </cell>
          <cell r="E3539" t="str">
            <v>0125</v>
          </cell>
          <cell r="F3539" t="str">
            <v>C1</v>
          </cell>
          <cell r="G3539" t="str">
            <v>SP</v>
          </cell>
          <cell r="H3539" t="str">
            <v>QSR</v>
          </cell>
          <cell r="I3539" t="str">
            <v>FOOD SERVICE</v>
          </cell>
          <cell r="J3539" t="str">
            <v>NUTRI</v>
          </cell>
          <cell r="K3539" t="str">
            <v>ITAMBÉ</v>
          </cell>
          <cell r="L3539" t="str">
            <v>PEDRO</v>
          </cell>
          <cell r="M3539" t="str">
            <v>VAGO QSR</v>
          </cell>
        </row>
        <row r="3540">
          <cell r="B3540">
            <v>5337138</v>
          </cell>
          <cell r="C3540" t="str">
            <v>VSG DISTRIBUIDORA LTDA</v>
          </cell>
          <cell r="D3540" t="str">
            <v>3001</v>
          </cell>
          <cell r="E3540" t="str">
            <v>0028</v>
          </cell>
          <cell r="F3540" t="str">
            <v>C1</v>
          </cell>
          <cell r="G3540" t="str">
            <v>PR</v>
          </cell>
          <cell r="H3540" t="str">
            <v>INGREDIENTS</v>
          </cell>
          <cell r="I3540" t="str">
            <v>INGREDIENTS</v>
          </cell>
          <cell r="J3540" t="str">
            <v>MARCELO RODRIGUES</v>
          </cell>
          <cell r="K3540" t="str">
            <v>ITAMBÉ</v>
          </cell>
          <cell r="L3540" t="str">
            <v>MAURICIO</v>
          </cell>
          <cell r="M3540" t="str">
            <v>MARCELO</v>
          </cell>
        </row>
        <row r="3541">
          <cell r="B3541">
            <v>5338003</v>
          </cell>
          <cell r="C3541" t="str">
            <v>WGS COMERCIO DE PROD ALIMENTICI</v>
          </cell>
          <cell r="D3541" t="str">
            <v>6001</v>
          </cell>
          <cell r="E3541" t="str">
            <v>0127</v>
          </cell>
          <cell r="F3541" t="str">
            <v>C1</v>
          </cell>
          <cell r="G3541" t="str">
            <v>BA</v>
          </cell>
          <cell r="H3541" t="str">
            <v>DISTRIBUIÇÃO</v>
          </cell>
          <cell r="I3541" t="str">
            <v>FOOD SERVICE</v>
          </cell>
          <cell r="J3541" t="str">
            <v>CLAUDIO JORGE/LUIZ</v>
          </cell>
          <cell r="K3541" t="str">
            <v>ITAMBÉ</v>
          </cell>
          <cell r="L3541" t="str">
            <v>RODRIGO</v>
          </cell>
          <cell r="M3541" t="str">
            <v>MARIA LOURDES</v>
          </cell>
        </row>
        <row r="3542">
          <cell r="B3542">
            <v>5338214</v>
          </cell>
          <cell r="C3542" t="str">
            <v>GAPEIXOTO DIST DE PROD ALIM LTD</v>
          </cell>
          <cell r="D3542" t="str">
            <v>6001</v>
          </cell>
          <cell r="E3542" t="str">
            <v>0125</v>
          </cell>
          <cell r="F3542" t="str">
            <v>C1</v>
          </cell>
          <cell r="G3542" t="str">
            <v>SP</v>
          </cell>
          <cell r="H3542" t="str">
            <v>DISTRIBUIÇÃO</v>
          </cell>
          <cell r="I3542" t="str">
            <v>FOOD SERVICE</v>
          </cell>
          <cell r="J3542" t="str">
            <v>VAGO SP</v>
          </cell>
          <cell r="K3542" t="str">
            <v>ITAMBÉ</v>
          </cell>
          <cell r="L3542" t="str">
            <v>RODRIGO</v>
          </cell>
          <cell r="M3542" t="str">
            <v>RAQUEL BARBOSA</v>
          </cell>
        </row>
        <row r="3543">
          <cell r="B3543">
            <v>5339140</v>
          </cell>
          <cell r="C3543" t="str">
            <v>SORVETERIA NORONHA LTDA</v>
          </cell>
          <cell r="D3543" t="str">
            <v>6001</v>
          </cell>
          <cell r="E3543" t="str">
            <v>0028</v>
          </cell>
          <cell r="F3543" t="str">
            <v>C1</v>
          </cell>
          <cell r="G3543" t="str">
            <v>MS</v>
          </cell>
          <cell r="H3543" t="str">
            <v>INGREDIENTS</v>
          </cell>
          <cell r="I3543" t="str">
            <v>INGREDIENTS</v>
          </cell>
          <cell r="J3543" t="str">
            <v>DUAS RODAS</v>
          </cell>
          <cell r="K3543" t="str">
            <v>ITAMBÉ</v>
          </cell>
          <cell r="L3543" t="str">
            <v>MAURICIO</v>
          </cell>
          <cell r="M3543" t="str">
            <v>MARCELO</v>
          </cell>
        </row>
        <row r="3544">
          <cell r="B3544">
            <v>5339186</v>
          </cell>
          <cell r="C3544" t="str">
            <v>ISRAEL YAMANISHI DOS REIS</v>
          </cell>
          <cell r="D3544" t="str">
            <v>6001</v>
          </cell>
          <cell r="E3544" t="str">
            <v>0028</v>
          </cell>
          <cell r="F3544" t="str">
            <v>C1</v>
          </cell>
          <cell r="G3544" t="str">
            <v>SP</v>
          </cell>
          <cell r="H3544" t="str">
            <v>INGREDIENTS</v>
          </cell>
          <cell r="I3544" t="str">
            <v>INGREDIENTS</v>
          </cell>
          <cell r="J3544" t="str">
            <v>ITB FS SPLENDI REPRESENTAÇÕES</v>
          </cell>
          <cell r="K3544" t="str">
            <v>ITAMBÉ</v>
          </cell>
          <cell r="L3544" t="str">
            <v>MAURICIO</v>
          </cell>
          <cell r="M3544" t="str">
            <v>TATIANA NITTA</v>
          </cell>
        </row>
        <row r="3545">
          <cell r="B3545">
            <v>5339674</v>
          </cell>
          <cell r="C3545" t="str">
            <v>LANCH E REST BAMBARAS LTDA</v>
          </cell>
          <cell r="D3545" t="str">
            <v>6001</v>
          </cell>
          <cell r="E3545" t="str">
            <v>0125</v>
          </cell>
          <cell r="F3545" t="str">
            <v>C1</v>
          </cell>
          <cell r="G3545" t="str">
            <v>SP</v>
          </cell>
          <cell r="H3545" t="str">
            <v>DISTRIBUIÇÃO</v>
          </cell>
          <cell r="I3545" t="str">
            <v>FOOD SERVICE</v>
          </cell>
          <cell r="J3545" t="str">
            <v>SP ITB FS FLAC REP.E COMERCIO</v>
          </cell>
          <cell r="K3545" t="str">
            <v>ITAMBÉ</v>
          </cell>
          <cell r="L3545" t="str">
            <v>RODRIGO</v>
          </cell>
          <cell r="M3545" t="str">
            <v>RAQUEL BARBOSA</v>
          </cell>
        </row>
        <row r="3546">
          <cell r="B3546">
            <v>5340507</v>
          </cell>
          <cell r="C3546" t="str">
            <v>SUAVE SABOR DOCERIA LTDA</v>
          </cell>
          <cell r="D3546" t="str">
            <v>6001</v>
          </cell>
          <cell r="E3546" t="str">
            <v>0028</v>
          </cell>
          <cell r="F3546" t="str">
            <v>C1</v>
          </cell>
          <cell r="G3546" t="str">
            <v>SP</v>
          </cell>
          <cell r="H3546" t="str">
            <v>INGREDIENTS</v>
          </cell>
          <cell r="I3546" t="str">
            <v>INGREDIENTS</v>
          </cell>
          <cell r="J3546" t="str">
            <v>TATIANA NITTA</v>
          </cell>
          <cell r="K3546" t="str">
            <v>ITAMBÉ</v>
          </cell>
          <cell r="L3546" t="str">
            <v>MAURICIO</v>
          </cell>
          <cell r="M3546" t="str">
            <v>TATIANA NITTA</v>
          </cell>
        </row>
        <row r="3547">
          <cell r="B3547">
            <v>5340656</v>
          </cell>
          <cell r="C3547" t="str">
            <v>ATRIA PRODUTOS ALIMENTICIOS LTD</v>
          </cell>
          <cell r="D3547" t="str">
            <v>6001</v>
          </cell>
          <cell r="E3547" t="str">
            <v>0125</v>
          </cell>
          <cell r="F3547" t="str">
            <v>C1</v>
          </cell>
          <cell r="G3547" t="str">
            <v>SP</v>
          </cell>
          <cell r="H3547" t="str">
            <v>DISTRIBUIÇÃO</v>
          </cell>
          <cell r="I3547" t="str">
            <v>FOOD SERVICE</v>
          </cell>
          <cell r="J3547" t="str">
            <v>GUILHERME NASCIMENTO</v>
          </cell>
          <cell r="K3547" t="str">
            <v>ITAMBÉ</v>
          </cell>
          <cell r="L3547" t="str">
            <v>RODRIGO</v>
          </cell>
          <cell r="M3547" t="str">
            <v>ALEXANDRO</v>
          </cell>
        </row>
        <row r="3548">
          <cell r="B3548">
            <v>5347237</v>
          </cell>
          <cell r="C3548" t="str">
            <v>MEXICALETTA SORVETES LTDA</v>
          </cell>
          <cell r="D3548" t="str">
            <v>6001</v>
          </cell>
          <cell r="E3548" t="str">
            <v>0028</v>
          </cell>
          <cell r="F3548" t="str">
            <v>C1</v>
          </cell>
          <cell r="G3548" t="str">
            <v>SP</v>
          </cell>
          <cell r="H3548" t="str">
            <v>INGREDIENTS</v>
          </cell>
          <cell r="I3548" t="str">
            <v>INGREDIENTS</v>
          </cell>
          <cell r="J3548" t="str">
            <v>SP ITB FS LUIZ PEREIRA</v>
          </cell>
          <cell r="K3548" t="str">
            <v>ITAMBÉ</v>
          </cell>
          <cell r="L3548" t="str">
            <v>MAURICIO</v>
          </cell>
          <cell r="M3548" t="str">
            <v>TATIANA NITTA</v>
          </cell>
        </row>
        <row r="3549">
          <cell r="B3549">
            <v>5347568</v>
          </cell>
          <cell r="C3549" t="str">
            <v>VEP ALIMENTOS LTDA</v>
          </cell>
          <cell r="D3549" t="str">
            <v>6001</v>
          </cell>
          <cell r="E3549" t="str">
            <v>0028</v>
          </cell>
          <cell r="F3549" t="str">
            <v>C1</v>
          </cell>
          <cell r="G3549" t="str">
            <v>SP</v>
          </cell>
          <cell r="H3549" t="str">
            <v>INGREDIENTS</v>
          </cell>
          <cell r="I3549" t="str">
            <v>INGREDIENTS</v>
          </cell>
          <cell r="J3549" t="str">
            <v>TATIANA NITTA</v>
          </cell>
          <cell r="K3549" t="str">
            <v>ITAMBÉ</v>
          </cell>
          <cell r="L3549" t="str">
            <v>MAURICIO</v>
          </cell>
          <cell r="M3549" t="str">
            <v>TATIANA NITTA</v>
          </cell>
        </row>
        <row r="3550">
          <cell r="B3550">
            <v>5348324</v>
          </cell>
          <cell r="C3550" t="str">
            <v>DIST NORD DE CONFEIT E PANIF LT</v>
          </cell>
          <cell r="D3550" t="str">
            <v>6001</v>
          </cell>
          <cell r="E3550" t="str">
            <v>0127</v>
          </cell>
          <cell r="F3550" t="str">
            <v>C1</v>
          </cell>
          <cell r="G3550" t="str">
            <v>BA</v>
          </cell>
          <cell r="H3550" t="str">
            <v>DISTRIBUIÇÃO</v>
          </cell>
          <cell r="I3550" t="str">
            <v>FOOD SERVICE</v>
          </cell>
          <cell r="J3550" t="str">
            <v>CLAUDIO JORGE</v>
          </cell>
          <cell r="K3550" t="str">
            <v>ITAMBÉ</v>
          </cell>
          <cell r="L3550" t="str">
            <v>RODRIGO</v>
          </cell>
          <cell r="M3550" t="str">
            <v>MARIA LOURDES</v>
          </cell>
        </row>
        <row r="3551">
          <cell r="B3551">
            <v>5348916</v>
          </cell>
          <cell r="C3551" t="str">
            <v>TOTAL CREAM</v>
          </cell>
          <cell r="D3551" t="str">
            <v>6001</v>
          </cell>
          <cell r="E3551" t="str">
            <v>0028</v>
          </cell>
          <cell r="F3551" t="str">
            <v>C1</v>
          </cell>
          <cell r="G3551" t="str">
            <v>SP</v>
          </cell>
          <cell r="H3551" t="str">
            <v>INGREDIENTS</v>
          </cell>
          <cell r="I3551" t="str">
            <v>INGREDIENTS</v>
          </cell>
          <cell r="J3551" t="str">
            <v>SP ITB FS LUIZ PEREIRA</v>
          </cell>
          <cell r="K3551" t="str">
            <v>ITAMBÉ</v>
          </cell>
          <cell r="L3551" t="str">
            <v>MAURICIO</v>
          </cell>
          <cell r="M3551" t="str">
            <v>TATIANA NITTA</v>
          </cell>
        </row>
        <row r="3552">
          <cell r="B3552">
            <v>5349074</v>
          </cell>
          <cell r="C3552" t="str">
            <v>FUNCHAL IND E COM DE PAPEIS LTD</v>
          </cell>
          <cell r="D3552" t="str">
            <v>6001</v>
          </cell>
          <cell r="E3552" t="str">
            <v>0125</v>
          </cell>
          <cell r="F3552" t="str">
            <v>C1</v>
          </cell>
          <cell r="G3552" t="str">
            <v>SP</v>
          </cell>
          <cell r="H3552" t="str">
            <v>DISTRIBUIÇÃO</v>
          </cell>
          <cell r="I3552" t="str">
            <v>FOOD SERVICE</v>
          </cell>
          <cell r="J3552" t="str">
            <v>VAGO SP</v>
          </cell>
          <cell r="K3552" t="str">
            <v>ITAMBÉ</v>
          </cell>
          <cell r="L3552" t="str">
            <v>RODRIGO</v>
          </cell>
          <cell r="M3552" t="str">
            <v>RAQUEL BARBOSA</v>
          </cell>
        </row>
        <row r="3553">
          <cell r="B3553">
            <v>5350654</v>
          </cell>
          <cell r="C3553" t="str">
            <v>CB ANHEMBI COMERCIO DE ALIMENTO</v>
          </cell>
          <cell r="D3553" t="str">
            <v>6001</v>
          </cell>
          <cell r="E3553" t="str">
            <v>0125</v>
          </cell>
          <cell r="F3553" t="str">
            <v>C1</v>
          </cell>
          <cell r="G3553" t="str">
            <v>SP</v>
          </cell>
          <cell r="H3553" t="str">
            <v>QSR</v>
          </cell>
          <cell r="I3553" t="str">
            <v>FOOD SERVICE</v>
          </cell>
          <cell r="J3553" t="str">
            <v>VAGO QSR</v>
          </cell>
          <cell r="K3553" t="str">
            <v>ITAMBÉ</v>
          </cell>
          <cell r="L3553" t="str">
            <v>PEDRO</v>
          </cell>
          <cell r="M3553" t="str">
            <v>VAGO QSR</v>
          </cell>
        </row>
        <row r="3554">
          <cell r="B3554">
            <v>5350655</v>
          </cell>
          <cell r="C3554" t="str">
            <v>CB CAMPINAS COM DE ALIMEN LTDA</v>
          </cell>
          <cell r="D3554" t="str">
            <v>6001</v>
          </cell>
          <cell r="E3554" t="str">
            <v>0125</v>
          </cell>
          <cell r="F3554" t="str">
            <v>C1</v>
          </cell>
          <cell r="G3554" t="str">
            <v>SP</v>
          </cell>
          <cell r="H3554" t="str">
            <v>QSR</v>
          </cell>
          <cell r="I3554" t="str">
            <v>FOOD SERVICE</v>
          </cell>
          <cell r="J3554" t="str">
            <v>VAGO QSR</v>
          </cell>
          <cell r="K3554" t="str">
            <v>ITAMBÉ</v>
          </cell>
          <cell r="L3554" t="str">
            <v>PEDRO</v>
          </cell>
          <cell r="M3554" t="str">
            <v>VAGO QSR</v>
          </cell>
        </row>
        <row r="3555">
          <cell r="B3555">
            <v>5350677</v>
          </cell>
          <cell r="C3555" t="str">
            <v>CB GUARULHOS COMER DE ALIMEN LT</v>
          </cell>
          <cell r="D3555" t="str">
            <v>6001</v>
          </cell>
          <cell r="E3555" t="str">
            <v>0125</v>
          </cell>
          <cell r="F3555" t="str">
            <v>C1</v>
          </cell>
          <cell r="G3555" t="str">
            <v>SP</v>
          </cell>
          <cell r="H3555" t="str">
            <v>QSR</v>
          </cell>
          <cell r="I3555" t="str">
            <v>FOOD SERVICE</v>
          </cell>
          <cell r="J3555" t="str">
            <v>VAGO QSR</v>
          </cell>
          <cell r="K3555" t="str">
            <v>ITAMBÉ</v>
          </cell>
          <cell r="L3555" t="str">
            <v>PEDRO</v>
          </cell>
          <cell r="M3555" t="str">
            <v>VAGO QSR</v>
          </cell>
        </row>
        <row r="3556">
          <cell r="B3556">
            <v>5350695</v>
          </cell>
          <cell r="C3556" t="str">
            <v>CB JUNDIAI COMERCIO DE ALIMEN L</v>
          </cell>
          <cell r="D3556" t="str">
            <v>6001</v>
          </cell>
          <cell r="E3556" t="str">
            <v>0125</v>
          </cell>
          <cell r="F3556" t="str">
            <v>C1</v>
          </cell>
          <cell r="G3556" t="str">
            <v>SP</v>
          </cell>
          <cell r="H3556" t="str">
            <v>QSR</v>
          </cell>
          <cell r="I3556" t="str">
            <v>FOOD SERVICE</v>
          </cell>
          <cell r="J3556" t="str">
            <v>VAGO QSR</v>
          </cell>
          <cell r="K3556" t="str">
            <v>ITAMBÉ</v>
          </cell>
          <cell r="L3556" t="str">
            <v>PEDRO</v>
          </cell>
          <cell r="M3556" t="str">
            <v>VAGO QSR</v>
          </cell>
        </row>
        <row r="3557">
          <cell r="B3557">
            <v>5350696</v>
          </cell>
          <cell r="C3557" t="str">
            <v>CB JUNDIAI COMERCIO DE ALIMEN L</v>
          </cell>
          <cell r="D3557" t="str">
            <v>6001</v>
          </cell>
          <cell r="E3557" t="str">
            <v>0125</v>
          </cell>
          <cell r="F3557" t="str">
            <v>C1</v>
          </cell>
          <cell r="G3557" t="str">
            <v>SP</v>
          </cell>
          <cell r="H3557" t="str">
            <v>QSR</v>
          </cell>
          <cell r="I3557" t="str">
            <v>FOOD SERVICE</v>
          </cell>
          <cell r="J3557" t="str">
            <v>VAGO QSR</v>
          </cell>
          <cell r="K3557" t="str">
            <v>ITAMBÉ</v>
          </cell>
          <cell r="L3557" t="str">
            <v>PEDRO</v>
          </cell>
          <cell r="M3557" t="str">
            <v>VAGO QSR</v>
          </cell>
        </row>
        <row r="3558">
          <cell r="B3558">
            <v>5350697</v>
          </cell>
          <cell r="C3558" t="str">
            <v>CB MARKET PLACE COM DE ALI LTDA</v>
          </cell>
          <cell r="D3558" t="str">
            <v>6001</v>
          </cell>
          <cell r="E3558" t="str">
            <v>0125</v>
          </cell>
          <cell r="F3558" t="str">
            <v>C1</v>
          </cell>
          <cell r="G3558" t="str">
            <v>SP</v>
          </cell>
          <cell r="H3558" t="str">
            <v>QSR</v>
          </cell>
          <cell r="I3558" t="str">
            <v>FOOD SERVICE</v>
          </cell>
          <cell r="J3558" t="str">
            <v>VAGO QSR</v>
          </cell>
          <cell r="K3558" t="str">
            <v>ITAMBÉ</v>
          </cell>
          <cell r="L3558" t="str">
            <v>PEDRO</v>
          </cell>
          <cell r="M3558" t="str">
            <v>VAGO QSR</v>
          </cell>
        </row>
        <row r="3559">
          <cell r="B3559">
            <v>5350699</v>
          </cell>
          <cell r="C3559" t="str">
            <v>CB OSASCO COMERCIO DE ALIMENTOS</v>
          </cell>
          <cell r="D3559" t="str">
            <v>6001</v>
          </cell>
          <cell r="E3559" t="str">
            <v>0125</v>
          </cell>
          <cell r="F3559" t="str">
            <v>C1</v>
          </cell>
          <cell r="G3559" t="str">
            <v>SP</v>
          </cell>
          <cell r="H3559" t="str">
            <v>QSR</v>
          </cell>
          <cell r="I3559" t="str">
            <v>FOOD SERVICE</v>
          </cell>
          <cell r="J3559" t="str">
            <v>VAGO QSR</v>
          </cell>
          <cell r="K3559" t="str">
            <v>ITAMBÉ</v>
          </cell>
          <cell r="L3559" t="str">
            <v>PEDRO</v>
          </cell>
          <cell r="M3559" t="str">
            <v>VAGO QSR</v>
          </cell>
        </row>
        <row r="3560">
          <cell r="B3560">
            <v>5350701</v>
          </cell>
          <cell r="C3560" t="str">
            <v>CB SANTO ANDRE COMERCIO DE ALIM</v>
          </cell>
          <cell r="D3560" t="str">
            <v>6001</v>
          </cell>
          <cell r="E3560" t="str">
            <v>0125</v>
          </cell>
          <cell r="F3560" t="str">
            <v>C1</v>
          </cell>
          <cell r="G3560" t="str">
            <v>SP</v>
          </cell>
          <cell r="H3560" t="str">
            <v>QSR</v>
          </cell>
          <cell r="I3560" t="str">
            <v>FOOD SERVICE</v>
          </cell>
          <cell r="J3560" t="str">
            <v>VAGO QSR</v>
          </cell>
          <cell r="K3560" t="str">
            <v>ITAMBÉ</v>
          </cell>
          <cell r="L3560" t="str">
            <v>PEDRO</v>
          </cell>
          <cell r="M3560" t="str">
            <v>VAGO QSR</v>
          </cell>
        </row>
        <row r="3561">
          <cell r="B3561">
            <v>5350702</v>
          </cell>
          <cell r="C3561" t="str">
            <v>CB SAO JOSE DO RIO PRETO COM DE</v>
          </cell>
          <cell r="D3561" t="str">
            <v>6001</v>
          </cell>
          <cell r="E3561" t="str">
            <v>0125</v>
          </cell>
          <cell r="F3561" t="str">
            <v>C1</v>
          </cell>
          <cell r="G3561" t="str">
            <v>SP</v>
          </cell>
          <cell r="H3561" t="str">
            <v>QSR</v>
          </cell>
          <cell r="I3561" t="str">
            <v>FOOD SERVICE</v>
          </cell>
          <cell r="J3561" t="str">
            <v>VAGO QSR</v>
          </cell>
          <cell r="K3561" t="str">
            <v>ITAMBÉ</v>
          </cell>
          <cell r="L3561" t="str">
            <v>PEDRO</v>
          </cell>
          <cell r="M3561" t="str">
            <v>VAGO QSR</v>
          </cell>
        </row>
        <row r="3562">
          <cell r="B3562">
            <v>5350703</v>
          </cell>
          <cell r="C3562" t="str">
            <v>CB S JOSE DOS CAMPOS COM DE AL</v>
          </cell>
          <cell r="D3562" t="str">
            <v>6001</v>
          </cell>
          <cell r="E3562" t="str">
            <v>0125</v>
          </cell>
          <cell r="F3562" t="str">
            <v>C1</v>
          </cell>
          <cell r="G3562" t="str">
            <v>SP</v>
          </cell>
          <cell r="H3562" t="str">
            <v>QSR</v>
          </cell>
          <cell r="I3562" t="str">
            <v>FOOD SERVICE</v>
          </cell>
          <cell r="J3562" t="str">
            <v>VAGO QSR</v>
          </cell>
          <cell r="K3562" t="str">
            <v>ITAMBÉ</v>
          </cell>
          <cell r="L3562" t="str">
            <v>PEDRO</v>
          </cell>
          <cell r="M3562" t="str">
            <v>VAGO QSR</v>
          </cell>
        </row>
        <row r="3563">
          <cell r="B3563">
            <v>5350704</v>
          </cell>
          <cell r="C3563" t="str">
            <v>CB SOROCABA COMERCIO DE ALIMENT</v>
          </cell>
          <cell r="D3563" t="str">
            <v>6001</v>
          </cell>
          <cell r="E3563" t="str">
            <v>0125</v>
          </cell>
          <cell r="F3563" t="str">
            <v>C1</v>
          </cell>
          <cell r="G3563" t="str">
            <v>SP</v>
          </cell>
          <cell r="H3563" t="str">
            <v>QSR</v>
          </cell>
          <cell r="I3563" t="str">
            <v>FOOD SERVICE</v>
          </cell>
          <cell r="J3563" t="str">
            <v>VAGO QSR</v>
          </cell>
          <cell r="K3563" t="str">
            <v>ITAMBÉ</v>
          </cell>
          <cell r="L3563" t="str">
            <v>PEDRO</v>
          </cell>
          <cell r="M3563" t="str">
            <v>VAGO QSR</v>
          </cell>
        </row>
        <row r="3564">
          <cell r="B3564">
            <v>5350705</v>
          </cell>
          <cell r="C3564" t="str">
            <v>CB SP MARKET COMERCIO DE ALIMEN</v>
          </cell>
          <cell r="D3564" t="str">
            <v>6001</v>
          </cell>
          <cell r="E3564" t="str">
            <v>0125</v>
          </cell>
          <cell r="F3564" t="str">
            <v>C1</v>
          </cell>
          <cell r="G3564" t="str">
            <v>SP</v>
          </cell>
          <cell r="H3564" t="str">
            <v>QSR</v>
          </cell>
          <cell r="I3564" t="str">
            <v>FOOD SERVICE</v>
          </cell>
          <cell r="J3564" t="str">
            <v>VAGO QSR</v>
          </cell>
          <cell r="K3564" t="str">
            <v>ITAMBÉ</v>
          </cell>
          <cell r="L3564" t="str">
            <v>PEDRO</v>
          </cell>
          <cell r="M3564" t="str">
            <v>VAGO QSR</v>
          </cell>
        </row>
        <row r="3565">
          <cell r="B3565">
            <v>5350810</v>
          </cell>
          <cell r="C3565" t="str">
            <v>COMERCIO DE ALIM NOVA PITOKO LT</v>
          </cell>
          <cell r="D3565" t="str">
            <v>6001</v>
          </cell>
          <cell r="E3565" t="str">
            <v>0169</v>
          </cell>
          <cell r="F3565" t="str">
            <v>C1</v>
          </cell>
          <cell r="G3565" t="str">
            <v>RJ</v>
          </cell>
          <cell r="H3565" t="str">
            <v>DISTRIBUIÇÃO</v>
          </cell>
          <cell r="I3565" t="str">
            <v>FOOD SERVICE</v>
          </cell>
          <cell r="J3565" t="str">
            <v>JULIANA CORDEIRO</v>
          </cell>
          <cell r="K3565" t="str">
            <v>ITAMBÉ</v>
          </cell>
          <cell r="L3565" t="str">
            <v>RODRIGO</v>
          </cell>
          <cell r="M3565" t="str">
            <v>JESSICA</v>
          </cell>
        </row>
        <row r="3566">
          <cell r="B3566">
            <v>5351160</v>
          </cell>
          <cell r="C3566" t="str">
            <v>EDUARDO DA COSTA M E CIA LTDA</v>
          </cell>
          <cell r="D3566" t="str">
            <v>6001</v>
          </cell>
          <cell r="E3566" t="str">
            <v>0028</v>
          </cell>
          <cell r="F3566" t="str">
            <v>C1</v>
          </cell>
          <cell r="G3566" t="str">
            <v>SP</v>
          </cell>
          <cell r="H3566" t="str">
            <v>INGREDIENTS</v>
          </cell>
          <cell r="I3566" t="str">
            <v>INGREDIENTS</v>
          </cell>
          <cell r="J3566" t="str">
            <v>TATIANA NITTA</v>
          </cell>
          <cell r="K3566" t="str">
            <v>ITAMBÉ</v>
          </cell>
          <cell r="L3566" t="str">
            <v>MAURICIO</v>
          </cell>
          <cell r="M3566" t="str">
            <v>TATIANA NITTA</v>
          </cell>
        </row>
        <row r="3567">
          <cell r="B3567">
            <v>5351261</v>
          </cell>
          <cell r="C3567" t="str">
            <v>NOVAMIX F SERVICE COM DE AL L</v>
          </cell>
          <cell r="D3567" t="str">
            <v>6001</v>
          </cell>
          <cell r="E3567" t="str">
            <v>0169</v>
          </cell>
          <cell r="F3567" t="str">
            <v>C1</v>
          </cell>
          <cell r="G3567" t="str">
            <v>RJ</v>
          </cell>
          <cell r="H3567" t="str">
            <v>DISTRIBUIÇÃO</v>
          </cell>
          <cell r="I3567" t="str">
            <v>FOOD SERVICE</v>
          </cell>
          <cell r="J3567" t="str">
            <v>JULIANA CORDEIRO</v>
          </cell>
          <cell r="K3567" t="str">
            <v>ITAMBÉ</v>
          </cell>
          <cell r="L3567" t="str">
            <v>RODRIGO</v>
          </cell>
          <cell r="M3567" t="str">
            <v>JESSICA</v>
          </cell>
        </row>
        <row r="3568">
          <cell r="B3568">
            <v>5351708</v>
          </cell>
          <cell r="C3568" t="str">
            <v>CB RIO NORTE SHOP COM DE ALI LT</v>
          </cell>
          <cell r="D3568" t="str">
            <v>6001</v>
          </cell>
          <cell r="E3568" t="str">
            <v>0169</v>
          </cell>
          <cell r="F3568" t="str">
            <v>C1</v>
          </cell>
          <cell r="G3568" t="str">
            <v>RJ</v>
          </cell>
          <cell r="H3568" t="str">
            <v>QSR</v>
          </cell>
          <cell r="I3568" t="str">
            <v>FOOD SERVICE</v>
          </cell>
          <cell r="J3568" t="str">
            <v>VAGO QSR</v>
          </cell>
          <cell r="K3568" t="str">
            <v>ITAMBÉ</v>
          </cell>
          <cell r="L3568" t="str">
            <v>PEDRO</v>
          </cell>
          <cell r="M3568" t="str">
            <v>VAGO QSR</v>
          </cell>
        </row>
        <row r="3569">
          <cell r="B3569">
            <v>5351894</v>
          </cell>
          <cell r="C3569" t="str">
            <v>CB RIO NITEROI COMER DE ALIM LT</v>
          </cell>
          <cell r="D3569" t="str">
            <v>6001</v>
          </cell>
          <cell r="E3569" t="str">
            <v>0169</v>
          </cell>
          <cell r="F3569" t="str">
            <v>C1</v>
          </cell>
          <cell r="G3569" t="str">
            <v>RJ</v>
          </cell>
          <cell r="H3569" t="str">
            <v>QSR</v>
          </cell>
          <cell r="I3569" t="str">
            <v>FOOD SERVICE</v>
          </cell>
          <cell r="J3569" t="str">
            <v>VAGO QSR</v>
          </cell>
          <cell r="K3569" t="str">
            <v>ITAMBÉ</v>
          </cell>
          <cell r="L3569" t="str">
            <v>PEDRO</v>
          </cell>
          <cell r="M3569" t="str">
            <v>VAGO QSR</v>
          </cell>
        </row>
        <row r="3570">
          <cell r="B3570">
            <v>5351895</v>
          </cell>
          <cell r="C3570" t="str">
            <v>CB RIO NORTE SHOP COM DE ALI LT</v>
          </cell>
          <cell r="D3570" t="str">
            <v>6001</v>
          </cell>
          <cell r="E3570" t="str">
            <v>0169</v>
          </cell>
          <cell r="F3570" t="str">
            <v>C1</v>
          </cell>
          <cell r="G3570" t="str">
            <v>RJ</v>
          </cell>
          <cell r="H3570" t="str">
            <v>QSR</v>
          </cell>
          <cell r="I3570" t="str">
            <v>FOOD SERVICE</v>
          </cell>
          <cell r="J3570" t="str">
            <v>VAGO QSR</v>
          </cell>
          <cell r="K3570" t="str">
            <v>ITAMBÉ</v>
          </cell>
          <cell r="L3570" t="str">
            <v>PEDRO</v>
          </cell>
          <cell r="M3570" t="str">
            <v>VAGO QSR</v>
          </cell>
        </row>
        <row r="3571">
          <cell r="B3571">
            <v>5352110</v>
          </cell>
          <cell r="C3571" t="str">
            <v>COCO BAMBU F DO M COM DE AL LTD</v>
          </cell>
          <cell r="D3571" t="str">
            <v>6001</v>
          </cell>
          <cell r="E3571" t="str">
            <v>0127</v>
          </cell>
          <cell r="F3571" t="str">
            <v>C1</v>
          </cell>
          <cell r="G3571" t="str">
            <v>CE</v>
          </cell>
          <cell r="H3571" t="str">
            <v>QSR</v>
          </cell>
          <cell r="I3571" t="str">
            <v>FOOD SERVICE</v>
          </cell>
          <cell r="J3571" t="str">
            <v>VAGO QSR</v>
          </cell>
          <cell r="K3571" t="str">
            <v>ITAMBÉ</v>
          </cell>
          <cell r="L3571" t="str">
            <v>PEDRO</v>
          </cell>
          <cell r="M3571" t="str">
            <v>VAGO QSR</v>
          </cell>
        </row>
        <row r="3572">
          <cell r="B3572">
            <v>5352111</v>
          </cell>
          <cell r="C3572" t="str">
            <v>COCO BAMBU PIZZARIA LTDA</v>
          </cell>
          <cell r="D3572" t="str">
            <v>6001</v>
          </cell>
          <cell r="E3572" t="str">
            <v>0127</v>
          </cell>
          <cell r="F3572" t="str">
            <v>C1</v>
          </cell>
          <cell r="G3572" t="str">
            <v>CE</v>
          </cell>
          <cell r="H3572" t="str">
            <v>QSR</v>
          </cell>
          <cell r="I3572" t="str">
            <v>FOOD SERVICE</v>
          </cell>
          <cell r="J3572" t="str">
            <v>VAGO QSR</v>
          </cell>
          <cell r="K3572" t="str">
            <v>ITAMBÉ</v>
          </cell>
          <cell r="L3572" t="str">
            <v>PEDRO</v>
          </cell>
          <cell r="M3572" t="str">
            <v>VAGO QSR</v>
          </cell>
        </row>
        <row r="3573">
          <cell r="B3573">
            <v>5352113</v>
          </cell>
          <cell r="C3573" t="str">
            <v>VUPI ALIMENTOS LTDA</v>
          </cell>
          <cell r="D3573" t="str">
            <v>6001</v>
          </cell>
          <cell r="E3573" t="str">
            <v>0125</v>
          </cell>
          <cell r="F3573" t="str">
            <v>C1</v>
          </cell>
          <cell r="G3573" t="str">
            <v>SP</v>
          </cell>
          <cell r="H3573" t="str">
            <v>DISTRIBUIÇÃO</v>
          </cell>
          <cell r="I3573" t="str">
            <v>FOOD SERVICE</v>
          </cell>
          <cell r="J3573" t="str">
            <v>VAGO SP</v>
          </cell>
          <cell r="K3573" t="str">
            <v>ITAMBÉ</v>
          </cell>
          <cell r="L3573" t="str">
            <v>RODRIGO</v>
          </cell>
          <cell r="M3573" t="str">
            <v>RAQUEL BARBOSA</v>
          </cell>
        </row>
        <row r="3574">
          <cell r="B3574">
            <v>5352254</v>
          </cell>
          <cell r="C3574" t="str">
            <v>COCO BAMBU SUL PIZZARIA LTDA</v>
          </cell>
          <cell r="D3574" t="str">
            <v>6001</v>
          </cell>
          <cell r="E3574" t="str">
            <v>0127</v>
          </cell>
          <cell r="F3574" t="str">
            <v>C1</v>
          </cell>
          <cell r="G3574" t="str">
            <v>CE</v>
          </cell>
          <cell r="H3574" t="str">
            <v>QSR</v>
          </cell>
          <cell r="I3574" t="str">
            <v>FOOD SERVICE</v>
          </cell>
          <cell r="J3574" t="str">
            <v>VAGO QSR</v>
          </cell>
          <cell r="K3574" t="str">
            <v>ITAMBÉ</v>
          </cell>
          <cell r="L3574" t="str">
            <v>PEDRO</v>
          </cell>
          <cell r="M3574" t="str">
            <v>VAGO QSR</v>
          </cell>
        </row>
        <row r="3575">
          <cell r="B3575">
            <v>5352264</v>
          </cell>
          <cell r="C3575" t="str">
            <v>DOM PASTEL ALIMENTOS LTDA</v>
          </cell>
          <cell r="D3575" t="str">
            <v>6001</v>
          </cell>
          <cell r="E3575" t="str">
            <v>0127</v>
          </cell>
          <cell r="F3575" t="str">
            <v>C1</v>
          </cell>
          <cell r="G3575" t="str">
            <v>CE</v>
          </cell>
          <cell r="H3575" t="str">
            <v>QSR</v>
          </cell>
          <cell r="I3575" t="str">
            <v>FOOD SERVICE</v>
          </cell>
          <cell r="J3575" t="str">
            <v>VAGO QSR</v>
          </cell>
          <cell r="K3575" t="str">
            <v>ITAMBÉ</v>
          </cell>
          <cell r="L3575" t="str">
            <v>PEDRO</v>
          </cell>
          <cell r="M3575" t="str">
            <v>VAGO QSR</v>
          </cell>
        </row>
        <row r="3576">
          <cell r="B3576">
            <v>5352345</v>
          </cell>
          <cell r="C3576" t="str">
            <v>CB CUIABA COMERCIO DE ALIMENT L</v>
          </cell>
          <cell r="D3576" t="str">
            <v>6001</v>
          </cell>
          <cell r="E3576" t="str">
            <v>0123</v>
          </cell>
          <cell r="F3576" t="str">
            <v>C1</v>
          </cell>
          <cell r="G3576" t="str">
            <v>MT</v>
          </cell>
          <cell r="H3576" t="str">
            <v>QSR</v>
          </cell>
          <cell r="I3576" t="str">
            <v>FOOD SERVICE</v>
          </cell>
          <cell r="J3576" t="str">
            <v>VAGO QSR</v>
          </cell>
          <cell r="K3576" t="str">
            <v>ITAMBÉ</v>
          </cell>
          <cell r="L3576" t="str">
            <v>PEDRO</v>
          </cell>
          <cell r="M3576" t="str">
            <v>VAGO QSR</v>
          </cell>
        </row>
        <row r="3577">
          <cell r="B3577">
            <v>5352346</v>
          </cell>
          <cell r="C3577" t="str">
            <v>FGF ALIMENTOS LTDA</v>
          </cell>
          <cell r="D3577" t="str">
            <v>6001</v>
          </cell>
          <cell r="E3577" t="str">
            <v>0127</v>
          </cell>
          <cell r="F3577" t="str">
            <v>C1</v>
          </cell>
          <cell r="G3577" t="str">
            <v>BA</v>
          </cell>
          <cell r="H3577" t="str">
            <v>QSR</v>
          </cell>
          <cell r="I3577" t="str">
            <v>FOOD SERVICE</v>
          </cell>
          <cell r="J3577" t="str">
            <v>VAGO QSR</v>
          </cell>
          <cell r="K3577" t="str">
            <v>ITAMBÉ</v>
          </cell>
          <cell r="L3577" t="str">
            <v>PEDRO</v>
          </cell>
          <cell r="M3577" t="str">
            <v>VAGO QSR</v>
          </cell>
        </row>
        <row r="3578">
          <cell r="B3578">
            <v>5352420</v>
          </cell>
          <cell r="C3578" t="str">
            <v>CB AGUAS CLARAS COM DE ALIM LTDA</v>
          </cell>
          <cell r="D3578" t="str">
            <v>6001</v>
          </cell>
          <cell r="E3578" t="str">
            <v>0123</v>
          </cell>
          <cell r="F3578" t="str">
            <v>C1</v>
          </cell>
          <cell r="G3578" t="str">
            <v>DF</v>
          </cell>
          <cell r="H3578" t="str">
            <v>QSR</v>
          </cell>
          <cell r="I3578" t="str">
            <v>FOOD SERVICE</v>
          </cell>
          <cell r="J3578" t="str">
            <v>VAGO QSR</v>
          </cell>
          <cell r="K3578" t="str">
            <v>ITAMBÉ</v>
          </cell>
          <cell r="L3578" t="str">
            <v>PEDRO</v>
          </cell>
          <cell r="M3578" t="str">
            <v>VAGO QSR</v>
          </cell>
        </row>
        <row r="3579">
          <cell r="B3579">
            <v>5352421</v>
          </cell>
          <cell r="C3579" t="str">
            <v>CB AGUAS CLARAS COM DE ALIMENTO</v>
          </cell>
          <cell r="D3579" t="str">
            <v>6001</v>
          </cell>
          <cell r="E3579" t="str">
            <v>0123</v>
          </cell>
          <cell r="F3579" t="str">
            <v>C1</v>
          </cell>
          <cell r="G3579" t="str">
            <v>DF</v>
          </cell>
          <cell r="H3579" t="str">
            <v>QSR</v>
          </cell>
          <cell r="I3579" t="str">
            <v>FOOD SERVICE</v>
          </cell>
          <cell r="J3579" t="str">
            <v>VAGO QSR</v>
          </cell>
          <cell r="K3579" t="str">
            <v>ITAMBÉ</v>
          </cell>
          <cell r="L3579" t="str">
            <v>PEDRO</v>
          </cell>
          <cell r="M3579" t="str">
            <v>VAGO QSR</v>
          </cell>
        </row>
        <row r="3580">
          <cell r="B3580">
            <v>5352422</v>
          </cell>
          <cell r="C3580" t="str">
            <v>CB LAGO NORTE COM DE ALIM LTDA</v>
          </cell>
          <cell r="D3580" t="str">
            <v>6001</v>
          </cell>
          <cell r="E3580" t="str">
            <v>0123</v>
          </cell>
          <cell r="F3580" t="str">
            <v>C1</v>
          </cell>
          <cell r="G3580" t="str">
            <v>DF</v>
          </cell>
          <cell r="H3580" t="str">
            <v>QSR</v>
          </cell>
          <cell r="I3580" t="str">
            <v>FOOD SERVICE</v>
          </cell>
          <cell r="J3580" t="str">
            <v>VAGO QSR</v>
          </cell>
          <cell r="K3580" t="str">
            <v>ITAMBÉ</v>
          </cell>
          <cell r="L3580" t="str">
            <v>PEDRO</v>
          </cell>
          <cell r="M3580" t="str">
            <v>VAGO QSR</v>
          </cell>
        </row>
        <row r="3581">
          <cell r="B3581">
            <v>5352423</v>
          </cell>
          <cell r="C3581" t="str">
            <v>CB LAGO SUL COMERCIO DE ALIMEN</v>
          </cell>
          <cell r="D3581" t="str">
            <v>6001</v>
          </cell>
          <cell r="E3581" t="str">
            <v>0123</v>
          </cell>
          <cell r="F3581" t="str">
            <v>C1</v>
          </cell>
          <cell r="G3581" t="str">
            <v>DF</v>
          </cell>
          <cell r="H3581" t="str">
            <v>QSR</v>
          </cell>
          <cell r="I3581" t="str">
            <v>FOOD SERVICE</v>
          </cell>
          <cell r="J3581" t="str">
            <v>VAGO QSR</v>
          </cell>
          <cell r="K3581" t="str">
            <v>ITAMBÉ</v>
          </cell>
          <cell r="L3581" t="str">
            <v>PEDRO</v>
          </cell>
          <cell r="M3581" t="str">
            <v>VAGO QSR</v>
          </cell>
        </row>
        <row r="3582">
          <cell r="B3582">
            <v>5352459</v>
          </cell>
          <cell r="C3582" t="str">
            <v>CB PARK SHOPPING COMER DE ALIM</v>
          </cell>
          <cell r="D3582" t="str">
            <v>6001</v>
          </cell>
          <cell r="E3582" t="str">
            <v>0123</v>
          </cell>
          <cell r="F3582" t="str">
            <v>C1</v>
          </cell>
          <cell r="G3582" t="str">
            <v>DF</v>
          </cell>
          <cell r="H3582" t="str">
            <v>QSR</v>
          </cell>
          <cell r="I3582" t="str">
            <v>FOOD SERVICE</v>
          </cell>
          <cell r="J3582" t="str">
            <v>VAGO QSR</v>
          </cell>
          <cell r="K3582" t="str">
            <v>ITAMBÉ</v>
          </cell>
          <cell r="L3582" t="str">
            <v>PEDRO</v>
          </cell>
          <cell r="M3582" t="str">
            <v>VAGO QSR</v>
          </cell>
        </row>
        <row r="3583">
          <cell r="B3583">
            <v>5353685</v>
          </cell>
          <cell r="C3583" t="str">
            <v>GANTE COMERCIO DE DOCES LTDA</v>
          </cell>
          <cell r="D3583" t="str">
            <v>6001</v>
          </cell>
          <cell r="E3583" t="str">
            <v>0028</v>
          </cell>
          <cell r="F3583" t="str">
            <v>C1</v>
          </cell>
          <cell r="G3583" t="str">
            <v>SP</v>
          </cell>
          <cell r="H3583" t="str">
            <v>INGREDIENTS</v>
          </cell>
          <cell r="I3583" t="str">
            <v>INGREDIENTS</v>
          </cell>
          <cell r="J3583" t="str">
            <v>HENRIQUE FERREIRA</v>
          </cell>
          <cell r="K3583" t="str">
            <v>ITAMBÉ</v>
          </cell>
          <cell r="L3583" t="str">
            <v>MAURICIO</v>
          </cell>
          <cell r="M3583" t="str">
            <v>JOEL</v>
          </cell>
        </row>
        <row r="3584">
          <cell r="B3584">
            <v>5355986</v>
          </cell>
          <cell r="C3584" t="str">
            <v>FUNCHAL IND E COM DE PAPEIS LTD</v>
          </cell>
          <cell r="D3584" t="str">
            <v>6001</v>
          </cell>
          <cell r="E3584" t="str">
            <v>0125</v>
          </cell>
          <cell r="F3584" t="str">
            <v>C1</v>
          </cell>
          <cell r="G3584" t="str">
            <v>SP</v>
          </cell>
          <cell r="H3584" t="str">
            <v>DISTRIBUIÇÃO</v>
          </cell>
          <cell r="I3584" t="str">
            <v>FOOD SERVICE</v>
          </cell>
          <cell r="J3584" t="str">
            <v>VAGO SP</v>
          </cell>
          <cell r="K3584" t="str">
            <v>ITAMBÉ</v>
          </cell>
          <cell r="L3584" t="str">
            <v>RODRIGO</v>
          </cell>
          <cell r="M3584" t="str">
            <v>RAQUEL BARBOSA</v>
          </cell>
        </row>
        <row r="3585">
          <cell r="B3585">
            <v>5357614</v>
          </cell>
          <cell r="C3585" t="str">
            <v>ACAI ISLAND COMERCIO E DISTRIBU</v>
          </cell>
          <cell r="D3585" t="str">
            <v>6001</v>
          </cell>
          <cell r="E3585" t="str">
            <v>0028</v>
          </cell>
          <cell r="F3585" t="str">
            <v>C1</v>
          </cell>
          <cell r="G3585" t="str">
            <v>SP</v>
          </cell>
          <cell r="H3585" t="str">
            <v>INGREDIENTS</v>
          </cell>
          <cell r="I3585" t="str">
            <v>INGREDIENTS</v>
          </cell>
          <cell r="J3585" t="str">
            <v>TATIANA NITTA</v>
          </cell>
          <cell r="K3585" t="str">
            <v>ITAMBÉ</v>
          </cell>
          <cell r="L3585" t="str">
            <v>MAURICIO</v>
          </cell>
          <cell r="M3585" t="str">
            <v>TATIANA NITTA</v>
          </cell>
        </row>
        <row r="3586">
          <cell r="B3586">
            <v>5357700</v>
          </cell>
          <cell r="C3586" t="str">
            <v>NOVA ERA COMERCIAL DE ALIMEN LTDA</v>
          </cell>
          <cell r="D3586" t="str">
            <v>6001</v>
          </cell>
          <cell r="E3586" t="str">
            <v>0127</v>
          </cell>
          <cell r="F3586" t="str">
            <v>C1</v>
          </cell>
          <cell r="G3586" t="str">
            <v>BA</v>
          </cell>
          <cell r="H3586" t="str">
            <v>DISTRIBUIÇÃO</v>
          </cell>
          <cell r="I3586" t="str">
            <v>FOOD SERVICE</v>
          </cell>
          <cell r="J3586" t="str">
            <v>CLAUDIO JORGE/LUIZ</v>
          </cell>
          <cell r="K3586" t="str">
            <v>ITAMBÉ</v>
          </cell>
          <cell r="L3586" t="str">
            <v>RODRIGO</v>
          </cell>
          <cell r="M3586" t="str">
            <v>MARIA LOURDES</v>
          </cell>
        </row>
        <row r="3587">
          <cell r="B3587">
            <v>5358195</v>
          </cell>
          <cell r="C3587" t="str">
            <v>BELLA COMERCIO DE EMBALAGENS LT</v>
          </cell>
          <cell r="D3587" t="str">
            <v>6001</v>
          </cell>
          <cell r="E3587" t="str">
            <v>0169</v>
          </cell>
          <cell r="F3587" t="str">
            <v>C1</v>
          </cell>
          <cell r="G3587" t="str">
            <v>ES</v>
          </cell>
          <cell r="H3587" t="str">
            <v>DISTRIBUIÇÃO</v>
          </cell>
          <cell r="I3587" t="str">
            <v>FOOD SERVICE</v>
          </cell>
          <cell r="J3587" t="str">
            <v>MARCELO DUARTE</v>
          </cell>
          <cell r="K3587" t="str">
            <v>ITAMBÉ</v>
          </cell>
          <cell r="L3587" t="str">
            <v>RODRIGO</v>
          </cell>
          <cell r="M3587" t="str">
            <v>JESSICA</v>
          </cell>
        </row>
        <row r="3588">
          <cell r="B3588">
            <v>5359869</v>
          </cell>
          <cell r="C3588" t="str">
            <v>BIG CHURROS KENNEDY LTDA</v>
          </cell>
          <cell r="D3588" t="str">
            <v>6001</v>
          </cell>
          <cell r="E3588" t="str">
            <v>0028</v>
          </cell>
          <cell r="F3588" t="str">
            <v>C1</v>
          </cell>
          <cell r="G3588" t="str">
            <v>SP</v>
          </cell>
          <cell r="H3588" t="str">
            <v>INGREDIENTS</v>
          </cell>
          <cell r="I3588" t="str">
            <v>INGREDIENTS</v>
          </cell>
          <cell r="J3588" t="str">
            <v>HENRIQUE FERREIRA</v>
          </cell>
          <cell r="K3588" t="str">
            <v>ITAMBÉ</v>
          </cell>
          <cell r="L3588" t="str">
            <v>MAURICIO</v>
          </cell>
          <cell r="M3588" t="str">
            <v>JOEL</v>
          </cell>
        </row>
        <row r="3589">
          <cell r="B3589">
            <v>5361020</v>
          </cell>
          <cell r="C3589" t="str">
            <v>CASA DO SORVETEIRO LTDA</v>
          </cell>
          <cell r="D3589" t="str">
            <v>6001</v>
          </cell>
          <cell r="E3589" t="str">
            <v>0169</v>
          </cell>
          <cell r="F3589" t="str">
            <v>C1</v>
          </cell>
          <cell r="G3589" t="str">
            <v>ES</v>
          </cell>
          <cell r="H3589" t="str">
            <v>DISTRIBUIÇÃO</v>
          </cell>
          <cell r="I3589" t="str">
            <v>FOOD SERVICE</v>
          </cell>
          <cell r="J3589" t="str">
            <v>MARCELO DUARTE</v>
          </cell>
          <cell r="K3589" t="str">
            <v>ITAMBÉ</v>
          </cell>
          <cell r="L3589" t="str">
            <v>RODRIGO</v>
          </cell>
          <cell r="M3589" t="str">
            <v>JESSICA</v>
          </cell>
        </row>
        <row r="3590">
          <cell r="B3590">
            <v>5363590</v>
          </cell>
          <cell r="C3590" t="str">
            <v>CB RIO BARRA DA TIJ COM D ALIM</v>
          </cell>
          <cell r="D3590" t="str">
            <v>6001</v>
          </cell>
          <cell r="E3590" t="str">
            <v>0169</v>
          </cell>
          <cell r="F3590" t="str">
            <v>C1</v>
          </cell>
          <cell r="G3590" t="str">
            <v>RJ</v>
          </cell>
          <cell r="H3590" t="str">
            <v>QSR</v>
          </cell>
          <cell r="I3590" t="str">
            <v>FOOD SERVICE</v>
          </cell>
          <cell r="J3590" t="str">
            <v>VAGO QSR</v>
          </cell>
          <cell r="K3590" t="str">
            <v>ITAMBÉ</v>
          </cell>
          <cell r="L3590" t="str">
            <v>PEDRO</v>
          </cell>
          <cell r="M3590" t="str">
            <v>VAGO QSR</v>
          </cell>
        </row>
        <row r="3591">
          <cell r="B3591">
            <v>5363592</v>
          </cell>
          <cell r="C3591" t="str">
            <v>CBAF COMERCIO DE ALIMENTOS LTDA</v>
          </cell>
          <cell r="D3591" t="str">
            <v>6001</v>
          </cell>
          <cell r="E3591" t="str">
            <v>0125</v>
          </cell>
          <cell r="F3591" t="str">
            <v>C1</v>
          </cell>
          <cell r="G3591" t="str">
            <v>SP</v>
          </cell>
          <cell r="H3591" t="str">
            <v>QSR</v>
          </cell>
          <cell r="I3591" t="str">
            <v>FOOD SERVICE</v>
          </cell>
          <cell r="J3591" t="str">
            <v>VAGO QSR</v>
          </cell>
          <cell r="K3591" t="str">
            <v>ITAMBÉ</v>
          </cell>
          <cell r="L3591" t="str">
            <v>PEDRO</v>
          </cell>
          <cell r="M3591" t="str">
            <v>VAGO QSR</v>
          </cell>
        </row>
        <row r="3592">
          <cell r="B3592">
            <v>5363595</v>
          </cell>
          <cell r="C3592" t="str">
            <v>CBAF COMERCIO DE ALIMENTOS LTDA</v>
          </cell>
          <cell r="D3592" t="str">
            <v>6001</v>
          </cell>
          <cell r="E3592" t="str">
            <v>0125</v>
          </cell>
          <cell r="F3592" t="str">
            <v>C1</v>
          </cell>
          <cell r="G3592" t="str">
            <v>SP</v>
          </cell>
          <cell r="H3592" t="str">
            <v>QSR</v>
          </cell>
          <cell r="I3592" t="str">
            <v>FOOD SERVICE</v>
          </cell>
          <cell r="J3592" t="str">
            <v>VAGO QSR</v>
          </cell>
          <cell r="K3592" t="str">
            <v>ITAMBÉ</v>
          </cell>
          <cell r="L3592" t="str">
            <v>PEDRO</v>
          </cell>
          <cell r="M3592" t="str">
            <v>VAGO QSR</v>
          </cell>
        </row>
        <row r="3593">
          <cell r="B3593">
            <v>5363598</v>
          </cell>
          <cell r="C3593" t="str">
            <v>CB RIO VOLTA REDONDA COM DE AL</v>
          </cell>
          <cell r="D3593" t="str">
            <v>6001</v>
          </cell>
          <cell r="E3593" t="str">
            <v>0169</v>
          </cell>
          <cell r="F3593" t="str">
            <v>C1</v>
          </cell>
          <cell r="G3593" t="str">
            <v>RJ</v>
          </cell>
          <cell r="H3593" t="str">
            <v>QSR</v>
          </cell>
          <cell r="I3593" t="str">
            <v>FOOD SERVICE</v>
          </cell>
          <cell r="J3593" t="str">
            <v>VAGO QSR</v>
          </cell>
          <cell r="K3593" t="str">
            <v>ITAMBÉ</v>
          </cell>
          <cell r="L3593" t="str">
            <v>PEDRO</v>
          </cell>
          <cell r="M3593" t="str">
            <v>VAGO QSR</v>
          </cell>
        </row>
        <row r="3594">
          <cell r="B3594">
            <v>5363949</v>
          </cell>
          <cell r="C3594" t="str">
            <v>FUNCHAL INDUSTRIA E COMERC DE P</v>
          </cell>
          <cell r="D3594" t="str">
            <v>6001</v>
          </cell>
          <cell r="E3594" t="str">
            <v>0125</v>
          </cell>
          <cell r="F3594" t="str">
            <v>C1</v>
          </cell>
          <cell r="G3594" t="str">
            <v>SP</v>
          </cell>
          <cell r="H3594" t="str">
            <v>DISTRIBUIÇÃO</v>
          </cell>
          <cell r="I3594" t="str">
            <v>FOOD SERVICE</v>
          </cell>
          <cell r="J3594" t="str">
            <v>VAGO SP</v>
          </cell>
          <cell r="K3594" t="str">
            <v>ITAMBÉ</v>
          </cell>
          <cell r="L3594" t="str">
            <v>RODRIGO</v>
          </cell>
          <cell r="M3594" t="str">
            <v>RAQUEL BARBOSA</v>
          </cell>
        </row>
        <row r="3595">
          <cell r="B3595">
            <v>5363950</v>
          </cell>
          <cell r="C3595" t="str">
            <v>FUNCHAL INDUSTRIA E COMERCIO DE PAP</v>
          </cell>
          <cell r="D3595" t="str">
            <v>6001</v>
          </cell>
          <cell r="E3595" t="str">
            <v>0125</v>
          </cell>
          <cell r="F3595" t="str">
            <v>C1</v>
          </cell>
          <cell r="G3595" t="str">
            <v>SP</v>
          </cell>
          <cell r="H3595" t="str">
            <v>DISTRIBUIÇÃO</v>
          </cell>
          <cell r="I3595" t="str">
            <v>FOOD SERVICE</v>
          </cell>
          <cell r="J3595" t="str">
            <v>VAGO SP</v>
          </cell>
          <cell r="K3595" t="str">
            <v>ITAMBÉ</v>
          </cell>
          <cell r="L3595" t="str">
            <v>RODRIGO</v>
          </cell>
          <cell r="M3595" t="str">
            <v>RAQUEL BARBOSA</v>
          </cell>
        </row>
        <row r="3596">
          <cell r="B3596">
            <v>5364495</v>
          </cell>
          <cell r="C3596" t="str">
            <v>3D SALGADOS LTDA</v>
          </cell>
          <cell r="D3596" t="str">
            <v>6001</v>
          </cell>
          <cell r="E3596" t="str">
            <v>0028</v>
          </cell>
          <cell r="F3596" t="str">
            <v>C1</v>
          </cell>
          <cell r="G3596" t="str">
            <v>RJ</v>
          </cell>
          <cell r="H3596" t="str">
            <v>INGREDIENTS</v>
          </cell>
          <cell r="I3596" t="str">
            <v>INGREDIENTS</v>
          </cell>
          <cell r="J3596" t="str">
            <v>RJ ITB FS L T MARTINS</v>
          </cell>
          <cell r="K3596" t="str">
            <v>ITAMBÉ</v>
          </cell>
          <cell r="L3596" t="str">
            <v>MAURICIO</v>
          </cell>
          <cell r="M3596" t="str">
            <v>TATIANA NITTA</v>
          </cell>
        </row>
        <row r="3597">
          <cell r="B3597">
            <v>5364496</v>
          </cell>
          <cell r="C3597" t="str">
            <v>CONVENIENCIA DABELA DE COELH DA</v>
          </cell>
          <cell r="D3597" t="str">
            <v>6001</v>
          </cell>
          <cell r="E3597" t="str">
            <v>0028</v>
          </cell>
          <cell r="F3597" t="str">
            <v>C1</v>
          </cell>
          <cell r="G3597" t="str">
            <v>RJ</v>
          </cell>
          <cell r="H3597" t="str">
            <v>INGREDIENTS</v>
          </cell>
          <cell r="I3597" t="str">
            <v>INGREDIENTS</v>
          </cell>
          <cell r="J3597" t="str">
            <v>RJ ITB FS L T MARTINS</v>
          </cell>
          <cell r="K3597" t="str">
            <v>ITAMBÉ</v>
          </cell>
          <cell r="L3597" t="str">
            <v>MAURICIO</v>
          </cell>
          <cell r="M3597" t="str">
            <v>TATIANA NITTA</v>
          </cell>
        </row>
        <row r="3598">
          <cell r="B3598">
            <v>5364697</v>
          </cell>
          <cell r="C3598" t="str">
            <v>REI DOS GELADOS LTDA</v>
          </cell>
          <cell r="D3598" t="str">
            <v>6001</v>
          </cell>
          <cell r="E3598" t="str">
            <v>0028</v>
          </cell>
          <cell r="F3598" t="str">
            <v>C1</v>
          </cell>
          <cell r="G3598" t="str">
            <v>RJ</v>
          </cell>
          <cell r="H3598" t="str">
            <v>INGREDIENTS</v>
          </cell>
          <cell r="I3598" t="str">
            <v>INGREDIENTS</v>
          </cell>
          <cell r="J3598" t="str">
            <v>RJ ITB FS L T MARTINS</v>
          </cell>
          <cell r="K3598" t="str">
            <v>ITAMBÉ</v>
          </cell>
          <cell r="L3598" t="str">
            <v>MAURICIO</v>
          </cell>
          <cell r="M3598" t="str">
            <v>TATIANA NITTA</v>
          </cell>
        </row>
        <row r="3599">
          <cell r="B3599">
            <v>5300879</v>
          </cell>
          <cell r="C3599" t="str">
            <v>HOTELARIA ACCORINVEST BRASIL S A</v>
          </cell>
          <cell r="D3599" t="str">
            <v>7001</v>
          </cell>
          <cell r="E3599" t="str">
            <v>0749</v>
          </cell>
          <cell r="F3599" t="str">
            <v>C5</v>
          </cell>
          <cell r="G3599" t="str">
            <v>SP</v>
          </cell>
          <cell r="H3599" t="str">
            <v>DISTRIBUIÇÃO</v>
          </cell>
          <cell r="I3599" t="str">
            <v>FOOD SERVICE</v>
          </cell>
          <cell r="J3599" t="str">
            <v>FLAC 1</v>
          </cell>
          <cell r="K3599" t="str">
            <v>LACTALIS</v>
          </cell>
          <cell r="L3599" t="str">
            <v>RODRIGO</v>
          </cell>
          <cell r="M3599" t="str">
            <v>RAQUEL BARBOSA</v>
          </cell>
        </row>
        <row r="3600">
          <cell r="B3600">
            <v>5368301</v>
          </cell>
          <cell r="C3600" t="str">
            <v>SUDARIO TRANSP COM E DIST LTDA</v>
          </cell>
          <cell r="D3600" t="str">
            <v>7001</v>
          </cell>
          <cell r="E3600" t="str">
            <v>0722</v>
          </cell>
          <cell r="F3600" t="str">
            <v>C1</v>
          </cell>
          <cell r="G3600" t="str">
            <v>SP</v>
          </cell>
          <cell r="H3600" t="str">
            <v>DISTRIBUIÇÃO</v>
          </cell>
          <cell r="I3600" t="str">
            <v>FOOD SERVICE</v>
          </cell>
          <cell r="J3600" t="str">
            <v>RAQUEL BARBOSA</v>
          </cell>
          <cell r="K3600" t="str">
            <v>LACTALIS</v>
          </cell>
          <cell r="L3600" t="str">
            <v>RODRIGO</v>
          </cell>
          <cell r="M3600" t="str">
            <v>RAQUEL BARBOSA</v>
          </cell>
        </row>
        <row r="3601">
          <cell r="B3601">
            <v>5013236</v>
          </cell>
          <cell r="C3601" t="str">
            <v>CLUBE DO CONFEITEIRO LTDA</v>
          </cell>
          <cell r="D3601" t="str">
            <v>6001</v>
          </cell>
          <cell r="E3601" t="str">
            <v>6125</v>
          </cell>
          <cell r="F3601" t="str">
            <v>C1</v>
          </cell>
          <cell r="G3601" t="str">
            <v>SP</v>
          </cell>
          <cell r="H3601" t="str">
            <v>DISTRIBUIÇÃO</v>
          </cell>
          <cell r="I3601" t="str">
            <v>FOOD SERVICE</v>
          </cell>
          <cell r="J3601" t="str">
            <v>SP ITB FS FLAC REP.E COMERCIO</v>
          </cell>
          <cell r="K3601" t="str">
            <v>ITAMBÉ</v>
          </cell>
          <cell r="L3601" t="str">
            <v>RODRIGO</v>
          </cell>
          <cell r="M3601" t="str">
            <v>RAQUEL BARBOSA</v>
          </cell>
        </row>
        <row r="3602">
          <cell r="B3602">
            <v>5181144</v>
          </cell>
          <cell r="C3602" t="str">
            <v>INDUSTRIA DE SORVETES CAMAGIVA</v>
          </cell>
          <cell r="D3602" t="str">
            <v>7001</v>
          </cell>
          <cell r="E3602" t="str">
            <v>0722</v>
          </cell>
          <cell r="F3602" t="str">
            <v>C1</v>
          </cell>
          <cell r="G3602" t="str">
            <v>SP</v>
          </cell>
          <cell r="H3602" t="str">
            <v>QSR</v>
          </cell>
          <cell r="I3602" t="str">
            <v>FOOD SERVICE</v>
          </cell>
          <cell r="J3602" t="str">
            <v>ANA MENIQUETE</v>
          </cell>
          <cell r="K3602" t="str">
            <v>LACTALIS</v>
          </cell>
          <cell r="L3602" t="str">
            <v>PEDRO</v>
          </cell>
          <cell r="M3602" t="str">
            <v>ANA MENIQUETE</v>
          </cell>
        </row>
        <row r="3603">
          <cell r="B3603">
            <v>5181766</v>
          </cell>
          <cell r="C3603" t="str">
            <v>BRASIL NUTRI AMBIENTAL LTDA</v>
          </cell>
          <cell r="D3603" t="str">
            <v>4001</v>
          </cell>
          <cell r="E3603" t="str">
            <v>0454</v>
          </cell>
          <cell r="F3603" t="str">
            <v>C1</v>
          </cell>
          <cell r="G3603" t="str">
            <v>BA</v>
          </cell>
          <cell r="H3603" t="str">
            <v>INGREDIENTS</v>
          </cell>
          <cell r="I3603" t="str">
            <v>INGREDIENTS</v>
          </cell>
          <cell r="J3603" t="str">
            <v>HENRIQUE FERREIRA</v>
          </cell>
          <cell r="K3603" t="str">
            <v>LACTALIS</v>
          </cell>
          <cell r="L3603" t="str">
            <v>MAURICIO</v>
          </cell>
          <cell r="M3603" t="str">
            <v>JOEL</v>
          </cell>
        </row>
        <row r="3604">
          <cell r="B3604">
            <v>5369097</v>
          </cell>
          <cell r="C3604" t="str">
            <v>FARES GROUP LTDA</v>
          </cell>
          <cell r="D3604" t="str">
            <v>7001</v>
          </cell>
          <cell r="E3604" t="str">
            <v>0749</v>
          </cell>
          <cell r="F3604" t="str">
            <v>C5</v>
          </cell>
          <cell r="G3604" t="str">
            <v>SP</v>
          </cell>
          <cell r="H3604" t="str">
            <v>DISTRIBUIÇÃO</v>
          </cell>
          <cell r="I3604" t="str">
            <v>FOOD SERVICE</v>
          </cell>
          <cell r="J3604" t="str">
            <v>FLAC 2</v>
          </cell>
          <cell r="K3604" t="str">
            <v>LACTALIS</v>
          </cell>
          <cell r="L3604" t="str">
            <v>RODRIGO</v>
          </cell>
          <cell r="M3604" t="str">
            <v>RAQUEL BARBOSA</v>
          </cell>
        </row>
        <row r="3605">
          <cell r="B3605">
            <v>5130343</v>
          </cell>
          <cell r="C3605" t="str">
            <v>CDI BARRA PROD IMP E EXPORTACAO LTD</v>
          </cell>
          <cell r="D3605" t="str">
            <v>7001</v>
          </cell>
          <cell r="E3605" t="str">
            <v>0722</v>
          </cell>
          <cell r="F3605" t="str">
            <v>C1</v>
          </cell>
          <cell r="G3605" t="str">
            <v>SP</v>
          </cell>
          <cell r="H3605" t="str">
            <v>DISTRIBUIÇÃO</v>
          </cell>
          <cell r="I3605" t="str">
            <v>FOOD SERVICE</v>
          </cell>
          <cell r="J3605" t="str">
            <v>VAGO SP</v>
          </cell>
          <cell r="K3605" t="str">
            <v>LACTALIS</v>
          </cell>
          <cell r="L3605" t="str">
            <v>RODRIGO</v>
          </cell>
          <cell r="M3605" t="str">
            <v>RAQUEL BARBOSA</v>
          </cell>
        </row>
        <row r="3606">
          <cell r="B3606">
            <v>5369001</v>
          </cell>
          <cell r="C3606" t="str">
            <v>46805736 EDUARDO ANTONIO DA SILVA</v>
          </cell>
          <cell r="D3606" t="str">
            <v>7001</v>
          </cell>
          <cell r="E3606" t="str">
            <v>0749</v>
          </cell>
          <cell r="F3606" t="str">
            <v>C5</v>
          </cell>
          <cell r="G3606" t="str">
            <v>SP</v>
          </cell>
          <cell r="H3606" t="str">
            <v>DISTRIBUIÇÃO</v>
          </cell>
          <cell r="I3606" t="str">
            <v>FOOD SERVICE</v>
          </cell>
          <cell r="J3606" t="str">
            <v>FLAC 3</v>
          </cell>
          <cell r="K3606" t="str">
            <v>LACTALIS</v>
          </cell>
          <cell r="L3606" t="str">
            <v>RODRIGO</v>
          </cell>
          <cell r="M3606" t="str">
            <v>RAQUEL BARBOSA</v>
          </cell>
        </row>
        <row r="3607">
          <cell r="B3607">
            <v>5354705</v>
          </cell>
          <cell r="C3607" t="str">
            <v>DR IND E COM IMP E EXP DE AL LTDA</v>
          </cell>
          <cell r="D3607" t="str">
            <v>6001</v>
          </cell>
          <cell r="E3607" t="str">
            <v>6028</v>
          </cell>
          <cell r="F3607" t="str">
            <v>C1</v>
          </cell>
          <cell r="G3607" t="str">
            <v>MS</v>
          </cell>
          <cell r="H3607" t="str">
            <v>INGREDIENTS</v>
          </cell>
          <cell r="I3607" t="str">
            <v>INGREDIENTS</v>
          </cell>
          <cell r="J3607" t="str">
            <v>MS ITB FS MAWIL REPRESENTAÇÕES</v>
          </cell>
          <cell r="K3607" t="str">
            <v>ITAMBÉ</v>
          </cell>
          <cell r="L3607" t="str">
            <v>MAURICIO</v>
          </cell>
          <cell r="M3607" t="str">
            <v>MARCELO</v>
          </cell>
        </row>
        <row r="3608">
          <cell r="B3608">
            <v>5367921</v>
          </cell>
          <cell r="C3608" t="str">
            <v>60574443 WILLIAM F DE SOUZA</v>
          </cell>
          <cell r="D3608" t="str">
            <v>7001</v>
          </cell>
          <cell r="E3608" t="str">
            <v>0749</v>
          </cell>
          <cell r="F3608" t="str">
            <v>C5</v>
          </cell>
          <cell r="G3608" t="str">
            <v>SP</v>
          </cell>
          <cell r="H3608" t="str">
            <v>DISTRIBUIÇÃO</v>
          </cell>
          <cell r="I3608" t="str">
            <v>FOOD SERVICE</v>
          </cell>
          <cell r="J3608" t="str">
            <v>FLAC 3</v>
          </cell>
          <cell r="K3608" t="str">
            <v>LACTALIS</v>
          </cell>
          <cell r="L3608" t="str">
            <v>RODRIGO</v>
          </cell>
          <cell r="M3608" t="str">
            <v>RAQUEL BARBOSA</v>
          </cell>
        </row>
        <row r="3609">
          <cell r="B3609">
            <v>5368988</v>
          </cell>
          <cell r="C3609" t="str">
            <v>JB DISTRIBUIDORA LTDA</v>
          </cell>
          <cell r="D3609" t="str">
            <v>3001</v>
          </cell>
          <cell r="E3609" t="str">
            <v>0028</v>
          </cell>
          <cell r="F3609" t="str">
            <v>C1</v>
          </cell>
          <cell r="G3609" t="str">
            <v>SC</v>
          </cell>
          <cell r="H3609" t="str">
            <v>INGREDIENTS</v>
          </cell>
          <cell r="I3609" t="str">
            <v>INGREDIENTS</v>
          </cell>
          <cell r="J3609" t="str">
            <v>MARCELO RODRIGUES</v>
          </cell>
          <cell r="K3609" t="str">
            <v>ITAMBÉ</v>
          </cell>
          <cell r="L3609" t="str">
            <v>MAURICIO</v>
          </cell>
          <cell r="M3609" t="str">
            <v>MARCELO</v>
          </cell>
        </row>
        <row r="3610">
          <cell r="B3610">
            <v>5213905</v>
          </cell>
          <cell r="C3610" t="str">
            <v>COLORADO FESTAS LTDA</v>
          </cell>
          <cell r="D3610" t="str">
            <v>7001</v>
          </cell>
          <cell r="E3610" t="str">
            <v>0739</v>
          </cell>
          <cell r="F3610" t="str">
            <v>C1</v>
          </cell>
          <cell r="G3610" t="str">
            <v>ES</v>
          </cell>
          <cell r="H3610" t="str">
            <v>DISTRIBUIÇÃO</v>
          </cell>
          <cell r="I3610" t="str">
            <v>FOOD SERVICE</v>
          </cell>
          <cell r="J3610" t="str">
            <v>MARCELO DUARTE</v>
          </cell>
          <cell r="K3610" t="str">
            <v>LACTALIS</v>
          </cell>
          <cell r="L3610" t="str">
            <v>RODRIGO</v>
          </cell>
          <cell r="M3610" t="str">
            <v>JESSICA</v>
          </cell>
        </row>
        <row r="3611">
          <cell r="B3611">
            <v>5254009</v>
          </cell>
          <cell r="C3611" t="str">
            <v>DAOCA IND E COM DE ALIM LTDA</v>
          </cell>
          <cell r="D3611" t="str">
            <v>7001</v>
          </cell>
          <cell r="E3611" t="str">
            <v>0749</v>
          </cell>
          <cell r="F3611" t="str">
            <v>C5</v>
          </cell>
          <cell r="G3611" t="str">
            <v>SP</v>
          </cell>
          <cell r="H3611" t="str">
            <v>DISTRIBUIÇÃO</v>
          </cell>
          <cell r="I3611" t="str">
            <v>FOOD SERVICE</v>
          </cell>
          <cell r="J3611" t="str">
            <v>FLAC 7</v>
          </cell>
          <cell r="K3611" t="str">
            <v>LACTALIS</v>
          </cell>
          <cell r="L3611" t="str">
            <v>RODRIGO</v>
          </cell>
          <cell r="M3611" t="str">
            <v>RAQUEL BARBOSA</v>
          </cell>
        </row>
        <row r="3612">
          <cell r="B3612">
            <v>5369249</v>
          </cell>
          <cell r="C3612" t="str">
            <v>BRUXELAS DOCES LTDA</v>
          </cell>
          <cell r="D3612" t="str">
            <v>6001</v>
          </cell>
          <cell r="E3612" t="str">
            <v>6028</v>
          </cell>
          <cell r="F3612" t="str">
            <v>C1</v>
          </cell>
          <cell r="G3612" t="str">
            <v>SP</v>
          </cell>
          <cell r="H3612" t="str">
            <v>INGREDIENTS</v>
          </cell>
          <cell r="I3612" t="str">
            <v>INGREDIENTS</v>
          </cell>
          <cell r="J3612" t="str">
            <v>HENRIQUE FERREIRA</v>
          </cell>
          <cell r="K3612" t="str">
            <v>ITAMBÉ</v>
          </cell>
          <cell r="L3612" t="str">
            <v>MAURICIO</v>
          </cell>
          <cell r="M3612" t="str">
            <v>JOEL</v>
          </cell>
        </row>
        <row r="3613">
          <cell r="B3613">
            <v>5366906</v>
          </cell>
          <cell r="C3613" t="str">
            <v>LATICINIOS BELA VISTA SA</v>
          </cell>
          <cell r="D3613" t="str">
            <v>3001</v>
          </cell>
          <cell r="E3613" t="str">
            <v>0028</v>
          </cell>
          <cell r="F3613" t="str">
            <v>C1</v>
          </cell>
          <cell r="G3613" t="str">
            <v>MG</v>
          </cell>
          <cell r="H3613" t="str">
            <v>INGREDIENTS</v>
          </cell>
          <cell r="I3613" t="str">
            <v>INGREDIENTS</v>
          </cell>
          <cell r="J3613" t="str">
            <v>HENRIQUE FERREIRA</v>
          </cell>
          <cell r="K3613" t="str">
            <v>ITAMBÉ</v>
          </cell>
          <cell r="L3613" t="str">
            <v>MAURICIO</v>
          </cell>
          <cell r="M3613" t="str">
            <v>JOEL</v>
          </cell>
        </row>
        <row r="3614">
          <cell r="B3614">
            <v>5369376</v>
          </cell>
          <cell r="C3614" t="str">
            <v>DELICATESSEN PARAISO LTDA</v>
          </cell>
          <cell r="D3614" t="str">
            <v>7001</v>
          </cell>
          <cell r="E3614" t="str">
            <v>0749</v>
          </cell>
          <cell r="F3614" t="str">
            <v>C5</v>
          </cell>
          <cell r="G3614" t="str">
            <v>SP</v>
          </cell>
          <cell r="H3614" t="str">
            <v>DISTRIBUIÇÃO</v>
          </cell>
          <cell r="I3614" t="str">
            <v>FOOD SERVICE</v>
          </cell>
          <cell r="J3614" t="str">
            <v>FLAC 10</v>
          </cell>
          <cell r="K3614" t="str">
            <v>LACTALIS</v>
          </cell>
          <cell r="L3614" t="str">
            <v>RODRIGO</v>
          </cell>
          <cell r="M3614" t="str">
            <v>RAQUEL BARBOSA</v>
          </cell>
        </row>
        <row r="3615">
          <cell r="B3615">
            <v>5181144</v>
          </cell>
          <cell r="C3615" t="str">
            <v>INDUSTRIA DE SORVETES CAMAGIVA</v>
          </cell>
          <cell r="D3615" t="str">
            <v>6001</v>
          </cell>
          <cell r="E3615" t="str">
            <v>6125</v>
          </cell>
          <cell r="F3615" t="str">
            <v>C1</v>
          </cell>
          <cell r="G3615" t="str">
            <v>SP</v>
          </cell>
          <cell r="H3615" t="str">
            <v>QSR</v>
          </cell>
          <cell r="I3615" t="str">
            <v>FOOD SERVICE</v>
          </cell>
          <cell r="J3615" t="str">
            <v>ANA MENIQUETE</v>
          </cell>
          <cell r="K3615" t="str">
            <v>ITAMBÉ</v>
          </cell>
          <cell r="L3615" t="str">
            <v>PEDRO</v>
          </cell>
          <cell r="M3615" t="str">
            <v>ANA MENIQUETE</v>
          </cell>
        </row>
        <row r="3616">
          <cell r="B3616">
            <v>5188355</v>
          </cell>
          <cell r="C3616" t="str">
            <v>TUDOBOM COMERCIAL LTDA</v>
          </cell>
          <cell r="D3616" t="str">
            <v>3001</v>
          </cell>
          <cell r="E3616" t="str">
            <v>0122</v>
          </cell>
          <cell r="F3616" t="str">
            <v>C1</v>
          </cell>
          <cell r="G3616" t="str">
            <v>MG</v>
          </cell>
          <cell r="H3616" t="str">
            <v>DISTRIBUIÇÃO</v>
          </cell>
          <cell r="I3616" t="str">
            <v>FOOD SERVICE</v>
          </cell>
          <cell r="J3616" t="str">
            <v>CELIO MARTINS</v>
          </cell>
          <cell r="K3616" t="str">
            <v>ITAMBÉ</v>
          </cell>
          <cell r="L3616" t="str">
            <v>RODRIGO</v>
          </cell>
          <cell r="M3616" t="str">
            <v>CELIO MARTINS</v>
          </cell>
        </row>
        <row r="3617">
          <cell r="B3617">
            <v>5356221</v>
          </cell>
          <cell r="C3617" t="str">
            <v>AFFARE GESTAO DE NEGOCIOS LTDA</v>
          </cell>
          <cell r="D3617" t="str">
            <v>7001</v>
          </cell>
          <cell r="E3617" t="str">
            <v>0749</v>
          </cell>
          <cell r="F3617" t="str">
            <v>C5</v>
          </cell>
          <cell r="G3617" t="str">
            <v>SP</v>
          </cell>
          <cell r="H3617" t="str">
            <v>DISTRIBUIÇÃO</v>
          </cell>
          <cell r="I3617" t="str">
            <v>FOOD SERVICE</v>
          </cell>
          <cell r="J3617" t="str">
            <v>FLAC 2</v>
          </cell>
          <cell r="K3617" t="str">
            <v>LACTALIS</v>
          </cell>
          <cell r="L3617" t="str">
            <v>RODRIGO</v>
          </cell>
          <cell r="M3617" t="str">
            <v>RAQUEL BARBOSA</v>
          </cell>
        </row>
        <row r="3618">
          <cell r="B3618">
            <v>5369416</v>
          </cell>
          <cell r="C3618" t="str">
            <v>NUTRIDORO REFEICOES LTDA</v>
          </cell>
          <cell r="D3618" t="str">
            <v>7001</v>
          </cell>
          <cell r="E3618" t="str">
            <v>0749</v>
          </cell>
          <cell r="F3618" t="str">
            <v>C5</v>
          </cell>
          <cell r="G3618" t="str">
            <v>SP</v>
          </cell>
          <cell r="H3618" t="str">
            <v>DISTRIBUIÇÃO</v>
          </cell>
          <cell r="I3618" t="str">
            <v>FOOD SERVICE</v>
          </cell>
          <cell r="J3618" t="str">
            <v>FLAC 2</v>
          </cell>
          <cell r="K3618" t="str">
            <v>LACTALIS</v>
          </cell>
          <cell r="L3618" t="str">
            <v>RODRIGO</v>
          </cell>
          <cell r="M3618" t="str">
            <v>RAQUEL BARBOSA</v>
          </cell>
        </row>
        <row r="3619">
          <cell r="B3619">
            <v>5021546</v>
          </cell>
          <cell r="C3619" t="str">
            <v>SUPERMERCADO GEN LTDA</v>
          </cell>
          <cell r="D3619" t="str">
            <v>6001</v>
          </cell>
          <cell r="E3619" t="str">
            <v>6127</v>
          </cell>
          <cell r="F3619" t="str">
            <v>C1</v>
          </cell>
          <cell r="G3619" t="str">
            <v>CE</v>
          </cell>
          <cell r="H3619" t="str">
            <v>DISTRIBUIÇÃO</v>
          </cell>
          <cell r="I3619" t="str">
            <v>FOOD SERVICE</v>
          </cell>
          <cell r="J3619" t="str">
            <v>WH FOOD SERVICE CE</v>
          </cell>
          <cell r="K3619" t="str">
            <v>ITAMBÉ</v>
          </cell>
          <cell r="L3619" t="str">
            <v>RODRIGO</v>
          </cell>
          <cell r="M3619" t="str">
            <v>MARIA LOURDES</v>
          </cell>
        </row>
        <row r="3620">
          <cell r="B3620">
            <v>5024813</v>
          </cell>
          <cell r="C3620" t="str">
            <v>PORTELA SUPERMERCADO LTDA</v>
          </cell>
          <cell r="D3620" t="str">
            <v>6001</v>
          </cell>
          <cell r="E3620" t="str">
            <v>6127</v>
          </cell>
          <cell r="F3620" t="str">
            <v>C1</v>
          </cell>
          <cell r="G3620" t="str">
            <v>CE</v>
          </cell>
          <cell r="H3620" t="str">
            <v>DISTRIBUIÇÃO</v>
          </cell>
          <cell r="I3620" t="str">
            <v>FOOD SERVICE</v>
          </cell>
          <cell r="J3620" t="str">
            <v>WH FOOD SERVICE CE</v>
          </cell>
          <cell r="K3620" t="str">
            <v>ITAMBÉ</v>
          </cell>
          <cell r="L3620" t="str">
            <v>RODRIGO</v>
          </cell>
          <cell r="M3620" t="str">
            <v>MARIA LOURDES</v>
          </cell>
        </row>
        <row r="3621">
          <cell r="B3621">
            <v>5173438</v>
          </cell>
          <cell r="C3621" t="str">
            <v>MERCANTIL FONSECA LTDA</v>
          </cell>
          <cell r="D3621" t="str">
            <v>6001</v>
          </cell>
          <cell r="E3621" t="str">
            <v>6127</v>
          </cell>
          <cell r="F3621" t="str">
            <v>C1</v>
          </cell>
          <cell r="G3621" t="str">
            <v>CE</v>
          </cell>
          <cell r="H3621" t="str">
            <v>DISTRIBUIÇÃO</v>
          </cell>
          <cell r="I3621" t="str">
            <v>FOOD SERVICE</v>
          </cell>
          <cell r="J3621" t="str">
            <v>WH FOOD SERVICE CE</v>
          </cell>
          <cell r="K3621" t="str">
            <v>ITAMBÉ</v>
          </cell>
          <cell r="L3621" t="str">
            <v>RODRIGO</v>
          </cell>
          <cell r="M3621" t="str">
            <v>MARIA LOURDES</v>
          </cell>
        </row>
        <row r="3622">
          <cell r="B3622">
            <v>5184634</v>
          </cell>
          <cell r="C3622" t="str">
            <v>G E N SUPREMERCADO LTDA ME</v>
          </cell>
          <cell r="D3622" t="str">
            <v>6001</v>
          </cell>
          <cell r="E3622" t="str">
            <v>6127</v>
          </cell>
          <cell r="F3622" t="str">
            <v>C1</v>
          </cell>
          <cell r="G3622" t="str">
            <v>CE</v>
          </cell>
          <cell r="H3622" t="str">
            <v>DISTRIBUIÇÃO</v>
          </cell>
          <cell r="I3622" t="str">
            <v>FOOD SERVICE</v>
          </cell>
          <cell r="J3622" t="str">
            <v>WH FOOD SERVICE CE</v>
          </cell>
          <cell r="K3622" t="str">
            <v>ITAMBÉ</v>
          </cell>
          <cell r="L3622" t="str">
            <v>RODRIGO</v>
          </cell>
          <cell r="M3622" t="str">
            <v>MARIA LOURDES</v>
          </cell>
        </row>
        <row r="3623">
          <cell r="B3623">
            <v>5323240</v>
          </cell>
          <cell r="C3623" t="str">
            <v>SUPER G N SUPERMERCADO LTDA</v>
          </cell>
          <cell r="D3623" t="str">
            <v>6001</v>
          </cell>
          <cell r="E3623" t="str">
            <v>6127</v>
          </cell>
          <cell r="F3623" t="str">
            <v>C1</v>
          </cell>
          <cell r="G3623" t="str">
            <v>CE</v>
          </cell>
          <cell r="H3623" t="str">
            <v>DISTRIBUIÇÃO</v>
          </cell>
          <cell r="I3623" t="str">
            <v>FOOD SERVICE</v>
          </cell>
          <cell r="J3623" t="str">
            <v>WH FOOD SERVICE CE</v>
          </cell>
          <cell r="K3623" t="str">
            <v>ITAMBÉ</v>
          </cell>
          <cell r="L3623" t="str">
            <v>RODRIGO</v>
          </cell>
          <cell r="M3623" t="str">
            <v>MARIA LOURDES</v>
          </cell>
        </row>
        <row r="3624">
          <cell r="B3624">
            <v>5369003</v>
          </cell>
          <cell r="C3624" t="str">
            <v>FORNADA PAES E REFEICOES LTDA</v>
          </cell>
          <cell r="D3624" t="str">
            <v>7001</v>
          </cell>
          <cell r="E3624" t="str">
            <v>0749</v>
          </cell>
          <cell r="F3624" t="str">
            <v>C5</v>
          </cell>
          <cell r="G3624" t="str">
            <v>SP</v>
          </cell>
          <cell r="H3624" t="str">
            <v>DISTRIBUIÇÃO</v>
          </cell>
          <cell r="I3624" t="str">
            <v>FOOD SERVICE</v>
          </cell>
          <cell r="J3624" t="str">
            <v>FLAC 2</v>
          </cell>
          <cell r="K3624" t="str">
            <v>LACTALIS</v>
          </cell>
          <cell r="L3624" t="str">
            <v>RODRIGO</v>
          </cell>
          <cell r="M3624" t="str">
            <v>RAQUEL BARBOSA</v>
          </cell>
        </row>
        <row r="3625">
          <cell r="B3625">
            <v>5369404</v>
          </cell>
          <cell r="C3625" t="str">
            <v>AK PHARMA LTDA</v>
          </cell>
          <cell r="D3625" t="str">
            <v>7001</v>
          </cell>
          <cell r="E3625" t="str">
            <v>0749</v>
          </cell>
          <cell r="F3625" t="str">
            <v>C5</v>
          </cell>
          <cell r="G3625" t="str">
            <v>SP</v>
          </cell>
          <cell r="H3625" t="str">
            <v>DISTRIBUIÇÃO</v>
          </cell>
          <cell r="I3625" t="str">
            <v>FOOD SERVICE</v>
          </cell>
          <cell r="J3625" t="str">
            <v>FLAC 3</v>
          </cell>
          <cell r="K3625" t="str">
            <v>LACTALIS</v>
          </cell>
          <cell r="L3625" t="str">
            <v>RODRIGO</v>
          </cell>
          <cell r="M3625" t="str">
            <v>RAQUEL BARBOSA</v>
          </cell>
        </row>
        <row r="3626">
          <cell r="B3626">
            <v>5167791</v>
          </cell>
          <cell r="C3626" t="str">
            <v>DAN VIGOR IND E COM DE LATICINIOS L</v>
          </cell>
          <cell r="D3626" t="str">
            <v>4001</v>
          </cell>
          <cell r="E3626" t="str">
            <v>0437</v>
          </cell>
          <cell r="F3626" t="str">
            <v>C1</v>
          </cell>
          <cell r="G3626" t="str">
            <v>SP</v>
          </cell>
          <cell r="H3626" t="str">
            <v>INGREDIENTS</v>
          </cell>
          <cell r="I3626" t="str">
            <v>INGREDIENTS</v>
          </cell>
          <cell r="J3626" t="str">
            <v>JOEL ELEOTÉRIO</v>
          </cell>
          <cell r="K3626" t="str">
            <v>LACTALIS</v>
          </cell>
          <cell r="L3626" t="str">
            <v>MAURICIO</v>
          </cell>
          <cell r="M3626" t="str">
            <v>JOEL</v>
          </cell>
        </row>
        <row r="3627">
          <cell r="B3627">
            <v>5369334</v>
          </cell>
          <cell r="C3627" t="str">
            <v>SORVMAIS LTDA</v>
          </cell>
          <cell r="D3627" t="str">
            <v>3001</v>
          </cell>
          <cell r="E3627" t="str">
            <v>0028</v>
          </cell>
          <cell r="F3627" t="str">
            <v>C1</v>
          </cell>
          <cell r="G3627" t="str">
            <v>AL</v>
          </cell>
          <cell r="H3627" t="str">
            <v>INGREDIENTS</v>
          </cell>
          <cell r="I3627" t="str">
            <v>INGREDIENTS</v>
          </cell>
          <cell r="J3627" t="str">
            <v>PE ITB FS L B REP</v>
          </cell>
          <cell r="K3627" t="str">
            <v>ITAMBÉ</v>
          </cell>
          <cell r="L3627" t="str">
            <v>MAURICIO</v>
          </cell>
          <cell r="M3627" t="str">
            <v>JOEL</v>
          </cell>
        </row>
        <row r="3628">
          <cell r="B3628">
            <v>5369569</v>
          </cell>
          <cell r="C3628" t="str">
            <v>COMERCIAL E DISTRIB BITENCO LTD</v>
          </cell>
          <cell r="D3628" t="str">
            <v>7001</v>
          </cell>
          <cell r="E3628" t="str">
            <v>0749</v>
          </cell>
          <cell r="F3628" t="str">
            <v>C5</v>
          </cell>
          <cell r="G3628" t="str">
            <v>SP</v>
          </cell>
          <cell r="H3628" t="str">
            <v>DISTRIBUIÇÃO</v>
          </cell>
          <cell r="I3628" t="str">
            <v>FOOD SERVICE</v>
          </cell>
          <cell r="J3628" t="str">
            <v>FLAC 7</v>
          </cell>
          <cell r="K3628" t="str">
            <v>LACTALIS</v>
          </cell>
          <cell r="L3628" t="str">
            <v>RODRIGO</v>
          </cell>
          <cell r="M3628" t="str">
            <v>RAQUEL BARBOSA</v>
          </cell>
        </row>
        <row r="3629">
          <cell r="B3629">
            <v>5367989</v>
          </cell>
          <cell r="C3629" t="str">
            <v>ROALD RESTAURANTE E ALIMENTOS LTDA</v>
          </cell>
          <cell r="D3629" t="str">
            <v>7001</v>
          </cell>
          <cell r="E3629" t="str">
            <v>0749</v>
          </cell>
          <cell r="F3629" t="str">
            <v>C5</v>
          </cell>
          <cell r="G3629" t="str">
            <v>SP</v>
          </cell>
          <cell r="H3629" t="str">
            <v>DISTRIBUIÇÃO</v>
          </cell>
          <cell r="I3629" t="str">
            <v>FOOD SERVICE</v>
          </cell>
          <cell r="J3629" t="str">
            <v>FLAC 2</v>
          </cell>
          <cell r="K3629" t="str">
            <v>LACTALIS</v>
          </cell>
          <cell r="L3629" t="str">
            <v>RODRIGO</v>
          </cell>
          <cell r="M3629" t="str">
            <v>RAQUEL BARBOSA</v>
          </cell>
        </row>
        <row r="3630">
          <cell r="B3630">
            <v>5369700</v>
          </cell>
          <cell r="C3630" t="str">
            <v>INDUSTRIA DE ALIMENTOS GURY LTDA</v>
          </cell>
          <cell r="D3630" t="str">
            <v>4001</v>
          </cell>
          <cell r="E3630" t="str">
            <v>0423</v>
          </cell>
          <cell r="F3630" t="str">
            <v>C5</v>
          </cell>
          <cell r="G3630" t="str">
            <v>ES</v>
          </cell>
          <cell r="H3630" t="str">
            <v>INGREDIENTS</v>
          </cell>
          <cell r="I3630" t="str">
            <v>INGREDIENTS</v>
          </cell>
          <cell r="J3630" t="str">
            <v>DLUM</v>
          </cell>
          <cell r="K3630" t="str">
            <v>LACTALIS</v>
          </cell>
          <cell r="L3630" t="str">
            <v>MAURICIO</v>
          </cell>
          <cell r="M3630" t="str">
            <v>JOEL</v>
          </cell>
        </row>
        <row r="3631">
          <cell r="B3631">
            <v>5128707</v>
          </cell>
          <cell r="C3631" t="str">
            <v>ARMAZEM TOP ALTO LTDA</v>
          </cell>
          <cell r="D3631" t="str">
            <v>6001</v>
          </cell>
          <cell r="E3631" t="str">
            <v>6009</v>
          </cell>
          <cell r="F3631" t="str">
            <v>C1</v>
          </cell>
          <cell r="G3631" t="str">
            <v>BA</v>
          </cell>
          <cell r="H3631" t="str">
            <v>DISTRIBUIÇÃO</v>
          </cell>
          <cell r="I3631" t="str">
            <v>FOOD SERVICE</v>
          </cell>
          <cell r="J3631" t="str">
            <v>CLAUDIO JORGE/LUIZ</v>
          </cell>
          <cell r="K3631" t="str">
            <v>ITAMBÉ</v>
          </cell>
          <cell r="L3631" t="str">
            <v>RODRIGO</v>
          </cell>
          <cell r="M3631" t="str">
            <v>MARIA LOURDES</v>
          </cell>
        </row>
        <row r="3632">
          <cell r="B3632">
            <v>5369250</v>
          </cell>
          <cell r="C3632" t="str">
            <v>WE PROTEIN OPERACOES LTDA</v>
          </cell>
          <cell r="D3632" t="str">
            <v>7001</v>
          </cell>
          <cell r="E3632" t="str">
            <v>0722</v>
          </cell>
          <cell r="F3632" t="str">
            <v>C1</v>
          </cell>
          <cell r="G3632" t="str">
            <v>SP</v>
          </cell>
          <cell r="H3632" t="str">
            <v>QSR</v>
          </cell>
          <cell r="I3632" t="str">
            <v>FOOD SERVICE</v>
          </cell>
          <cell r="J3632" t="str">
            <v>VAGO QSR</v>
          </cell>
          <cell r="K3632" t="str">
            <v>LACTALIS</v>
          </cell>
          <cell r="L3632" t="str">
            <v>PEDRO</v>
          </cell>
          <cell r="M3632" t="str">
            <v>VAGO QSR</v>
          </cell>
        </row>
        <row r="3633">
          <cell r="B3633">
            <v>5369251</v>
          </cell>
          <cell r="C3633" t="str">
            <v>WE PROTEIN OPERACOES LTDA</v>
          </cell>
          <cell r="D3633" t="str">
            <v>7001</v>
          </cell>
          <cell r="E3633" t="str">
            <v>0722</v>
          </cell>
          <cell r="F3633" t="str">
            <v>C1</v>
          </cell>
          <cell r="G3633" t="str">
            <v>SP</v>
          </cell>
          <cell r="H3633" t="str">
            <v>QSR</v>
          </cell>
          <cell r="I3633" t="str">
            <v>FOOD SERVICE</v>
          </cell>
          <cell r="J3633" t="str">
            <v>VAGO QSR</v>
          </cell>
          <cell r="K3633" t="str">
            <v>LACTALIS</v>
          </cell>
          <cell r="L3633" t="str">
            <v>PEDRO</v>
          </cell>
          <cell r="M3633" t="str">
            <v>VAGO QSR</v>
          </cell>
        </row>
        <row r="3634">
          <cell r="B3634">
            <v>5369708</v>
          </cell>
          <cell r="C3634" t="str">
            <v>SIGTELY RESTA E FORN DE REF LTD</v>
          </cell>
          <cell r="D3634" t="str">
            <v>7001</v>
          </cell>
          <cell r="E3634" t="str">
            <v>0749</v>
          </cell>
          <cell r="F3634" t="str">
            <v>C5</v>
          </cell>
          <cell r="G3634" t="str">
            <v>SP</v>
          </cell>
          <cell r="H3634" t="str">
            <v>DISTRIBUIÇÃO</v>
          </cell>
          <cell r="I3634" t="str">
            <v>FOOD SERVICE</v>
          </cell>
          <cell r="J3634" t="str">
            <v>FLAC 6</v>
          </cell>
          <cell r="K3634" t="str">
            <v>LACTALIS</v>
          </cell>
          <cell r="L3634" t="str">
            <v>RODRIGO</v>
          </cell>
          <cell r="M3634" t="str">
            <v>RAQUEL BARBOSA</v>
          </cell>
        </row>
        <row r="3635">
          <cell r="B3635">
            <v>5369565</v>
          </cell>
          <cell r="C3635" t="str">
            <v>ALLPAN COM DE PROD ALIMEN LTDA</v>
          </cell>
          <cell r="D3635" t="str">
            <v>6001</v>
          </cell>
          <cell r="E3635" t="str">
            <v>6125</v>
          </cell>
          <cell r="F3635" t="str">
            <v>C1</v>
          </cell>
          <cell r="G3635" t="str">
            <v>SP</v>
          </cell>
          <cell r="H3635" t="str">
            <v>DISTRIBUIÇÃO</v>
          </cell>
          <cell r="I3635" t="str">
            <v>FOOD SERVICE</v>
          </cell>
          <cell r="J3635" t="str">
            <v>ALEXANDRE BONANI</v>
          </cell>
          <cell r="K3635" t="str">
            <v>ITAMBÉ</v>
          </cell>
          <cell r="L3635" t="str">
            <v>RODRIGO</v>
          </cell>
          <cell r="M3635" t="str">
            <v>ALEXANDRE BONANI</v>
          </cell>
        </row>
        <row r="3636">
          <cell r="B3636">
            <v>5354784</v>
          </cell>
          <cell r="C3636" t="str">
            <v>BENDU INDUSTRIA E COMERCIO DE ALIM</v>
          </cell>
          <cell r="D3636" t="str">
            <v>6001</v>
          </cell>
          <cell r="E3636" t="str">
            <v>6125</v>
          </cell>
          <cell r="F3636" t="str">
            <v>C1</v>
          </cell>
          <cell r="G3636" t="str">
            <v>SP</v>
          </cell>
          <cell r="H3636" t="str">
            <v>DISTRIBUIÇÃO</v>
          </cell>
          <cell r="I3636" t="str">
            <v>FOOD SERVICE</v>
          </cell>
          <cell r="J3636" t="str">
            <v>SP ITB FS FLAC REP.E COMERCIO</v>
          </cell>
          <cell r="K3636" t="str">
            <v>ITAMBÉ</v>
          </cell>
          <cell r="L3636" t="str">
            <v>RODRIGO</v>
          </cell>
          <cell r="M3636" t="str">
            <v>RAQUEL BARBOSA</v>
          </cell>
        </row>
        <row r="3637">
          <cell r="B3637">
            <v>5369859</v>
          </cell>
          <cell r="C3637" t="str">
            <v>SORMEL INDUSTRIA DE SORVETES LTDA</v>
          </cell>
          <cell r="D3637" t="str">
            <v>3001</v>
          </cell>
          <cell r="E3637" t="str">
            <v>0028</v>
          </cell>
          <cell r="F3637" t="str">
            <v>C1</v>
          </cell>
          <cell r="G3637" t="str">
            <v>AL</v>
          </cell>
          <cell r="H3637" t="str">
            <v>INGREDIENTS</v>
          </cell>
          <cell r="I3637" t="str">
            <v>INGREDIENTS</v>
          </cell>
          <cell r="J3637" t="str">
            <v>PE ITB FS L B REP</v>
          </cell>
          <cell r="K3637" t="str">
            <v>ITAMBÉ</v>
          </cell>
          <cell r="L3637" t="str">
            <v>MAURICIO</v>
          </cell>
          <cell r="M3637" t="str">
            <v>JOEL</v>
          </cell>
        </row>
        <row r="3638">
          <cell r="B3638">
            <v>5329930</v>
          </cell>
          <cell r="C3638" t="str">
            <v>FITISSIMO INDUSTRIA DE ALIMENTOS LT</v>
          </cell>
          <cell r="D3638" t="str">
            <v>3001</v>
          </cell>
          <cell r="E3638" t="str">
            <v>0028</v>
          </cell>
          <cell r="F3638" t="str">
            <v>C1</v>
          </cell>
          <cell r="G3638" t="str">
            <v>MG</v>
          </cell>
          <cell r="H3638" t="str">
            <v>INGREDIENTS</v>
          </cell>
          <cell r="I3638" t="str">
            <v>INGREDIENTS</v>
          </cell>
          <cell r="J3638" t="str">
            <v>HENRIQUE FERREIRA</v>
          </cell>
          <cell r="K3638" t="str">
            <v>ITAMBÉ</v>
          </cell>
          <cell r="L3638" t="str">
            <v>MAURICIO</v>
          </cell>
          <cell r="M3638" t="str">
            <v>JOEL</v>
          </cell>
        </row>
        <row r="3639">
          <cell r="B3639">
            <v>5352460</v>
          </cell>
          <cell r="C3639" t="str">
            <v>CB LAGO SUL COMERCIO DE ALIME L</v>
          </cell>
          <cell r="D3639" t="str">
            <v>6001</v>
          </cell>
          <cell r="E3639" t="str">
            <v>6123</v>
          </cell>
          <cell r="F3639" t="str">
            <v>C1</v>
          </cell>
          <cell r="G3639" t="str">
            <v>DF</v>
          </cell>
          <cell r="H3639" t="str">
            <v>QSR</v>
          </cell>
          <cell r="I3639" t="str">
            <v>FOOD SERVICE</v>
          </cell>
          <cell r="J3639" t="str">
            <v>VAGO QSR</v>
          </cell>
          <cell r="K3639" t="str">
            <v>ITAMBÉ</v>
          </cell>
          <cell r="L3639" t="str">
            <v>PEDRO</v>
          </cell>
          <cell r="M3639" t="str">
            <v>VAGO QSR</v>
          </cell>
        </row>
        <row r="3640">
          <cell r="B3640">
            <v>5364446</v>
          </cell>
          <cell r="C3640" t="str">
            <v>KEZ BAGEL 4 REST E LANCHON LTDA</v>
          </cell>
          <cell r="D3640" t="str">
            <v>7001</v>
          </cell>
          <cell r="E3640" t="str">
            <v>0749</v>
          </cell>
          <cell r="F3640" t="str">
            <v>C5</v>
          </cell>
          <cell r="G3640" t="str">
            <v>SP</v>
          </cell>
          <cell r="H3640" t="str">
            <v>DISTRIBUIÇÃO</v>
          </cell>
          <cell r="I3640" t="str">
            <v>FOOD SERVICE</v>
          </cell>
          <cell r="J3640" t="str">
            <v>FLAC 5</v>
          </cell>
          <cell r="K3640" t="str">
            <v>LACTALIS</v>
          </cell>
          <cell r="L3640" t="str">
            <v>RODRIGO</v>
          </cell>
          <cell r="M3640" t="str">
            <v>RAQUEL BARBOSA</v>
          </cell>
        </row>
        <row r="3641">
          <cell r="B3641">
            <v>5369627</v>
          </cell>
          <cell r="C3641" t="str">
            <v>WE PROTEIN OPERACOES LTDA</v>
          </cell>
          <cell r="D3641" t="str">
            <v>7001</v>
          </cell>
          <cell r="E3641" t="str">
            <v>0722</v>
          </cell>
          <cell r="F3641" t="str">
            <v>C1</v>
          </cell>
          <cell r="G3641" t="str">
            <v>SP</v>
          </cell>
          <cell r="H3641" t="str">
            <v>QSR</v>
          </cell>
          <cell r="I3641" t="str">
            <v>FOOD SERVICE</v>
          </cell>
          <cell r="J3641" t="str">
            <v>ANA MENIQUETE</v>
          </cell>
          <cell r="K3641" t="str">
            <v>LACTALIS</v>
          </cell>
          <cell r="L3641" t="str">
            <v>PEDRO</v>
          </cell>
          <cell r="M3641" t="str">
            <v>ANA MENIQUETE</v>
          </cell>
        </row>
        <row r="3642">
          <cell r="B3642">
            <v>5023870</v>
          </cell>
          <cell r="C3642" t="str">
            <v>GOLD INDUSTRIA E COMERCIO LTDA</v>
          </cell>
          <cell r="D3642" t="str">
            <v>7001</v>
          </cell>
          <cell r="E3642" t="str">
            <v>0752</v>
          </cell>
          <cell r="F3642" t="str">
            <v>C5</v>
          </cell>
          <cell r="G3642" t="str">
            <v>PR</v>
          </cell>
          <cell r="H3642" t="str">
            <v>DISTRIBUIÇÃO</v>
          </cell>
          <cell r="I3642" t="str">
            <v>FOOD SERVICE</v>
          </cell>
          <cell r="J3642" t="str">
            <v>ANGELICA BATISTELA</v>
          </cell>
          <cell r="K3642" t="str">
            <v>LACTALIS</v>
          </cell>
          <cell r="L3642" t="str">
            <v>RODRIGO</v>
          </cell>
          <cell r="M3642" t="str">
            <v>ANGELICA BATISTELA</v>
          </cell>
        </row>
        <row r="3643">
          <cell r="B3643">
            <v>5317668</v>
          </cell>
          <cell r="C3643" t="str">
            <v>JESSICA CRISTINA DO NASCIMENTO</v>
          </cell>
          <cell r="D3643" t="str">
            <v>6001</v>
          </cell>
          <cell r="E3643" t="str">
            <v>6028</v>
          </cell>
          <cell r="F3643" t="str">
            <v>C1</v>
          </cell>
          <cell r="G3643" t="str">
            <v>RJ</v>
          </cell>
          <cell r="H3643" t="str">
            <v>INGREDIENTS</v>
          </cell>
          <cell r="I3643" t="str">
            <v>INGREDIENTS</v>
          </cell>
          <cell r="J3643" t="str">
            <v>RJ ITB FS CDR REPRESENTAÇÕES</v>
          </cell>
          <cell r="K3643" t="str">
            <v>ITAMBÉ</v>
          </cell>
          <cell r="L3643" t="str">
            <v>MAURICIO</v>
          </cell>
          <cell r="M3643" t="str">
            <v>TATIANA NITTA</v>
          </cell>
        </row>
        <row r="3644">
          <cell r="B3644">
            <v>5320718</v>
          </cell>
          <cell r="C3644" t="str">
            <v>ALFA FERMENTACAO NATURAL LTDA</v>
          </cell>
          <cell r="D3644" t="str">
            <v>3001</v>
          </cell>
          <cell r="E3644" t="str">
            <v>0126</v>
          </cell>
          <cell r="F3644" t="str">
            <v>C1</v>
          </cell>
          <cell r="G3644" t="str">
            <v>SC</v>
          </cell>
          <cell r="H3644" t="str">
            <v>QSR</v>
          </cell>
          <cell r="I3644" t="str">
            <v>FOOD SERVICE</v>
          </cell>
          <cell r="J3644" t="str">
            <v>VAGO QSR</v>
          </cell>
          <cell r="K3644" t="str">
            <v>ITAMBÉ</v>
          </cell>
          <cell r="L3644" t="str">
            <v>PEDRO</v>
          </cell>
          <cell r="M3644" t="str">
            <v>VAGO QSR</v>
          </cell>
        </row>
        <row r="3645">
          <cell r="B3645">
            <v>5341225</v>
          </cell>
          <cell r="C3645" t="str">
            <v>CAPODIFOGLIO E CIA LTDA</v>
          </cell>
          <cell r="D3645" t="str">
            <v>4001</v>
          </cell>
          <cell r="E3645" t="str">
            <v>0437</v>
          </cell>
          <cell r="F3645" t="str">
            <v>C1</v>
          </cell>
          <cell r="G3645" t="str">
            <v>SP</v>
          </cell>
          <cell r="H3645" t="str">
            <v>INGREDIENTS</v>
          </cell>
          <cell r="I3645" t="str">
            <v>INGREDIENTS</v>
          </cell>
          <cell r="J3645" t="str">
            <v>TATIANA NITTA</v>
          </cell>
          <cell r="K3645" t="str">
            <v>LACTALIS</v>
          </cell>
          <cell r="L3645" t="str">
            <v>MAURICIO</v>
          </cell>
          <cell r="M3645" t="str">
            <v>TATIANA NITTA</v>
          </cell>
        </row>
        <row r="3646">
          <cell r="B3646">
            <v>5355844</v>
          </cell>
          <cell r="C3646" t="str">
            <v>RICARDO DE SOUSA DAS NEVES</v>
          </cell>
          <cell r="D3646" t="str">
            <v>6001</v>
          </cell>
          <cell r="E3646" t="str">
            <v>6127</v>
          </cell>
          <cell r="F3646" t="str">
            <v>C1</v>
          </cell>
          <cell r="G3646" t="str">
            <v>BA</v>
          </cell>
          <cell r="H3646" t="str">
            <v>DISTRIBUIÇÃO</v>
          </cell>
          <cell r="I3646" t="str">
            <v>FOOD SERVICE</v>
          </cell>
          <cell r="J3646" t="str">
            <v>CLAUDIO JORGE/LUIZ</v>
          </cell>
          <cell r="K3646" t="str">
            <v>ITAMBÉ</v>
          </cell>
          <cell r="L3646" t="str">
            <v>RODRIGO</v>
          </cell>
          <cell r="M3646" t="str">
            <v>MARIA LOURDES</v>
          </cell>
        </row>
        <row r="3647">
          <cell r="B3647">
            <v>5369595</v>
          </cell>
          <cell r="C3647" t="str">
            <v>KI SORVETAO LTDA</v>
          </cell>
          <cell r="D3647" t="str">
            <v>3001</v>
          </cell>
          <cell r="E3647" t="str">
            <v>0028</v>
          </cell>
          <cell r="F3647" t="str">
            <v>C1</v>
          </cell>
          <cell r="G3647" t="str">
            <v>SC</v>
          </cell>
          <cell r="H3647" t="str">
            <v>INGREDIENTS</v>
          </cell>
          <cell r="I3647" t="str">
            <v>INGREDIENTS</v>
          </cell>
          <cell r="J3647" t="str">
            <v>MARCELO RODRIGUES</v>
          </cell>
          <cell r="K3647" t="str">
            <v>ITAMBÉ</v>
          </cell>
          <cell r="L3647" t="str">
            <v>MAURICIO</v>
          </cell>
          <cell r="M3647" t="str">
            <v>MARCELO</v>
          </cell>
        </row>
        <row r="3648">
          <cell r="B3648">
            <v>5162285</v>
          </cell>
          <cell r="C3648" t="str">
            <v>KOB COMERCIAL LTDA</v>
          </cell>
          <cell r="D3648" t="str">
            <v>7001</v>
          </cell>
          <cell r="E3648" t="str">
            <v>0752</v>
          </cell>
          <cell r="F3648" t="str">
            <v>C5</v>
          </cell>
          <cell r="G3648" t="str">
            <v>PR</v>
          </cell>
          <cell r="H3648" t="str">
            <v>DISTRIBUIÇÃO</v>
          </cell>
          <cell r="I3648" t="str">
            <v>FOOD SERVICE</v>
          </cell>
          <cell r="J3648" t="str">
            <v>ANGELICA BATISTELA</v>
          </cell>
          <cell r="K3648" t="str">
            <v>LACTALIS</v>
          </cell>
          <cell r="L3648" t="str">
            <v>RODRIGO</v>
          </cell>
          <cell r="M3648" t="str">
            <v>ANGELICA BATISTELA</v>
          </cell>
        </row>
        <row r="3649">
          <cell r="B3649">
            <v>5178343</v>
          </cell>
          <cell r="C3649" t="str">
            <v>NT IND E COM DE PANIFICACAO LTD</v>
          </cell>
          <cell r="D3649" t="str">
            <v>7001</v>
          </cell>
          <cell r="E3649" t="str">
            <v>0580</v>
          </cell>
          <cell r="F3649" t="str">
            <v>C5</v>
          </cell>
          <cell r="G3649" t="str">
            <v>AM</v>
          </cell>
          <cell r="H3649" t="str">
            <v>DISTRIBUIÇÃO</v>
          </cell>
          <cell r="I3649" t="str">
            <v>FOOD SERVICE</v>
          </cell>
          <cell r="J3649" t="str">
            <v>CLAUDIO JORGE</v>
          </cell>
          <cell r="K3649" t="str">
            <v>LACTALIS</v>
          </cell>
          <cell r="L3649" t="str">
            <v>RODRIGO</v>
          </cell>
          <cell r="M3649" t="str">
            <v>MARCO AURELIO</v>
          </cell>
        </row>
        <row r="3650">
          <cell r="B3650">
            <v>5370031</v>
          </cell>
          <cell r="C3650" t="str">
            <v>D RIBEIRO LTDA</v>
          </cell>
          <cell r="D3650" t="str">
            <v>3001</v>
          </cell>
          <cell r="E3650" t="str">
            <v>0028</v>
          </cell>
          <cell r="F3650" t="str">
            <v>C1</v>
          </cell>
          <cell r="G3650" t="str">
            <v>MA</v>
          </cell>
          <cell r="H3650" t="str">
            <v>INGREDIENTS</v>
          </cell>
          <cell r="I3650" t="str">
            <v>INGREDIENTS</v>
          </cell>
          <cell r="J3650" t="str">
            <v>HENRIQUE FERREIRA</v>
          </cell>
          <cell r="K3650" t="str">
            <v>ITAMBÉ</v>
          </cell>
          <cell r="L3650" t="str">
            <v>MAURICIO</v>
          </cell>
          <cell r="M3650" t="str">
            <v>JOEL</v>
          </cell>
        </row>
        <row r="3651">
          <cell r="B3651">
            <v>5368992</v>
          </cell>
          <cell r="C3651" t="str">
            <v>NOTTE ALIMENTOS LTDA</v>
          </cell>
          <cell r="D3651" t="str">
            <v>7001</v>
          </cell>
          <cell r="E3651" t="str">
            <v>0749</v>
          </cell>
          <cell r="F3651" t="str">
            <v>C5</v>
          </cell>
          <cell r="G3651" t="str">
            <v>SP</v>
          </cell>
          <cell r="H3651" t="str">
            <v>DISTRIBUIÇÃO</v>
          </cell>
          <cell r="I3651" t="str">
            <v>FOOD SERVICE</v>
          </cell>
          <cell r="J3651" t="str">
            <v>FLAC 3</v>
          </cell>
          <cell r="K3651" t="str">
            <v>LACTALIS</v>
          </cell>
          <cell r="L3651" t="str">
            <v>RODRIGO</v>
          </cell>
          <cell r="M3651" t="str">
            <v>RAQUEL BARBOSA</v>
          </cell>
        </row>
        <row r="3652">
          <cell r="B3652">
            <v>5369486</v>
          </cell>
          <cell r="C3652" t="str">
            <v>PICOLE E SORVETE CAICOR LTDA</v>
          </cell>
          <cell r="D3652" t="str">
            <v>3001</v>
          </cell>
          <cell r="E3652" t="str">
            <v>0028</v>
          </cell>
          <cell r="F3652" t="str">
            <v>C1</v>
          </cell>
          <cell r="G3652" t="str">
            <v>AL</v>
          </cell>
          <cell r="H3652" t="str">
            <v>INGREDIENTS</v>
          </cell>
          <cell r="I3652" t="str">
            <v>INGREDIENTS</v>
          </cell>
          <cell r="J3652" t="str">
            <v>PE ITB FS L B REP</v>
          </cell>
          <cell r="K3652" t="str">
            <v>ITAMBÉ</v>
          </cell>
          <cell r="L3652" t="str">
            <v>MAURICIO</v>
          </cell>
          <cell r="M3652" t="str">
            <v>JOEL</v>
          </cell>
        </row>
        <row r="3653">
          <cell r="B3653">
            <v>5135352</v>
          </cell>
          <cell r="C3653" t="str">
            <v>M C R COML DE BEBIDAS E CONSERVAS L</v>
          </cell>
          <cell r="D3653" t="str">
            <v>6001</v>
          </cell>
          <cell r="E3653" t="str">
            <v>6127</v>
          </cell>
          <cell r="F3653" t="str">
            <v>C1</v>
          </cell>
          <cell r="G3653" t="str">
            <v>BA</v>
          </cell>
          <cell r="H3653" t="str">
            <v>DISTRIBUIÇÃO</v>
          </cell>
          <cell r="I3653" t="str">
            <v>FOOD SERVICE</v>
          </cell>
          <cell r="J3653" t="str">
            <v>CLAUDIO JORGE/LUIZ</v>
          </cell>
          <cell r="K3653" t="str">
            <v>ITAMBÉ</v>
          </cell>
          <cell r="L3653" t="str">
            <v>RODRIGO</v>
          </cell>
          <cell r="M3653" t="str">
            <v>MARIA LOURDES</v>
          </cell>
        </row>
        <row r="3654">
          <cell r="B3654">
            <v>5166804</v>
          </cell>
          <cell r="C3654" t="str">
            <v>SKINABON ALIMENTOS LTDA</v>
          </cell>
          <cell r="D3654" t="str">
            <v>3001</v>
          </cell>
          <cell r="E3654" t="str">
            <v>0028</v>
          </cell>
          <cell r="F3654" t="str">
            <v>C1</v>
          </cell>
          <cell r="G3654" t="str">
            <v>RS</v>
          </cell>
          <cell r="H3654" t="str">
            <v>INGREDIENTS</v>
          </cell>
          <cell r="I3654" t="str">
            <v>INGREDIENTS</v>
          </cell>
          <cell r="J3654" t="str">
            <v>MARCELO RODRIGUES</v>
          </cell>
          <cell r="K3654" t="str">
            <v>ITAMBÉ</v>
          </cell>
          <cell r="L3654" t="str">
            <v>MAURICIO</v>
          </cell>
          <cell r="M3654" t="str">
            <v>MARCELO</v>
          </cell>
        </row>
        <row r="3655">
          <cell r="B3655">
            <v>5173617</v>
          </cell>
          <cell r="C3655" t="str">
            <v>SORV ITALIA GELATO IND E COM LTDA</v>
          </cell>
          <cell r="D3655" t="str">
            <v>3001</v>
          </cell>
          <cell r="E3655" t="str">
            <v>0028</v>
          </cell>
          <cell r="F3655" t="str">
            <v>C1</v>
          </cell>
          <cell r="G3655" t="str">
            <v>PR</v>
          </cell>
          <cell r="H3655" t="str">
            <v>INGREDIENTS</v>
          </cell>
          <cell r="I3655" t="str">
            <v>INGREDIENTS</v>
          </cell>
          <cell r="J3655" t="str">
            <v>PR ITB FS DONIZETH REPRES</v>
          </cell>
          <cell r="K3655" t="str">
            <v>ITAMBÉ</v>
          </cell>
          <cell r="L3655" t="str">
            <v>MAURICIO</v>
          </cell>
          <cell r="M3655" t="str">
            <v>MARCELO</v>
          </cell>
        </row>
        <row r="3656">
          <cell r="B3656">
            <v>5183645</v>
          </cell>
          <cell r="C3656" t="str">
            <v>LIGA COM DE PRODUTOS PARA SORV</v>
          </cell>
          <cell r="D3656" t="str">
            <v>6001</v>
          </cell>
          <cell r="E3656" t="str">
            <v>6125</v>
          </cell>
          <cell r="F3656" t="str">
            <v>C1</v>
          </cell>
          <cell r="G3656" t="str">
            <v>SP</v>
          </cell>
          <cell r="H3656" t="str">
            <v>DISTRIBUIÇÃO</v>
          </cell>
          <cell r="I3656" t="str">
            <v>FOOD SERVICE</v>
          </cell>
          <cell r="J3656" t="str">
            <v>GUILHERME NASCIMENTO</v>
          </cell>
          <cell r="K3656" t="str">
            <v>ITAMBÉ</v>
          </cell>
          <cell r="L3656" t="str">
            <v>RODRIGO</v>
          </cell>
          <cell r="M3656" t="str">
            <v>ALEXANDRO</v>
          </cell>
        </row>
        <row r="3657">
          <cell r="B3657">
            <v>5211582</v>
          </cell>
          <cell r="C3657" t="str">
            <v>DAN VIGOR IND E COM LATICINIOS</v>
          </cell>
          <cell r="D3657" t="str">
            <v>4001</v>
          </cell>
          <cell r="E3657" t="str">
            <v>0437</v>
          </cell>
          <cell r="F3657" t="str">
            <v>C1</v>
          </cell>
          <cell r="G3657" t="str">
            <v>SP</v>
          </cell>
          <cell r="H3657" t="str">
            <v>INGREDIENTS</v>
          </cell>
          <cell r="I3657" t="str">
            <v>INGREDIENTS</v>
          </cell>
          <cell r="J3657" t="str">
            <v>JOEL ELEOTÉRIO</v>
          </cell>
          <cell r="K3657" t="str">
            <v>LACTALIS</v>
          </cell>
          <cell r="L3657" t="str">
            <v>MAURICIO</v>
          </cell>
          <cell r="M3657" t="str">
            <v>JOEL</v>
          </cell>
        </row>
        <row r="3658">
          <cell r="B3658">
            <v>5254009</v>
          </cell>
          <cell r="C3658" t="str">
            <v>DAOCA IND E COM DE ALIM LTDA</v>
          </cell>
          <cell r="D3658" t="str">
            <v>6001</v>
          </cell>
          <cell r="E3658" t="str">
            <v>6125</v>
          </cell>
          <cell r="F3658" t="str">
            <v>C1</v>
          </cell>
          <cell r="G3658" t="str">
            <v>SP</v>
          </cell>
          <cell r="H3658" t="str">
            <v>DISTRIBUIÇÃO</v>
          </cell>
          <cell r="I3658" t="str">
            <v>FOOD SERVICE</v>
          </cell>
          <cell r="J3658" t="str">
            <v>SP ITB FS FLAC REP.E COMERCIO</v>
          </cell>
          <cell r="K3658" t="str">
            <v>ITAMBÉ</v>
          </cell>
          <cell r="L3658" t="str">
            <v>RODRIGO</v>
          </cell>
          <cell r="M3658" t="str">
            <v>RAQUEL BARBOSA</v>
          </cell>
        </row>
        <row r="3659">
          <cell r="B3659">
            <v>5366370</v>
          </cell>
          <cell r="C3659" t="str">
            <v>COMERCIO AT E VAR DE AL NORMA L</v>
          </cell>
          <cell r="D3659" t="str">
            <v>7001</v>
          </cell>
          <cell r="E3659" t="str">
            <v>0580</v>
          </cell>
          <cell r="F3659" t="str">
            <v>C5</v>
          </cell>
          <cell r="G3659" t="str">
            <v>AM</v>
          </cell>
          <cell r="H3659" t="str">
            <v>DISTRIBUIÇÃO</v>
          </cell>
          <cell r="I3659" t="str">
            <v>FOOD SERVICE</v>
          </cell>
          <cell r="J3659" t="str">
            <v>CLAUDIO JORGE</v>
          </cell>
          <cell r="K3659" t="str">
            <v>LACTALIS</v>
          </cell>
          <cell r="L3659" t="str">
            <v>RODRIGO</v>
          </cell>
          <cell r="M3659" t="str">
            <v>MARCO AURELIO</v>
          </cell>
        </row>
        <row r="3660">
          <cell r="B3660">
            <v>5281650</v>
          </cell>
          <cell r="C3660" t="str">
            <v>T R KLEINCIA LTDA</v>
          </cell>
          <cell r="D3660" t="str">
            <v>7001</v>
          </cell>
          <cell r="E3660" t="str">
            <v>0576</v>
          </cell>
          <cell r="F3660" t="str">
            <v>C1</v>
          </cell>
          <cell r="G3660" t="str">
            <v>RS</v>
          </cell>
          <cell r="H3660" t="str">
            <v>INGREDIENTS</v>
          </cell>
          <cell r="I3660" t="str">
            <v>INGREDIENTS</v>
          </cell>
          <cell r="J3660" t="str">
            <v>JOEL ELEOTÉRIO</v>
          </cell>
          <cell r="K3660" t="str">
            <v>LACTALIS</v>
          </cell>
          <cell r="L3660" t="str">
            <v>MAURICIO</v>
          </cell>
          <cell r="M3660" t="str">
            <v>JOEL</v>
          </cell>
        </row>
        <row r="3661">
          <cell r="B3661">
            <v>5366655</v>
          </cell>
          <cell r="C3661" t="str">
            <v>FECCHIO CAMA PANIFIC ARTES LTDA</v>
          </cell>
          <cell r="D3661" t="str">
            <v>7001</v>
          </cell>
          <cell r="E3661" t="str">
            <v>0749</v>
          </cell>
          <cell r="F3661" t="str">
            <v>C5</v>
          </cell>
          <cell r="G3661" t="str">
            <v>SP</v>
          </cell>
          <cell r="H3661" t="str">
            <v>DISTRIBUIÇÃO</v>
          </cell>
          <cell r="I3661" t="str">
            <v>FOOD SERVICE</v>
          </cell>
          <cell r="J3661" t="str">
            <v>FLAC 2</v>
          </cell>
          <cell r="K3661" t="str">
            <v>LACTALIS</v>
          </cell>
          <cell r="L3661" t="str">
            <v>RODRIGO</v>
          </cell>
          <cell r="M3661" t="str">
            <v>RAQUEL BARBOSA</v>
          </cell>
        </row>
        <row r="3662">
          <cell r="B3662">
            <v>5368174</v>
          </cell>
          <cell r="C3662" t="str">
            <v>TONINHA MASSAS CASEIRAS LTDA</v>
          </cell>
          <cell r="D3662" t="str">
            <v>7001</v>
          </cell>
          <cell r="E3662" t="str">
            <v>0749</v>
          </cell>
          <cell r="F3662" t="str">
            <v>C5</v>
          </cell>
          <cell r="G3662" t="str">
            <v>SP</v>
          </cell>
          <cell r="H3662" t="str">
            <v>DISTRIBUIÇÃO</v>
          </cell>
          <cell r="I3662" t="str">
            <v>FOOD SERVICE</v>
          </cell>
          <cell r="J3662" t="str">
            <v>FLAC 10</v>
          </cell>
          <cell r="K3662" t="str">
            <v>LACTALIS</v>
          </cell>
          <cell r="L3662" t="str">
            <v>RODRIGO</v>
          </cell>
          <cell r="M3662" t="str">
            <v>RAQUEL BARBOSA</v>
          </cell>
        </row>
        <row r="3663">
          <cell r="B3663">
            <v>5370073</v>
          </cell>
          <cell r="C3663" t="str">
            <v>FARINHA E AGUA LTDA</v>
          </cell>
          <cell r="D3663" t="str">
            <v>6001</v>
          </cell>
          <cell r="E3663" t="str">
            <v>6169</v>
          </cell>
          <cell r="F3663" t="str">
            <v>C1</v>
          </cell>
          <cell r="G3663" t="str">
            <v>ES</v>
          </cell>
          <cell r="H3663" t="str">
            <v>DISTRIBUIÇÃO</v>
          </cell>
          <cell r="I3663" t="str">
            <v>FOOD SERVICE</v>
          </cell>
          <cell r="J3663" t="str">
            <v>MARCELO DUARTE</v>
          </cell>
          <cell r="K3663" t="str">
            <v>ITAMBÉ</v>
          </cell>
          <cell r="L3663" t="str">
            <v>RODRIGO</v>
          </cell>
          <cell r="M3663" t="str">
            <v>JESSICA</v>
          </cell>
        </row>
        <row r="3664">
          <cell r="B3664">
            <v>5336832</v>
          </cell>
          <cell r="C3664" t="str">
            <v>COLORADO COMERCIO DE SORVETES L</v>
          </cell>
          <cell r="D3664" t="str">
            <v>7001</v>
          </cell>
          <cell r="E3664" t="str">
            <v>0722</v>
          </cell>
          <cell r="F3664" t="str">
            <v>C1</v>
          </cell>
          <cell r="G3664" t="str">
            <v>SP</v>
          </cell>
          <cell r="H3664" t="str">
            <v>QSR</v>
          </cell>
          <cell r="I3664" t="str">
            <v>FOOD SERVICE</v>
          </cell>
          <cell r="J3664" t="str">
            <v>ANA MENIQUETE</v>
          </cell>
          <cell r="K3664" t="str">
            <v>LACTALIS</v>
          </cell>
          <cell r="L3664" t="str">
            <v>PEDRO</v>
          </cell>
          <cell r="M3664" t="str">
            <v>ANA MENIQUETE</v>
          </cell>
        </row>
        <row r="3665">
          <cell r="B3665">
            <v>5009122</v>
          </cell>
          <cell r="C3665" t="str">
            <v>ROTTA DISTRI DE ALIMENTOS LTDA</v>
          </cell>
          <cell r="D3665" t="str">
            <v>7001</v>
          </cell>
          <cell r="E3665" t="str">
            <v>0752</v>
          </cell>
          <cell r="F3665" t="str">
            <v>C5</v>
          </cell>
          <cell r="G3665" t="str">
            <v>PR</v>
          </cell>
          <cell r="H3665" t="str">
            <v>DISTRIBUIÇÃO</v>
          </cell>
          <cell r="I3665" t="str">
            <v>FOOD SERVICE</v>
          </cell>
          <cell r="J3665" t="str">
            <v>ANGELICA BATISTELA</v>
          </cell>
          <cell r="K3665" t="str">
            <v>LACTALIS</v>
          </cell>
          <cell r="L3665" t="str">
            <v>RODRIGO</v>
          </cell>
          <cell r="M3665" t="str">
            <v>ANGELICA BATISTELA</v>
          </cell>
        </row>
        <row r="3666">
          <cell r="B3666">
            <v>5228956</v>
          </cell>
          <cell r="C3666" t="str">
            <v>MARTINS E SILVA COMERCIO LTDA</v>
          </cell>
          <cell r="D3666" t="str">
            <v>7001</v>
          </cell>
          <cell r="E3666" t="str">
            <v>0580</v>
          </cell>
          <cell r="F3666" t="str">
            <v>C5</v>
          </cell>
          <cell r="G3666" t="str">
            <v>RR</v>
          </cell>
          <cell r="H3666" t="str">
            <v>DISTRIBUIÇÃO</v>
          </cell>
          <cell r="I3666" t="str">
            <v>FOOD SERVICE</v>
          </cell>
          <cell r="J3666" t="str">
            <v>CLAUDIO JORGE</v>
          </cell>
          <cell r="K3666" t="str">
            <v>LACTALIS</v>
          </cell>
          <cell r="L3666" t="str">
            <v>RODRIGO</v>
          </cell>
          <cell r="M3666" t="str">
            <v>MARCO AURELIO</v>
          </cell>
        </row>
        <row r="3667">
          <cell r="B3667">
            <v>5370388</v>
          </cell>
          <cell r="C3667" t="str">
            <v>MIRI COMERCIO ATAC DE ALIM LTDA</v>
          </cell>
          <cell r="D3667" t="str">
            <v>4001</v>
          </cell>
          <cell r="E3667" t="str">
            <v>0437</v>
          </cell>
          <cell r="F3667" t="str">
            <v>C1</v>
          </cell>
          <cell r="G3667" t="str">
            <v>DF</v>
          </cell>
          <cell r="H3667" t="str">
            <v>INGREDIENTS</v>
          </cell>
          <cell r="I3667" t="str">
            <v>INGREDIENTS</v>
          </cell>
          <cell r="J3667" t="str">
            <v>MARCELO RODRIGUES</v>
          </cell>
          <cell r="K3667" t="str">
            <v>LACTALIS</v>
          </cell>
          <cell r="L3667" t="str">
            <v>MAURICIO</v>
          </cell>
          <cell r="M3667" t="str">
            <v>MARCELO</v>
          </cell>
        </row>
        <row r="3668">
          <cell r="B3668">
            <v>5029624</v>
          </cell>
          <cell r="C3668" t="str">
            <v>LANCHONETE MELLO E FILHOS LTDA</v>
          </cell>
          <cell r="D3668" t="str">
            <v>7001</v>
          </cell>
          <cell r="E3668" t="str">
            <v>0749</v>
          </cell>
          <cell r="F3668" t="str">
            <v>C5</v>
          </cell>
          <cell r="G3668" t="str">
            <v>SP</v>
          </cell>
          <cell r="H3668" t="str">
            <v>DISTRIBUIÇÃO</v>
          </cell>
          <cell r="I3668" t="str">
            <v>FOOD SERVICE</v>
          </cell>
          <cell r="J3668" t="str">
            <v xml:space="preserve">FLAC 10 </v>
          </cell>
          <cell r="K3668" t="str">
            <v>LACTALIS</v>
          </cell>
          <cell r="L3668" t="str">
            <v>RODRIGO</v>
          </cell>
          <cell r="M3668" t="str">
            <v>RAQUEL BARBOSA</v>
          </cell>
        </row>
        <row r="3669">
          <cell r="B3669">
            <v>5302221</v>
          </cell>
          <cell r="C3669" t="str">
            <v>DEVERDADE PANIFICADORA LTDA</v>
          </cell>
          <cell r="D3669" t="str">
            <v>7001</v>
          </cell>
          <cell r="E3669" t="str">
            <v>0749</v>
          </cell>
          <cell r="F3669" t="str">
            <v>C5</v>
          </cell>
          <cell r="G3669" t="str">
            <v>SP</v>
          </cell>
          <cell r="H3669" t="str">
            <v>DISTRIBUIÇÃO</v>
          </cell>
          <cell r="I3669" t="str">
            <v>FOOD SERVICE</v>
          </cell>
          <cell r="J3669" t="str">
            <v>FLAC 2</v>
          </cell>
          <cell r="K3669" t="str">
            <v>LACTALIS</v>
          </cell>
          <cell r="L3669" t="str">
            <v>RODRIGO</v>
          </cell>
          <cell r="M3669" t="str">
            <v>RAQUEL BARBOSA</v>
          </cell>
        </row>
        <row r="3670">
          <cell r="B3670">
            <v>5370339</v>
          </cell>
          <cell r="C3670" t="str">
            <v>ICEFRUTA SORVETES E GELADOS LTD</v>
          </cell>
          <cell r="D3670" t="str">
            <v>3001</v>
          </cell>
          <cell r="E3670" t="str">
            <v>0028</v>
          </cell>
          <cell r="F3670" t="str">
            <v>C1</v>
          </cell>
          <cell r="G3670" t="str">
            <v>MG</v>
          </cell>
          <cell r="H3670" t="str">
            <v>INGREDIENTS</v>
          </cell>
          <cell r="I3670" t="str">
            <v>INGREDIENTS</v>
          </cell>
          <cell r="J3670" t="str">
            <v>HENRIQUE FERREIRA</v>
          </cell>
          <cell r="K3670" t="str">
            <v>ITAMBÉ</v>
          </cell>
          <cell r="L3670" t="str">
            <v>MAURICIO</v>
          </cell>
          <cell r="M3670" t="str">
            <v>JOEL</v>
          </cell>
        </row>
        <row r="3671">
          <cell r="B3671">
            <v>5370388</v>
          </cell>
          <cell r="C3671" t="str">
            <v>MIRI COMERCIO ATAC DE ALIM LTDA</v>
          </cell>
          <cell r="D3671" t="str">
            <v>6001</v>
          </cell>
          <cell r="E3671" t="str">
            <v>6125</v>
          </cell>
          <cell r="F3671" t="str">
            <v>C1</v>
          </cell>
          <cell r="G3671" t="str">
            <v>DF</v>
          </cell>
          <cell r="H3671" t="str">
            <v>INGREDIENTS</v>
          </cell>
          <cell r="I3671" t="str">
            <v>INGREDIENTS</v>
          </cell>
          <cell r="J3671" t="str">
            <v>MARCELO RODRIGUES</v>
          </cell>
          <cell r="K3671" t="str">
            <v>ITAMBÉ</v>
          </cell>
          <cell r="L3671" t="str">
            <v>MAURICIO</v>
          </cell>
          <cell r="M3671" t="str">
            <v>MARCELO</v>
          </cell>
        </row>
        <row r="3672">
          <cell r="B3672">
            <v>5166804</v>
          </cell>
          <cell r="C3672" t="str">
            <v>SKINABON ALIMENTOS LTDA</v>
          </cell>
          <cell r="D3672" t="str">
            <v>4001</v>
          </cell>
          <cell r="E3672" t="str">
            <v>0455</v>
          </cell>
          <cell r="F3672" t="str">
            <v>C1</v>
          </cell>
          <cell r="G3672" t="str">
            <v>RS</v>
          </cell>
          <cell r="H3672" t="str">
            <v>INGREDIENTS</v>
          </cell>
          <cell r="I3672" t="str">
            <v>INGREDIENTS</v>
          </cell>
          <cell r="J3672" t="str">
            <v>MARCELO RODRIGUES</v>
          </cell>
          <cell r="K3672" t="str">
            <v>LACTALIS</v>
          </cell>
          <cell r="L3672" t="str">
            <v>MAURICIO</v>
          </cell>
          <cell r="M3672" t="str">
            <v>MARCELO</v>
          </cell>
        </row>
        <row r="3673">
          <cell r="B3673">
            <v>5173494</v>
          </cell>
          <cell r="C3673" t="str">
            <v>STAMPA PET E FOOD LTDA</v>
          </cell>
          <cell r="D3673" t="str">
            <v>7001</v>
          </cell>
          <cell r="E3673" t="str">
            <v>0752</v>
          </cell>
          <cell r="F3673" t="str">
            <v>C5</v>
          </cell>
          <cell r="G3673" t="str">
            <v>PR</v>
          </cell>
          <cell r="H3673" t="str">
            <v>DISTRIBUIÇÃO</v>
          </cell>
          <cell r="I3673" t="str">
            <v>FOOD SERVICE</v>
          </cell>
          <cell r="J3673" t="str">
            <v>ANGELICA BATISTELA</v>
          </cell>
          <cell r="K3673" t="str">
            <v>LACTALIS</v>
          </cell>
          <cell r="L3673" t="str">
            <v>RODRIGO</v>
          </cell>
          <cell r="M3673" t="str">
            <v>ANGELICA BATISTELA</v>
          </cell>
        </row>
        <row r="3674">
          <cell r="B3674">
            <v>5192471</v>
          </cell>
          <cell r="C3674" t="str">
            <v>RAJK RESTAURANTES LTDA</v>
          </cell>
          <cell r="D3674" t="str">
            <v>7001</v>
          </cell>
          <cell r="E3674" t="str">
            <v>0722</v>
          </cell>
          <cell r="F3674" t="str">
            <v>C1</v>
          </cell>
          <cell r="G3674" t="str">
            <v>SP</v>
          </cell>
          <cell r="H3674" t="str">
            <v>QSR</v>
          </cell>
          <cell r="I3674" t="str">
            <v>FOOD SERVICE</v>
          </cell>
          <cell r="J3674" t="str">
            <v>ANA MENIQUETE</v>
          </cell>
          <cell r="K3674" t="str">
            <v>LACTALIS</v>
          </cell>
          <cell r="L3674" t="str">
            <v>PEDRO</v>
          </cell>
          <cell r="M3674" t="str">
            <v>ANA MENIQUETE</v>
          </cell>
        </row>
        <row r="3675">
          <cell r="B3675">
            <v>5192473</v>
          </cell>
          <cell r="C3675" t="str">
            <v>LIRAL RESTAURANTES LTDA</v>
          </cell>
          <cell r="D3675" t="str">
            <v>7001</v>
          </cell>
          <cell r="E3675" t="str">
            <v>0722</v>
          </cell>
          <cell r="F3675" t="str">
            <v>C1</v>
          </cell>
          <cell r="G3675" t="str">
            <v>SP</v>
          </cell>
          <cell r="H3675" t="str">
            <v>QSR</v>
          </cell>
          <cell r="I3675" t="str">
            <v>FOOD SERVICE</v>
          </cell>
          <cell r="J3675" t="str">
            <v>ANA MENIQUETE</v>
          </cell>
          <cell r="K3675" t="str">
            <v>LACTALIS</v>
          </cell>
          <cell r="L3675" t="str">
            <v>PEDRO</v>
          </cell>
          <cell r="M3675" t="str">
            <v>ANA MENIQUETE</v>
          </cell>
        </row>
        <row r="3676">
          <cell r="B3676">
            <v>5263977</v>
          </cell>
          <cell r="C3676" t="str">
            <v>SIGTELY RESTAURANTE E FORNECIME</v>
          </cell>
          <cell r="D3676" t="str">
            <v>7001</v>
          </cell>
          <cell r="E3676" t="str">
            <v>0749</v>
          </cell>
          <cell r="F3676" t="str">
            <v>C5</v>
          </cell>
          <cell r="G3676" t="str">
            <v>SP</v>
          </cell>
          <cell r="H3676" t="str">
            <v>DISTRIBUIÇÃO</v>
          </cell>
          <cell r="I3676" t="str">
            <v>FOOD SERVICE</v>
          </cell>
          <cell r="J3676" t="str">
            <v>FLAC 6</v>
          </cell>
          <cell r="K3676" t="str">
            <v>LACTALIS</v>
          </cell>
          <cell r="L3676" t="str">
            <v>RODRIGO</v>
          </cell>
          <cell r="M3676" t="str">
            <v>RAQUEL BARBOSA</v>
          </cell>
        </row>
        <row r="3677">
          <cell r="B3677">
            <v>5366377</v>
          </cell>
          <cell r="C3677" t="str">
            <v>SAO BENTO PADARIA LTDA</v>
          </cell>
          <cell r="D3677" t="str">
            <v>6001</v>
          </cell>
          <cell r="E3677" t="str">
            <v>6125</v>
          </cell>
          <cell r="F3677" t="str">
            <v>C1</v>
          </cell>
          <cell r="G3677" t="str">
            <v>SP</v>
          </cell>
          <cell r="H3677" t="str">
            <v>DISTRIBUIÇÃO</v>
          </cell>
          <cell r="I3677" t="str">
            <v>FOOD SERVICE</v>
          </cell>
          <cell r="J3677" t="str">
            <v>SP ITB FS FLAC REP.E COMERCIO</v>
          </cell>
          <cell r="K3677" t="str">
            <v>ITAMBÉ</v>
          </cell>
          <cell r="L3677" t="str">
            <v>RODRIGO</v>
          </cell>
          <cell r="M3677" t="str">
            <v>RAQUEL BARBOSA</v>
          </cell>
        </row>
        <row r="3678">
          <cell r="B3678">
            <v>5185627</v>
          </cell>
          <cell r="C3678" t="str">
            <v>BOLOS DA DINDA EIRELI</v>
          </cell>
          <cell r="D3678" t="str">
            <v>6001</v>
          </cell>
          <cell r="E3678" t="str">
            <v>6028</v>
          </cell>
          <cell r="F3678" t="str">
            <v>C1</v>
          </cell>
          <cell r="G3678" t="str">
            <v>SP</v>
          </cell>
          <cell r="H3678" t="str">
            <v>INGREDIENTS</v>
          </cell>
          <cell r="I3678" t="str">
            <v>INGREDIENTS</v>
          </cell>
          <cell r="J3678" t="str">
            <v>HENRIQUE FERREIRA</v>
          </cell>
          <cell r="K3678" t="str">
            <v>ITAMBÉ</v>
          </cell>
          <cell r="L3678" t="str">
            <v>MAURICIO</v>
          </cell>
          <cell r="M3678" t="str">
            <v>JOEL</v>
          </cell>
        </row>
        <row r="3679">
          <cell r="B3679">
            <v>5361414</v>
          </cell>
          <cell r="C3679" t="str">
            <v>BONADIO FOODS LTDA</v>
          </cell>
          <cell r="D3679" t="str">
            <v>7001</v>
          </cell>
          <cell r="E3679" t="str">
            <v>0749</v>
          </cell>
          <cell r="F3679" t="str">
            <v>C5</v>
          </cell>
          <cell r="G3679" t="str">
            <v>SP</v>
          </cell>
          <cell r="H3679" t="str">
            <v>DISTRIBUIÇÃO</v>
          </cell>
          <cell r="I3679" t="str">
            <v>FOOD SERVICE</v>
          </cell>
          <cell r="J3679" t="str">
            <v>FLAC 3</v>
          </cell>
          <cell r="K3679" t="str">
            <v>LACTALIS</v>
          </cell>
          <cell r="L3679" t="str">
            <v>RODRIGO</v>
          </cell>
          <cell r="M3679" t="str">
            <v>RAQUEL BARBOSA</v>
          </cell>
        </row>
        <row r="3680">
          <cell r="B3680">
            <v>5235841</v>
          </cell>
          <cell r="C3680" t="str">
            <v>EMEC EMPREENDIMENTOS MEDICO CIRURGI</v>
          </cell>
          <cell r="D3680" t="str">
            <v>6001</v>
          </cell>
          <cell r="E3680" t="str">
            <v>6127</v>
          </cell>
          <cell r="F3680" t="str">
            <v>C1</v>
          </cell>
          <cell r="G3680" t="str">
            <v>BA</v>
          </cell>
          <cell r="H3680" t="str">
            <v>DISTRIBUIÇÃO</v>
          </cell>
          <cell r="I3680" t="str">
            <v>FOOD SERVICE</v>
          </cell>
          <cell r="J3680" t="str">
            <v>CLAUDIO JORGE/LUIZ</v>
          </cell>
          <cell r="K3680" t="str">
            <v>ITAMBÉ</v>
          </cell>
          <cell r="L3680" t="str">
            <v>RODRIGO</v>
          </cell>
          <cell r="M3680" t="str">
            <v>MARIA LOURDES</v>
          </cell>
        </row>
        <row r="3681">
          <cell r="B3681">
            <v>5278512</v>
          </cell>
          <cell r="C3681" t="str">
            <v>MARCIA S CATERING LTDA</v>
          </cell>
          <cell r="D3681" t="str">
            <v>7001</v>
          </cell>
          <cell r="E3681" t="str">
            <v>0749</v>
          </cell>
          <cell r="F3681" t="str">
            <v>C5</v>
          </cell>
          <cell r="G3681" t="str">
            <v>SP</v>
          </cell>
          <cell r="H3681" t="str">
            <v>DISTRIBUIÇÃO</v>
          </cell>
          <cell r="I3681" t="str">
            <v>FOOD SERVICE</v>
          </cell>
          <cell r="J3681" t="str">
            <v>FLAC 10</v>
          </cell>
          <cell r="K3681" t="str">
            <v>LACTALIS</v>
          </cell>
          <cell r="L3681" t="str">
            <v>RODRIGO</v>
          </cell>
          <cell r="M3681" t="str">
            <v>RAQUEL BARBOSA</v>
          </cell>
        </row>
        <row r="3682">
          <cell r="B3682">
            <v>5313121</v>
          </cell>
          <cell r="C3682" t="str">
            <v>RAVELY SERVICOS ADMINISTRATIVOS</v>
          </cell>
          <cell r="D3682" t="str">
            <v>7001</v>
          </cell>
          <cell r="E3682" t="str">
            <v>0749</v>
          </cell>
          <cell r="F3682" t="str">
            <v>C5</v>
          </cell>
          <cell r="G3682" t="str">
            <v>SP</v>
          </cell>
          <cell r="H3682" t="str">
            <v>DISTRIBUIÇÃO</v>
          </cell>
          <cell r="I3682" t="str">
            <v>FOOD SERVICE</v>
          </cell>
          <cell r="J3682" t="str">
            <v>FLAC 4</v>
          </cell>
          <cell r="K3682" t="str">
            <v>LACTALIS</v>
          </cell>
          <cell r="L3682" t="str">
            <v>RODRIGO</v>
          </cell>
          <cell r="M3682" t="str">
            <v>RAQUEL BARBOSA</v>
          </cell>
        </row>
        <row r="3683">
          <cell r="B3683">
            <v>5263268</v>
          </cell>
          <cell r="C3683" t="str">
            <v>GELATO D AMORE VAR E DEL LTDA</v>
          </cell>
          <cell r="D3683" t="str">
            <v>7001</v>
          </cell>
          <cell r="E3683" t="str">
            <v>0749</v>
          </cell>
          <cell r="F3683" t="str">
            <v>C5</v>
          </cell>
          <cell r="G3683" t="str">
            <v>SP</v>
          </cell>
          <cell r="H3683" t="str">
            <v>DISTRIBUIÇÃO</v>
          </cell>
          <cell r="I3683" t="str">
            <v>FOOD SERVICE</v>
          </cell>
          <cell r="J3683" t="str">
            <v>FLAC 6</v>
          </cell>
          <cell r="K3683" t="str">
            <v>LACTALIS</v>
          </cell>
          <cell r="L3683" t="str">
            <v>RODRIGO</v>
          </cell>
          <cell r="M3683" t="str">
            <v>RAQUEL BARBOSA</v>
          </cell>
        </row>
        <row r="3684">
          <cell r="B3684">
            <v>5314057</v>
          </cell>
          <cell r="C3684" t="str">
            <v>VILAC BRAZIL LTDA</v>
          </cell>
          <cell r="D3684" t="str">
            <v>4001</v>
          </cell>
          <cell r="E3684" t="str">
            <v>0423</v>
          </cell>
          <cell r="F3684" t="str">
            <v>C5</v>
          </cell>
          <cell r="G3684" t="str">
            <v>ES</v>
          </cell>
          <cell r="H3684" t="str">
            <v>INGREDIENTS</v>
          </cell>
          <cell r="I3684" t="str">
            <v>INGREDIENTS</v>
          </cell>
          <cell r="J3684" t="str">
            <v>DLUM</v>
          </cell>
          <cell r="K3684" t="str">
            <v>LACTALIS</v>
          </cell>
          <cell r="L3684" t="str">
            <v>MAURICIO</v>
          </cell>
          <cell r="M3684" t="str">
            <v>JOEL</v>
          </cell>
        </row>
        <row r="3685">
          <cell r="B3685">
            <v>5173494</v>
          </cell>
          <cell r="C3685" t="str">
            <v>STAMPA PET E FOOD LTDA</v>
          </cell>
          <cell r="D3685" t="str">
            <v>7001</v>
          </cell>
          <cell r="E3685" t="str">
            <v>0755</v>
          </cell>
          <cell r="F3685" t="str">
            <v>C1</v>
          </cell>
          <cell r="G3685" t="str">
            <v>PR</v>
          </cell>
          <cell r="H3685" t="str">
            <v>DISTRIBUIÇÃO</v>
          </cell>
          <cell r="I3685" t="str">
            <v>FOOD SERVICE</v>
          </cell>
          <cell r="J3685" t="str">
            <v>ANGELICA BATISTELA</v>
          </cell>
          <cell r="K3685" t="str">
            <v>LACTALIS</v>
          </cell>
          <cell r="L3685" t="str">
            <v>RODRIGO</v>
          </cell>
          <cell r="M3685" t="str">
            <v>ANGELICA BATISTELA</v>
          </cell>
        </row>
        <row r="3686">
          <cell r="B3686">
            <v>5336487</v>
          </cell>
          <cell r="C3686" t="str">
            <v>EMPORIO SAO JOSE INDAIATUBA LTD</v>
          </cell>
          <cell r="D3686" t="str">
            <v>7001</v>
          </cell>
          <cell r="E3686" t="str">
            <v>0749</v>
          </cell>
          <cell r="F3686" t="str">
            <v>C5</v>
          </cell>
          <cell r="G3686" t="str">
            <v>SP</v>
          </cell>
          <cell r="H3686" t="str">
            <v>DISTRIBUIÇÃO</v>
          </cell>
          <cell r="I3686" t="str">
            <v>FOOD SERVICE</v>
          </cell>
          <cell r="J3686" t="str">
            <v>FLAC 7</v>
          </cell>
          <cell r="K3686" t="str">
            <v>LACTALIS</v>
          </cell>
          <cell r="L3686" t="str">
            <v>RODRIGO</v>
          </cell>
          <cell r="M3686" t="str">
            <v>RAQUEL BARBOSA</v>
          </cell>
        </row>
        <row r="3687">
          <cell r="B3687">
            <v>5363396</v>
          </cell>
          <cell r="C3687" t="str">
            <v>C F LIMA</v>
          </cell>
          <cell r="D3687" t="str">
            <v>6001</v>
          </cell>
          <cell r="E3687" t="str">
            <v>6169</v>
          </cell>
          <cell r="F3687" t="str">
            <v>C1</v>
          </cell>
          <cell r="G3687" t="str">
            <v>ES</v>
          </cell>
          <cell r="H3687" t="str">
            <v>DISTRIBUIÇÃO</v>
          </cell>
          <cell r="I3687" t="str">
            <v>FOOD SERVICE</v>
          </cell>
          <cell r="J3687" t="str">
            <v>MARCELO DUARTE</v>
          </cell>
          <cell r="K3687" t="str">
            <v>ITAMBÉ</v>
          </cell>
          <cell r="L3687" t="str">
            <v>RODRIGO</v>
          </cell>
          <cell r="M3687" t="str">
            <v>JESSICA</v>
          </cell>
        </row>
        <row r="3688">
          <cell r="B3688">
            <v>5370267</v>
          </cell>
          <cell r="C3688" t="str">
            <v>HMF REPRESENTACAO DE ALIMENTOS</v>
          </cell>
          <cell r="D3688" t="str">
            <v>7001</v>
          </cell>
          <cell r="E3688" t="str">
            <v>0722</v>
          </cell>
          <cell r="F3688" t="str">
            <v>C1</v>
          </cell>
          <cell r="G3688" t="str">
            <v>SP</v>
          </cell>
          <cell r="H3688" t="str">
            <v>DISTRIBUIÇÃO</v>
          </cell>
          <cell r="I3688" t="str">
            <v>FOOD SERVICE</v>
          </cell>
          <cell r="J3688" t="str">
            <v>RAQUEL BARBOSA</v>
          </cell>
          <cell r="K3688" t="str">
            <v>LACTALIS</v>
          </cell>
          <cell r="L3688" t="str">
            <v>RODRIGO</v>
          </cell>
          <cell r="M3688" t="str">
            <v>RAQUEL BARBOSA</v>
          </cell>
        </row>
        <row r="3689">
          <cell r="B3689">
            <v>5167822</v>
          </cell>
          <cell r="C3689" t="str">
            <v>JUMBO ALIMENTOS LTDA</v>
          </cell>
          <cell r="D3689" t="str">
            <v>4001</v>
          </cell>
          <cell r="E3689" t="str">
            <v>0455</v>
          </cell>
          <cell r="F3689" t="str">
            <v>C1</v>
          </cell>
          <cell r="G3689" t="str">
            <v>PR</v>
          </cell>
          <cell r="H3689" t="str">
            <v>INGREDIENTS</v>
          </cell>
          <cell r="I3689" t="str">
            <v>INGREDIENTS</v>
          </cell>
          <cell r="J3689" t="str">
            <v>MARCELO RODRIGUES</v>
          </cell>
          <cell r="K3689" t="str">
            <v>LACTALIS</v>
          </cell>
          <cell r="L3689" t="str">
            <v>MAURICIO</v>
          </cell>
          <cell r="M3689" t="str">
            <v>MARCELO</v>
          </cell>
        </row>
        <row r="3690">
          <cell r="B3690">
            <v>5179194</v>
          </cell>
          <cell r="C3690" t="str">
            <v>G M MUZINI ME</v>
          </cell>
          <cell r="D3690" t="str">
            <v>6001</v>
          </cell>
          <cell r="E3690" t="str">
            <v>6028</v>
          </cell>
          <cell r="F3690" t="str">
            <v>C1</v>
          </cell>
          <cell r="G3690" t="str">
            <v>ES</v>
          </cell>
          <cell r="H3690" t="str">
            <v>INGREDIENTS</v>
          </cell>
          <cell r="I3690" t="str">
            <v>INGREDIENTS</v>
          </cell>
          <cell r="J3690" t="str">
            <v>ES ITB FS RADTKE REPRES</v>
          </cell>
          <cell r="K3690" t="str">
            <v>ITAMBÉ</v>
          </cell>
          <cell r="L3690" t="str">
            <v>MAURICIO</v>
          </cell>
          <cell r="M3690" t="str">
            <v>JOEL</v>
          </cell>
        </row>
        <row r="3691">
          <cell r="B3691">
            <v>5229103</v>
          </cell>
          <cell r="C3691" t="str">
            <v>COOPERATIVA AGRO PECUARIA VALE</v>
          </cell>
          <cell r="D3691" t="str">
            <v>4001</v>
          </cell>
          <cell r="E3691" t="str">
            <v>0423</v>
          </cell>
          <cell r="F3691" t="str">
            <v>C5</v>
          </cell>
          <cell r="G3691" t="str">
            <v>MG</v>
          </cell>
          <cell r="H3691" t="str">
            <v>INGREDIENTS</v>
          </cell>
          <cell r="I3691" t="str">
            <v>INGREDIENTS</v>
          </cell>
          <cell r="J3691" t="str">
            <v>JOEL ELEOTÉRIO</v>
          </cell>
          <cell r="K3691" t="str">
            <v>LACTALIS</v>
          </cell>
          <cell r="L3691" t="str">
            <v>MAURICIO</v>
          </cell>
          <cell r="M3691" t="str">
            <v>JOEL</v>
          </cell>
        </row>
        <row r="3692">
          <cell r="B3692">
            <v>5369774</v>
          </cell>
          <cell r="C3692" t="str">
            <v>ZAMP SA</v>
          </cell>
          <cell r="D3692" t="str">
            <v>7001</v>
          </cell>
          <cell r="E3692" t="str">
            <v>0722</v>
          </cell>
          <cell r="F3692" t="str">
            <v>C1</v>
          </cell>
          <cell r="G3692" t="str">
            <v>SP</v>
          </cell>
          <cell r="H3692" t="str">
            <v>QSR</v>
          </cell>
          <cell r="I3692" t="str">
            <v>FOOD SERVICE</v>
          </cell>
          <cell r="J3692" t="str">
            <v>ANA MENIQUETE</v>
          </cell>
          <cell r="K3692" t="str">
            <v>LACTALIS</v>
          </cell>
          <cell r="L3692" t="str">
            <v>PEDRO</v>
          </cell>
          <cell r="M3692" t="str">
            <v>ANA MENIQUETE</v>
          </cell>
        </row>
        <row r="3693">
          <cell r="B3693">
            <v>5088425</v>
          </cell>
          <cell r="C3693" t="str">
            <v>VILLA GRANO PAES E CONVENIENCIAS LTDA</v>
          </cell>
          <cell r="D3693" t="str">
            <v>7001</v>
          </cell>
          <cell r="E3693" t="str">
            <v>0749</v>
          </cell>
          <cell r="F3693" t="str">
            <v>C5</v>
          </cell>
          <cell r="G3693" t="str">
            <v>SP</v>
          </cell>
          <cell r="H3693" t="str">
            <v>DISTRIBUIÇÃO</v>
          </cell>
          <cell r="I3693" t="str">
            <v>FOOD SERVICE</v>
          </cell>
          <cell r="J3693" t="str">
            <v>FLAC 4</v>
          </cell>
          <cell r="K3693" t="str">
            <v>LACTALIS</v>
          </cell>
          <cell r="L3693" t="str">
            <v>RODRIGO</v>
          </cell>
          <cell r="M3693" t="str">
            <v>RAQUEL BARBOSA</v>
          </cell>
        </row>
        <row r="3694">
          <cell r="B3694">
            <v>5110910</v>
          </cell>
          <cell r="C3694" t="str">
            <v>SORVETERIA RIBEIRA LTDA</v>
          </cell>
          <cell r="D3694" t="str">
            <v>6001</v>
          </cell>
          <cell r="E3694" t="str">
            <v>6009</v>
          </cell>
          <cell r="F3694" t="str">
            <v>C1</v>
          </cell>
          <cell r="G3694" t="str">
            <v>BA</v>
          </cell>
          <cell r="H3694" t="str">
            <v>DISTRIBUIÇÃO</v>
          </cell>
          <cell r="I3694" t="str">
            <v>FOOD SERVICE</v>
          </cell>
          <cell r="J3694" t="str">
            <v>CLAUDIO JORGE/LUIZ</v>
          </cell>
          <cell r="K3694" t="str">
            <v>ITAMBÉ</v>
          </cell>
          <cell r="L3694" t="str">
            <v>RODRIGO</v>
          </cell>
          <cell r="M3694" t="str">
            <v>MARIA LOURDES</v>
          </cell>
        </row>
        <row r="3695">
          <cell r="B3695">
            <v>5225860</v>
          </cell>
          <cell r="C3695" t="str">
            <v>DISPAN DISTRIBUIDORA DE ALIMENT</v>
          </cell>
          <cell r="D3695" t="str">
            <v>7001</v>
          </cell>
          <cell r="E3695" t="str">
            <v>0585</v>
          </cell>
          <cell r="F3695" t="str">
            <v>C5</v>
          </cell>
          <cell r="G3695" t="str">
            <v>PE</v>
          </cell>
          <cell r="H3695" t="str">
            <v>DISTRIBUIÇÃO</v>
          </cell>
          <cell r="I3695" t="str">
            <v>FOOD SERVICE</v>
          </cell>
          <cell r="J3695" t="str">
            <v>CLAUDIO JORGE</v>
          </cell>
          <cell r="K3695" t="str">
            <v>LACTALIS</v>
          </cell>
          <cell r="L3695" t="str">
            <v>RODRIGO</v>
          </cell>
          <cell r="M3695" t="str">
            <v>MARIA LOURDES</v>
          </cell>
        </row>
        <row r="3696">
          <cell r="B3696">
            <v>5309443</v>
          </cell>
          <cell r="C3696" t="str">
            <v>TRIBO GOURMET VILA MARIANA REST</v>
          </cell>
          <cell r="D3696" t="str">
            <v>7001</v>
          </cell>
          <cell r="E3696" t="str">
            <v>0749</v>
          </cell>
          <cell r="F3696" t="str">
            <v>C5</v>
          </cell>
          <cell r="G3696" t="str">
            <v>SP</v>
          </cell>
          <cell r="H3696" t="str">
            <v>DISTRIBUIÇÃO</v>
          </cell>
          <cell r="I3696" t="str">
            <v>FOOD SERVICE</v>
          </cell>
          <cell r="J3696" t="str">
            <v>FLAC 3</v>
          </cell>
          <cell r="K3696" t="str">
            <v>LACTALIS</v>
          </cell>
          <cell r="L3696" t="str">
            <v>RODRIGO</v>
          </cell>
          <cell r="M3696" t="str">
            <v>RAQUEL BARBOSA</v>
          </cell>
        </row>
        <row r="3697">
          <cell r="B3697">
            <v>5029624</v>
          </cell>
          <cell r="C3697" t="str">
            <v>LANCHONETE MELLO E FILHOS LTDA</v>
          </cell>
          <cell r="D3697" t="str">
            <v>6001</v>
          </cell>
          <cell r="E3697" t="str">
            <v>6125</v>
          </cell>
          <cell r="F3697" t="str">
            <v>C1</v>
          </cell>
          <cell r="G3697" t="str">
            <v>SP</v>
          </cell>
          <cell r="H3697" t="str">
            <v>DISTRIBUIÇÃO</v>
          </cell>
          <cell r="I3697" t="str">
            <v>FOOD SERVICE</v>
          </cell>
          <cell r="J3697" t="str">
            <v>SP ITB FS FLAC REP.E COMERCIO</v>
          </cell>
          <cell r="K3697" t="str">
            <v>ITAMBÉ</v>
          </cell>
          <cell r="L3697" t="str">
            <v>RODRIGO</v>
          </cell>
          <cell r="M3697" t="str">
            <v>RAQUEL BARBOSA</v>
          </cell>
        </row>
        <row r="3698">
          <cell r="B3698">
            <v>5357324</v>
          </cell>
          <cell r="C3698" t="str">
            <v>OESA COMERCIO E REPRESENTACOES</v>
          </cell>
          <cell r="D3698" t="str">
            <v>3001</v>
          </cell>
          <cell r="E3698" t="str">
            <v>0123</v>
          </cell>
          <cell r="F3698" t="str">
            <v>C1</v>
          </cell>
          <cell r="G3698" t="str">
            <v>MT</v>
          </cell>
          <cell r="H3698" t="str">
            <v>DISTRIBUIÇÃO</v>
          </cell>
          <cell r="I3698" t="str">
            <v>FOOD SERVICE</v>
          </cell>
          <cell r="J3698" t="str">
            <v>MARCO AURELIO</v>
          </cell>
          <cell r="K3698" t="str">
            <v>ITAMBÉ</v>
          </cell>
          <cell r="L3698" t="str">
            <v>RODRIGO</v>
          </cell>
          <cell r="M3698" t="str">
            <v>MARCO AURELIO</v>
          </cell>
        </row>
        <row r="3699">
          <cell r="B3699">
            <v>5162285</v>
          </cell>
          <cell r="C3699" t="str">
            <v>KOB COMERCIAL LTDA</v>
          </cell>
          <cell r="D3699" t="str">
            <v>7001</v>
          </cell>
          <cell r="E3699" t="str">
            <v>0755</v>
          </cell>
          <cell r="F3699" t="str">
            <v>C1</v>
          </cell>
          <cell r="G3699" t="str">
            <v>PR</v>
          </cell>
          <cell r="H3699" t="str">
            <v>DISTRIBUIÇÃO</v>
          </cell>
          <cell r="I3699" t="str">
            <v>FOOD SERVICE</v>
          </cell>
          <cell r="J3699" t="str">
            <v>ANGELICA BATISTELA</v>
          </cell>
          <cell r="K3699" t="str">
            <v>LACTALIS</v>
          </cell>
          <cell r="L3699" t="str">
            <v>RODRIGO</v>
          </cell>
          <cell r="M3699" t="str">
            <v>ANGELICA BATISTELA</v>
          </cell>
        </row>
        <row r="3700">
          <cell r="B3700">
            <v>5342745</v>
          </cell>
          <cell r="C3700" t="str">
            <v>INICIAL COM E DISTRIB DE ALIM L</v>
          </cell>
          <cell r="D3700" t="str">
            <v>3001</v>
          </cell>
          <cell r="E3700" t="str">
            <v>0028</v>
          </cell>
          <cell r="F3700" t="str">
            <v>C1</v>
          </cell>
          <cell r="G3700" t="str">
            <v>MS</v>
          </cell>
          <cell r="H3700" t="str">
            <v>INGREDIENTS</v>
          </cell>
          <cell r="I3700" t="str">
            <v>INGREDIENTS</v>
          </cell>
          <cell r="J3700" t="str">
            <v>MS ITB FS MAWIL REPRESENTAÇÕES</v>
          </cell>
          <cell r="K3700" t="str">
            <v>ITAMBÉ</v>
          </cell>
          <cell r="L3700" t="str">
            <v>MAURICIO</v>
          </cell>
          <cell r="M3700" t="str">
            <v>MARCELO</v>
          </cell>
        </row>
        <row r="3701">
          <cell r="B3701">
            <v>5348324</v>
          </cell>
          <cell r="C3701" t="str">
            <v>DIST NORD DE CONFEIT E PANIF LTDA</v>
          </cell>
          <cell r="D3701" t="str">
            <v>3001</v>
          </cell>
          <cell r="E3701" t="str">
            <v>0127</v>
          </cell>
          <cell r="F3701" t="str">
            <v>C1</v>
          </cell>
          <cell r="G3701" t="str">
            <v>BA</v>
          </cell>
          <cell r="H3701" t="str">
            <v>DISTRIBUIÇÃO</v>
          </cell>
          <cell r="I3701" t="str">
            <v>FOOD SERVICE</v>
          </cell>
          <cell r="J3701" t="str">
            <v>CLAUDIO JORGE</v>
          </cell>
          <cell r="K3701" t="str">
            <v>ITAMBÉ</v>
          </cell>
          <cell r="L3701" t="str">
            <v>RODRIGO</v>
          </cell>
          <cell r="M3701" t="str">
            <v>MARIA LOURDES</v>
          </cell>
        </row>
        <row r="3702">
          <cell r="B3702">
            <v>5368302</v>
          </cell>
          <cell r="C3702" t="str">
            <v>SCALON E CERCHI LTDA</v>
          </cell>
          <cell r="D3702" t="str">
            <v>4001</v>
          </cell>
          <cell r="E3702" t="str">
            <v>0458</v>
          </cell>
          <cell r="F3702" t="str">
            <v>C1</v>
          </cell>
          <cell r="G3702" t="str">
            <v>MG</v>
          </cell>
          <cell r="H3702" t="str">
            <v>INGREDIENTS</v>
          </cell>
          <cell r="I3702" t="str">
            <v>INGREDIENTS</v>
          </cell>
          <cell r="J3702" t="str">
            <v>JOEL ELEOTÉRIO</v>
          </cell>
          <cell r="K3702" t="str">
            <v>ITAMBÉ</v>
          </cell>
          <cell r="L3702" t="str">
            <v>MAURICIO</v>
          </cell>
          <cell r="M3702" t="str">
            <v>JOEL</v>
          </cell>
        </row>
        <row r="3703">
          <cell r="B3703">
            <v>5370992</v>
          </cell>
          <cell r="C3703" t="str">
            <v>PUSH MATCHA SA</v>
          </cell>
          <cell r="D3703" t="str">
            <v>6001</v>
          </cell>
          <cell r="E3703" t="str">
            <v>6028</v>
          </cell>
          <cell r="F3703" t="str">
            <v>C1</v>
          </cell>
          <cell r="G3703" t="str">
            <v>SP</v>
          </cell>
          <cell r="H3703" t="str">
            <v>INGREDIENTS</v>
          </cell>
          <cell r="I3703" t="str">
            <v>INGREDIENTS</v>
          </cell>
          <cell r="J3703" t="str">
            <v>TATIANA NITTA</v>
          </cell>
          <cell r="K3703" t="str">
            <v>ITAMBÉ</v>
          </cell>
          <cell r="L3703" t="str">
            <v>MAURICIO</v>
          </cell>
          <cell r="M3703" t="str">
            <v>TATIANA NITTA</v>
          </cell>
        </row>
        <row r="3704">
          <cell r="B3704">
            <v>5155823</v>
          </cell>
          <cell r="C3704" t="str">
            <v>UNIQUE SER D HOT E ALIM CO E PART L</v>
          </cell>
          <cell r="D3704" t="str">
            <v>7001</v>
          </cell>
          <cell r="E3704" t="str">
            <v>0749</v>
          </cell>
          <cell r="F3704" t="str">
            <v>C5</v>
          </cell>
          <cell r="G3704" t="str">
            <v>SP</v>
          </cell>
          <cell r="H3704" t="str">
            <v>DISTRIBUIÇÃO</v>
          </cell>
          <cell r="I3704" t="str">
            <v>FOOD SERVICE</v>
          </cell>
          <cell r="J3704" t="str">
            <v>FLAC 2</v>
          </cell>
          <cell r="K3704" t="str">
            <v>LACTALIS</v>
          </cell>
          <cell r="L3704" t="str">
            <v>RODRIGO</v>
          </cell>
          <cell r="M3704" t="str">
            <v>RAQUEL BARBOSA</v>
          </cell>
        </row>
        <row r="3705">
          <cell r="B3705">
            <v>5232460</v>
          </cell>
          <cell r="C3705" t="str">
            <v>GELATO LUCE COMERCIO LTDA</v>
          </cell>
          <cell r="D3705" t="str">
            <v>3001</v>
          </cell>
          <cell r="E3705" t="str">
            <v>0127</v>
          </cell>
          <cell r="F3705" t="str">
            <v>C1</v>
          </cell>
          <cell r="G3705" t="str">
            <v>BA</v>
          </cell>
          <cell r="H3705" t="str">
            <v>DISTRIBUIÇÃO</v>
          </cell>
          <cell r="I3705" t="str">
            <v>FOOD SERVICE</v>
          </cell>
          <cell r="J3705" t="str">
            <v>CLAUDIO JORGE/LUIZ</v>
          </cell>
          <cell r="K3705" t="str">
            <v>ITAMBÉ</v>
          </cell>
          <cell r="L3705" t="str">
            <v>RODRIGO</v>
          </cell>
          <cell r="M3705" t="str">
            <v>MARIA LOURDES</v>
          </cell>
        </row>
        <row r="3706">
          <cell r="B3706">
            <v>5235841</v>
          </cell>
          <cell r="C3706" t="str">
            <v>EMEC EMPREENDIMENTOS MEDICO CIR</v>
          </cell>
          <cell r="D3706" t="str">
            <v>3001</v>
          </cell>
          <cell r="E3706" t="str">
            <v>0127</v>
          </cell>
          <cell r="F3706" t="str">
            <v>C1</v>
          </cell>
          <cell r="G3706" t="str">
            <v>BA</v>
          </cell>
          <cell r="H3706" t="str">
            <v>DISTRIBUIÇÃO</v>
          </cell>
          <cell r="I3706" t="str">
            <v>FOOD SERVICE</v>
          </cell>
          <cell r="J3706" t="str">
            <v>CLAUDIO JORGE/LUIZ</v>
          </cell>
          <cell r="K3706" t="str">
            <v>ITAMBÉ</v>
          </cell>
          <cell r="L3706" t="str">
            <v>RODRIGO</v>
          </cell>
          <cell r="M3706" t="str">
            <v>MARIA LOURDES</v>
          </cell>
        </row>
        <row r="3707">
          <cell r="B3707">
            <v>5167822</v>
          </cell>
          <cell r="C3707" t="str">
            <v>JUMBO ALIMENTOS LTDA</v>
          </cell>
          <cell r="D3707" t="str">
            <v>3001</v>
          </cell>
          <cell r="E3707" t="str">
            <v>0028</v>
          </cell>
          <cell r="F3707" t="str">
            <v>C1</v>
          </cell>
          <cell r="G3707" t="str">
            <v>PR</v>
          </cell>
          <cell r="H3707" t="str">
            <v>INGREDIENTS</v>
          </cell>
          <cell r="I3707" t="str">
            <v>INGREDIENTS</v>
          </cell>
          <cell r="J3707" t="str">
            <v>MARCELO RODRIGUES</v>
          </cell>
          <cell r="K3707" t="str">
            <v>ITAMBÉ</v>
          </cell>
          <cell r="L3707" t="str">
            <v>MAURICIO</v>
          </cell>
          <cell r="M3707" t="str">
            <v>MARCELO</v>
          </cell>
        </row>
        <row r="3708">
          <cell r="B3708">
            <v>5234837</v>
          </cell>
          <cell r="C3708" t="str">
            <v>A FORNADA ITAIM PAES E REFEICOES LT</v>
          </cell>
          <cell r="D3708" t="str">
            <v>7001</v>
          </cell>
          <cell r="E3708" t="str">
            <v>0749</v>
          </cell>
          <cell r="F3708" t="str">
            <v>C5</v>
          </cell>
          <cell r="G3708" t="str">
            <v>SP</v>
          </cell>
          <cell r="H3708" t="str">
            <v>DISTRIBUIÇÃO</v>
          </cell>
          <cell r="I3708" t="str">
            <v>FOOD SERVICE</v>
          </cell>
          <cell r="J3708" t="str">
            <v>FLAC 2</v>
          </cell>
          <cell r="K3708" t="str">
            <v>LACTALIS</v>
          </cell>
          <cell r="L3708" t="str">
            <v>RODRIGO</v>
          </cell>
          <cell r="M3708" t="str">
            <v>RAQUEL BARBOSA</v>
          </cell>
        </row>
        <row r="3709">
          <cell r="B3709">
            <v>5309626</v>
          </cell>
          <cell r="C3709" t="str">
            <v>RSG SABOREIE DOCES E SALGADOS L</v>
          </cell>
          <cell r="D3709" t="str">
            <v>3001</v>
          </cell>
          <cell r="E3709" t="str">
            <v>0127</v>
          </cell>
          <cell r="F3709" t="str">
            <v>C1</v>
          </cell>
          <cell r="G3709" t="str">
            <v>BA</v>
          </cell>
          <cell r="H3709" t="str">
            <v>DISTRIBUIÇÃO</v>
          </cell>
          <cell r="I3709" t="str">
            <v>FOOD SERVICE</v>
          </cell>
          <cell r="J3709" t="str">
            <v>CLAUDIO JORGE/LUIZ</v>
          </cell>
          <cell r="K3709" t="str">
            <v>ITAMBÉ</v>
          </cell>
          <cell r="L3709" t="str">
            <v>RODRIGO</v>
          </cell>
          <cell r="M3709" t="str">
            <v>MARIA LOURDES</v>
          </cell>
        </row>
        <row r="3710">
          <cell r="B3710">
            <v>5371202</v>
          </cell>
          <cell r="C3710" t="str">
            <v>VOYA NUTRITION LTDA</v>
          </cell>
          <cell r="D3710" t="str">
            <v>6001</v>
          </cell>
          <cell r="E3710" t="str">
            <v>6028</v>
          </cell>
          <cell r="F3710" t="str">
            <v>C1</v>
          </cell>
          <cell r="G3710" t="str">
            <v>SP</v>
          </cell>
          <cell r="H3710" t="str">
            <v>INGREDIENTS</v>
          </cell>
          <cell r="I3710" t="str">
            <v>INGREDIENTS</v>
          </cell>
          <cell r="J3710" t="str">
            <v>TATIANA NITTA</v>
          </cell>
          <cell r="K3710" t="str">
            <v>ITAMBÉ</v>
          </cell>
          <cell r="L3710" t="str">
            <v>MAURICIO</v>
          </cell>
          <cell r="M3710" t="str">
            <v>TATIANA NITTA</v>
          </cell>
        </row>
        <row r="3711">
          <cell r="B3711">
            <v>5052329</v>
          </cell>
          <cell r="C3711" t="str">
            <v>MECANO PACK EMBALAGENS SA</v>
          </cell>
          <cell r="D3711" t="str">
            <v>6001</v>
          </cell>
          <cell r="E3711" t="str">
            <v>6028</v>
          </cell>
          <cell r="F3711" t="str">
            <v>C1</v>
          </cell>
          <cell r="G3711" t="str">
            <v>SP</v>
          </cell>
          <cell r="H3711" t="str">
            <v>INGREDIENTS</v>
          </cell>
          <cell r="I3711" t="str">
            <v>INGREDIENTS</v>
          </cell>
          <cell r="J3711" t="str">
            <v>TATIANA NITTA</v>
          </cell>
          <cell r="K3711" t="str">
            <v>ITAMBÉ</v>
          </cell>
          <cell r="L3711" t="str">
            <v>MAURICIO</v>
          </cell>
          <cell r="M3711" t="str">
            <v>TATIANA NITTA</v>
          </cell>
        </row>
        <row r="3712">
          <cell r="B3712">
            <v>5190347</v>
          </cell>
          <cell r="C3712" t="str">
            <v>HIPER PAN DISTDE PROD DE PAN LT</v>
          </cell>
          <cell r="D3712" t="str">
            <v>3001</v>
          </cell>
          <cell r="E3712" t="str">
            <v>0127</v>
          </cell>
          <cell r="F3712" t="str">
            <v>C1</v>
          </cell>
          <cell r="G3712" t="str">
            <v>BA</v>
          </cell>
          <cell r="H3712" t="str">
            <v>DISTRIBUIÇÃO</v>
          </cell>
          <cell r="I3712" t="str">
            <v>FOOD SERVICE</v>
          </cell>
          <cell r="J3712" t="str">
            <v>CLAUDIO JORGE/LUIZ</v>
          </cell>
          <cell r="K3712" t="str">
            <v>ITAMBÉ</v>
          </cell>
          <cell r="L3712" t="str">
            <v>RODRIGO</v>
          </cell>
          <cell r="M3712" t="str">
            <v>MARIA LOURDES</v>
          </cell>
        </row>
        <row r="3713">
          <cell r="B3713">
            <v>5327327</v>
          </cell>
          <cell r="C3713" t="str">
            <v>BNZ BEBIDAS LTDA</v>
          </cell>
          <cell r="D3713" t="str">
            <v>6001</v>
          </cell>
          <cell r="E3713" t="str">
            <v>6028</v>
          </cell>
          <cell r="F3713" t="str">
            <v>C1</v>
          </cell>
          <cell r="G3713" t="str">
            <v>SP</v>
          </cell>
          <cell r="H3713" t="str">
            <v>INGREDIENTS</v>
          </cell>
          <cell r="I3713" t="str">
            <v>INGREDIENTS</v>
          </cell>
          <cell r="J3713" t="str">
            <v>TATIANA NITTA</v>
          </cell>
          <cell r="K3713" t="str">
            <v>ITAMBÉ</v>
          </cell>
          <cell r="L3713" t="str">
            <v>MAURICIO</v>
          </cell>
          <cell r="M3713" t="str">
            <v>TATIANA NITTA</v>
          </cell>
        </row>
        <row r="3714">
          <cell r="B3714">
            <v>5371102</v>
          </cell>
          <cell r="C3714" t="str">
            <v>TRANSWERLE TRANSPORTES LTDA</v>
          </cell>
          <cell r="D3714" t="str">
            <v>4001</v>
          </cell>
          <cell r="E3714" t="str">
            <v>0546</v>
          </cell>
          <cell r="F3714" t="str">
            <v>C1</v>
          </cell>
          <cell r="G3714" t="str">
            <v>RS</v>
          </cell>
          <cell r="H3714" t="str">
            <v>INGREDIENTS</v>
          </cell>
          <cell r="I3714" t="str">
            <v>INGREDIENTS</v>
          </cell>
          <cell r="J3714" t="str">
            <v>JOEL ELEOTÉRIO</v>
          </cell>
          <cell r="K3714" t="str">
            <v>LACTALIS</v>
          </cell>
          <cell r="L3714" t="str">
            <v>MAURICIO</v>
          </cell>
          <cell r="M3714" t="str">
            <v>JOEL</v>
          </cell>
        </row>
        <row r="3715">
          <cell r="B3715">
            <v>5162170</v>
          </cell>
          <cell r="C3715" t="str">
            <v>DAN VIGOR IND E COM DE LATICINI</v>
          </cell>
          <cell r="D3715" t="str">
            <v>4001</v>
          </cell>
          <cell r="E3715" t="str">
            <v>0445</v>
          </cell>
          <cell r="F3715" t="str">
            <v>C7</v>
          </cell>
          <cell r="G3715" t="str">
            <v>SP</v>
          </cell>
          <cell r="H3715" t="str">
            <v>INGREDIENTS</v>
          </cell>
          <cell r="I3715" t="str">
            <v>INGREDIENTS</v>
          </cell>
          <cell r="J3715" t="str">
            <v>JOEL ELEOTÉRIO</v>
          </cell>
          <cell r="K3715" t="str">
            <v>LACTALIS</v>
          </cell>
          <cell r="L3715" t="str">
            <v>MAURICIO</v>
          </cell>
          <cell r="M3715" t="str">
            <v>JOEL</v>
          </cell>
        </row>
        <row r="3716">
          <cell r="B3716">
            <v>5193784</v>
          </cell>
          <cell r="C3716" t="str">
            <v>CAROLE CREMA CHOCOLATES LTDA</v>
          </cell>
          <cell r="D3716" t="str">
            <v>6001</v>
          </cell>
          <cell r="E3716" t="str">
            <v>6125</v>
          </cell>
          <cell r="F3716" t="str">
            <v>C1</v>
          </cell>
          <cell r="G3716" t="str">
            <v>SP</v>
          </cell>
          <cell r="H3716" t="str">
            <v>DISTRIBUIÇÃO</v>
          </cell>
          <cell r="I3716" t="str">
            <v>FOOD SERVICE</v>
          </cell>
          <cell r="J3716" t="str">
            <v>SP ITB FS FLAC REP.E COMERCIO</v>
          </cell>
          <cell r="K3716" t="str">
            <v>ITAMBÉ</v>
          </cell>
          <cell r="L3716" t="str">
            <v>RODRIGO</v>
          </cell>
          <cell r="M3716" t="str">
            <v>RAQUEL BARBOSA</v>
          </cell>
        </row>
        <row r="3717">
          <cell r="B3717">
            <v>5198702</v>
          </cell>
          <cell r="C3717" t="str">
            <v>GELATERIA PERINO IND COM G LTDA</v>
          </cell>
          <cell r="D3717" t="str">
            <v>7001</v>
          </cell>
          <cell r="E3717" t="str">
            <v>0749</v>
          </cell>
          <cell r="F3717" t="str">
            <v>C5</v>
          </cell>
          <cell r="G3717" t="str">
            <v>SP</v>
          </cell>
          <cell r="H3717" t="str">
            <v>DISTRIBUIÇÃO</v>
          </cell>
          <cell r="I3717" t="str">
            <v>FOOD SERVICE</v>
          </cell>
          <cell r="J3717" t="str">
            <v>FLAC 7</v>
          </cell>
          <cell r="K3717" t="str">
            <v>LACTALIS</v>
          </cell>
          <cell r="L3717" t="str">
            <v>RODRIGO</v>
          </cell>
          <cell r="M3717" t="str">
            <v>RAQUEL BARBOSA</v>
          </cell>
        </row>
        <row r="3718">
          <cell r="B3718">
            <v>5332489</v>
          </cell>
          <cell r="C3718" t="str">
            <v>VIAMIX DISTRIBUICAO LTDA</v>
          </cell>
          <cell r="D3718" t="str">
            <v>3001</v>
          </cell>
          <cell r="E3718" t="str">
            <v>0127</v>
          </cell>
          <cell r="F3718" t="str">
            <v>C1</v>
          </cell>
          <cell r="G3718" t="str">
            <v>BA</v>
          </cell>
          <cell r="H3718" t="str">
            <v>DISTRIBUIÇÃO</v>
          </cell>
          <cell r="I3718" t="str">
            <v>FOOD SERVICE</v>
          </cell>
          <cell r="J3718" t="str">
            <v>CLAUDIO JORGE/LUIZ</v>
          </cell>
          <cell r="K3718" t="str">
            <v>ITAMBÉ</v>
          </cell>
          <cell r="L3718" t="str">
            <v>RODRIGO</v>
          </cell>
          <cell r="M3718" t="str">
            <v>MARIA LOURDES</v>
          </cell>
        </row>
        <row r="3719">
          <cell r="B3719">
            <v>5371254</v>
          </cell>
          <cell r="C3719" t="str">
            <v>COM PLENA DISTRIB DE ALIM LTDA</v>
          </cell>
          <cell r="D3719" t="str">
            <v>4001</v>
          </cell>
          <cell r="E3719" t="str">
            <v>0437</v>
          </cell>
          <cell r="F3719" t="str">
            <v>C1</v>
          </cell>
          <cell r="G3719" t="str">
            <v>RJ</v>
          </cell>
          <cell r="H3719" t="str">
            <v>INGREDIENTS</v>
          </cell>
          <cell r="I3719" t="str">
            <v>INGREDIENTS</v>
          </cell>
          <cell r="J3719" t="str">
            <v>JOEL ELEOTÉRIO</v>
          </cell>
          <cell r="K3719" t="str">
            <v>LACTALIS</v>
          </cell>
          <cell r="L3719" t="str">
            <v>MAURICIO</v>
          </cell>
          <cell r="M3719" t="str">
            <v>JOEL</v>
          </cell>
        </row>
        <row r="3720">
          <cell r="B3720">
            <v>5170033</v>
          </cell>
          <cell r="C3720" t="str">
            <v>SORVETERIA SANTIAGO LTDA</v>
          </cell>
          <cell r="D3720" t="str">
            <v>3001</v>
          </cell>
          <cell r="E3720" t="str">
            <v>0028</v>
          </cell>
          <cell r="F3720" t="str">
            <v>C1</v>
          </cell>
          <cell r="G3720" t="str">
            <v>BA</v>
          </cell>
          <cell r="H3720" t="str">
            <v>INGREDIENTS</v>
          </cell>
          <cell r="I3720" t="str">
            <v>INGREDIENTS</v>
          </cell>
          <cell r="J3720" t="str">
            <v>BA ITB FS ML FLAVORS</v>
          </cell>
          <cell r="K3720" t="str">
            <v>ITAMBÉ</v>
          </cell>
          <cell r="L3720" t="str">
            <v>MAURICIO</v>
          </cell>
          <cell r="M3720" t="str">
            <v>JOEL</v>
          </cell>
        </row>
        <row r="3721">
          <cell r="B3721">
            <v>5211582</v>
          </cell>
          <cell r="C3721" t="str">
            <v>DAN VIGOR IND E COM LATICINIOS LTDA</v>
          </cell>
          <cell r="D3721" t="str">
            <v>4001</v>
          </cell>
          <cell r="E3721" t="str">
            <v>0445</v>
          </cell>
          <cell r="F3721" t="str">
            <v>C7</v>
          </cell>
          <cell r="G3721" t="str">
            <v>SP</v>
          </cell>
          <cell r="H3721" t="str">
            <v>INGREDIENTS</v>
          </cell>
          <cell r="I3721" t="str">
            <v>INGREDIENTS</v>
          </cell>
          <cell r="J3721" t="str">
            <v>JOEL ELEOTÉRIO</v>
          </cell>
          <cell r="K3721" t="str">
            <v>LACTALIS</v>
          </cell>
          <cell r="L3721" t="str">
            <v>MAURICIO</v>
          </cell>
          <cell r="M3721" t="str">
            <v>JOEL</v>
          </cell>
        </row>
        <row r="3722">
          <cell r="B3722">
            <v>5371290</v>
          </cell>
          <cell r="C3722" t="str">
            <v>ALESILVA COMERCIO LTDA</v>
          </cell>
          <cell r="D3722" t="str">
            <v>4001</v>
          </cell>
          <cell r="E3722" t="str">
            <v>0437</v>
          </cell>
          <cell r="F3722" t="str">
            <v>C1</v>
          </cell>
          <cell r="G3722" t="str">
            <v>SP</v>
          </cell>
          <cell r="H3722" t="str">
            <v>INGREDIENTS</v>
          </cell>
          <cell r="I3722" t="str">
            <v>INGREDIENTS</v>
          </cell>
          <cell r="J3722" t="str">
            <v>MARCELO RODRIGUES</v>
          </cell>
          <cell r="K3722" t="str">
            <v>LACTALIS</v>
          </cell>
          <cell r="L3722" t="str">
            <v>MAURICIO</v>
          </cell>
          <cell r="M3722" t="str">
            <v>MARCELO</v>
          </cell>
        </row>
        <row r="3723">
          <cell r="B3723">
            <v>5067885</v>
          </cell>
          <cell r="C3723" t="str">
            <v>SOAZA COM PROD ALIMENTICIOS LTDA</v>
          </cell>
          <cell r="D3723" t="str">
            <v>7001</v>
          </cell>
          <cell r="E3723" t="str">
            <v>0722</v>
          </cell>
          <cell r="F3723" t="str">
            <v>C1</v>
          </cell>
          <cell r="G3723" t="str">
            <v>SP</v>
          </cell>
          <cell r="H3723" t="str">
            <v>DISTRIBUIÇÃO</v>
          </cell>
          <cell r="I3723" t="str">
            <v>FOOD SERVICE</v>
          </cell>
          <cell r="J3723" t="str">
            <v>ALEXANDRE BONANI</v>
          </cell>
          <cell r="K3723" t="str">
            <v>LACTALIS</v>
          </cell>
          <cell r="L3723" t="str">
            <v>RODRIGO</v>
          </cell>
          <cell r="M3723" t="str">
            <v>ALEXANDRE BONANI</v>
          </cell>
        </row>
        <row r="3724">
          <cell r="B3724">
            <v>5193733</v>
          </cell>
          <cell r="C3724" t="str">
            <v>ARTIAGA E CARNEIRO LTDA ME</v>
          </cell>
          <cell r="D3724" t="str">
            <v>3001</v>
          </cell>
          <cell r="E3724" t="str">
            <v>0123</v>
          </cell>
          <cell r="F3724" t="str">
            <v>C1</v>
          </cell>
          <cell r="G3724" t="str">
            <v>GO</v>
          </cell>
          <cell r="H3724" t="str">
            <v>DISTRIBUIÇÃO</v>
          </cell>
          <cell r="I3724" t="str">
            <v>FOOD SERVICE</v>
          </cell>
          <cell r="J3724" t="str">
            <v>MARCO AURELIO</v>
          </cell>
          <cell r="K3724" t="str">
            <v>ITAMBÉ</v>
          </cell>
          <cell r="L3724" t="str">
            <v>RODRIGO</v>
          </cell>
          <cell r="M3724" t="str">
            <v>MARCO AURELIO</v>
          </cell>
        </row>
        <row r="3725">
          <cell r="B3725">
            <v>5265210</v>
          </cell>
          <cell r="C3725" t="str">
            <v>TRIBO GOURMET RESTAURANTE LTDA ME</v>
          </cell>
          <cell r="D3725" t="str">
            <v>7001</v>
          </cell>
          <cell r="E3725" t="str">
            <v>0749</v>
          </cell>
          <cell r="F3725" t="str">
            <v>C5</v>
          </cell>
          <cell r="G3725" t="str">
            <v>SP</v>
          </cell>
          <cell r="H3725" t="str">
            <v>DISTRIBUIÇÃO</v>
          </cell>
          <cell r="I3725" t="str">
            <v>FOOD SERVICE</v>
          </cell>
          <cell r="J3725" t="str">
            <v>FLAC 3</v>
          </cell>
          <cell r="K3725" t="str">
            <v>LACTALIS</v>
          </cell>
          <cell r="L3725" t="str">
            <v>RODRIGO</v>
          </cell>
          <cell r="M3725" t="str">
            <v>RAQUEL BARBOSA</v>
          </cell>
        </row>
        <row r="3726">
          <cell r="B3726">
            <v>5294983</v>
          </cell>
          <cell r="C3726" t="str">
            <v>PRET MAM RESTAURANTE LTDA</v>
          </cell>
          <cell r="D3726" t="str">
            <v>7001</v>
          </cell>
          <cell r="E3726" t="str">
            <v>0749</v>
          </cell>
          <cell r="F3726" t="str">
            <v>C5</v>
          </cell>
          <cell r="G3726" t="str">
            <v>SP</v>
          </cell>
          <cell r="H3726" t="str">
            <v>DISTRIBUIÇÃO</v>
          </cell>
          <cell r="I3726" t="str">
            <v>FOOD SERVICE</v>
          </cell>
          <cell r="J3726" t="str">
            <v>FLAC 3</v>
          </cell>
          <cell r="K3726" t="str">
            <v>LACTALIS</v>
          </cell>
          <cell r="L3726" t="str">
            <v>RODRIGO</v>
          </cell>
          <cell r="M3726" t="str">
            <v>RAQUEL BARBOSA</v>
          </cell>
        </row>
        <row r="3727">
          <cell r="B3727">
            <v>5353255</v>
          </cell>
          <cell r="C3727" t="str">
            <v>PAULIMAR IND DIST E IMP LTDA</v>
          </cell>
          <cell r="D3727" t="str">
            <v>6001</v>
          </cell>
          <cell r="E3727" t="str">
            <v>6125</v>
          </cell>
          <cell r="F3727" t="str">
            <v>C1</v>
          </cell>
          <cell r="G3727" t="str">
            <v>SP</v>
          </cell>
          <cell r="H3727" t="str">
            <v>DISTRIBUIÇÃO</v>
          </cell>
          <cell r="I3727" t="str">
            <v>FOOD SERVICE</v>
          </cell>
          <cell r="J3727" t="str">
            <v>SP ITB FS FLAC REP.E COMERCIO</v>
          </cell>
          <cell r="K3727" t="str">
            <v>ITAMBÉ</v>
          </cell>
          <cell r="L3727" t="str">
            <v>RODRIGO</v>
          </cell>
          <cell r="M3727" t="str">
            <v>RAQUEL BARBOSA</v>
          </cell>
        </row>
        <row r="3728">
          <cell r="B3728">
            <v>5366377</v>
          </cell>
          <cell r="C3728" t="str">
            <v>SAO BENTO PADARIA LTDA</v>
          </cell>
          <cell r="D3728" t="str">
            <v>7001</v>
          </cell>
          <cell r="E3728" t="str">
            <v>0749</v>
          </cell>
          <cell r="F3728" t="str">
            <v>C5</v>
          </cell>
          <cell r="G3728" t="str">
            <v>SP</v>
          </cell>
          <cell r="H3728" t="str">
            <v>DISTRIBUIÇÃO</v>
          </cell>
          <cell r="I3728" t="str">
            <v>FOOD SERVICE</v>
          </cell>
          <cell r="J3728" t="str">
            <v>FLAC 3</v>
          </cell>
          <cell r="K3728" t="str">
            <v>LACTALIS</v>
          </cell>
          <cell r="L3728" t="str">
            <v>RODRIGO</v>
          </cell>
          <cell r="M3728" t="str">
            <v>RAQUEL BARBOSA</v>
          </cell>
        </row>
        <row r="3729">
          <cell r="B3729">
            <v>5371289</v>
          </cell>
          <cell r="C3729" t="str">
            <v>YGB VAREJO BRASILEIRO LTDA</v>
          </cell>
          <cell r="D3729" t="str">
            <v>7001</v>
          </cell>
          <cell r="E3729" t="str">
            <v>0722</v>
          </cell>
          <cell r="F3729" t="str">
            <v>C1</v>
          </cell>
          <cell r="G3729" t="str">
            <v>SP</v>
          </cell>
          <cell r="H3729" t="str">
            <v>QSR</v>
          </cell>
          <cell r="I3729" t="str">
            <v>FOOD SERVICE</v>
          </cell>
          <cell r="J3729" t="str">
            <v>ANA MENIQUETE</v>
          </cell>
          <cell r="K3729" t="str">
            <v>LACTALIS</v>
          </cell>
          <cell r="L3729" t="str">
            <v>PEDRO</v>
          </cell>
          <cell r="M3729" t="str">
            <v>ANA MENIQUETE</v>
          </cell>
        </row>
        <row r="3730">
          <cell r="B3730">
            <v>5168151</v>
          </cell>
          <cell r="C3730" t="str">
            <v>I S M GOMES DE MATTOS LTDA</v>
          </cell>
          <cell r="D3730" t="str">
            <v>3001</v>
          </cell>
          <cell r="E3730" t="str">
            <v>0075</v>
          </cell>
          <cell r="F3730" t="str">
            <v>C1</v>
          </cell>
          <cell r="G3730" t="str">
            <v>CE</v>
          </cell>
          <cell r="H3730" t="str">
            <v>DISTRIBUIÇÃO</v>
          </cell>
          <cell r="I3730" t="str">
            <v>FOOD SERVICE</v>
          </cell>
          <cell r="J3730" t="str">
            <v>WH FOOD SERVICE CE</v>
          </cell>
          <cell r="K3730" t="str">
            <v>ITAMBÉ</v>
          </cell>
          <cell r="L3730" t="str">
            <v>RODRIGO</v>
          </cell>
          <cell r="M3730" t="str">
            <v>MARIA LOURDES</v>
          </cell>
        </row>
        <row r="3731">
          <cell r="B3731">
            <v>5214280</v>
          </cell>
          <cell r="C3731" t="str">
            <v>AN SABINO EMPREENDIMENTOS HOTE</v>
          </cell>
          <cell r="D3731" t="str">
            <v>7001</v>
          </cell>
          <cell r="E3731" t="str">
            <v>0749</v>
          </cell>
          <cell r="F3731" t="str">
            <v>C5</v>
          </cell>
          <cell r="G3731" t="str">
            <v>SP</v>
          </cell>
          <cell r="H3731" t="str">
            <v>DISTRIBUIÇÃO</v>
          </cell>
          <cell r="I3731" t="str">
            <v>FOOD SERVICE</v>
          </cell>
          <cell r="J3731" t="str">
            <v>FLAC 2</v>
          </cell>
          <cell r="K3731" t="str">
            <v>LACTALIS</v>
          </cell>
          <cell r="L3731" t="str">
            <v>RODRIGO</v>
          </cell>
          <cell r="M3731" t="str">
            <v>RAQUEL BARBOSA</v>
          </cell>
        </row>
        <row r="3732">
          <cell r="B3732">
            <v>5222398</v>
          </cell>
          <cell r="C3732" t="str">
            <v>GOURMET EXPRESS ALIMENTACAO LTD</v>
          </cell>
          <cell r="D3732" t="str">
            <v>6001</v>
          </cell>
          <cell r="E3732" t="str">
            <v>6125</v>
          </cell>
          <cell r="F3732" t="str">
            <v>C1</v>
          </cell>
          <cell r="G3732" t="str">
            <v>SP</v>
          </cell>
          <cell r="H3732" t="str">
            <v>DISTRIBUIÇÃO</v>
          </cell>
          <cell r="I3732" t="str">
            <v>FOOD SERVICE</v>
          </cell>
          <cell r="J3732" t="str">
            <v>SP ITB FS FLAC REP.E COMERCIO</v>
          </cell>
          <cell r="K3732" t="str">
            <v>ITAMBÉ</v>
          </cell>
          <cell r="L3732" t="str">
            <v>RODRIGO</v>
          </cell>
          <cell r="M3732" t="str">
            <v>RAQUEL BARBOSA</v>
          </cell>
        </row>
        <row r="3733">
          <cell r="B3733">
            <v>5230555</v>
          </cell>
          <cell r="C3733" t="str">
            <v>LEAL ROSA IND E COM E REPRES LT</v>
          </cell>
          <cell r="D3733" t="str">
            <v>7001</v>
          </cell>
          <cell r="E3733" t="str">
            <v>0749</v>
          </cell>
          <cell r="F3733" t="str">
            <v>C5</v>
          </cell>
          <cell r="G3733" t="str">
            <v>SP</v>
          </cell>
          <cell r="H3733" t="str">
            <v>DISTRIBUIÇÃO</v>
          </cell>
          <cell r="I3733" t="str">
            <v>FOOD SERVICE</v>
          </cell>
          <cell r="J3733" t="str">
            <v>FLAC 6</v>
          </cell>
          <cell r="K3733" t="str">
            <v>LACTALIS</v>
          </cell>
          <cell r="L3733" t="str">
            <v>RODRIGO</v>
          </cell>
          <cell r="M3733" t="str">
            <v>RAQUEL BARBOSA</v>
          </cell>
        </row>
        <row r="3734">
          <cell r="B3734">
            <v>5328091</v>
          </cell>
          <cell r="C3734" t="str">
            <v>AN LORENZO ITAIM GELATERIA LTD</v>
          </cell>
          <cell r="D3734" t="str">
            <v>7001</v>
          </cell>
          <cell r="E3734" t="str">
            <v>0749</v>
          </cell>
          <cell r="F3734" t="str">
            <v>C5</v>
          </cell>
          <cell r="G3734" t="str">
            <v>SP</v>
          </cell>
          <cell r="H3734" t="str">
            <v>DISTRIBUIÇÃO</v>
          </cell>
          <cell r="I3734" t="str">
            <v>FOOD SERVICE</v>
          </cell>
          <cell r="J3734" t="str">
            <v>FLAC 3</v>
          </cell>
          <cell r="K3734" t="str">
            <v>LACTALIS</v>
          </cell>
          <cell r="L3734" t="str">
            <v>RODRIGO</v>
          </cell>
          <cell r="M3734" t="str">
            <v>RAQUEL BARBOSA</v>
          </cell>
        </row>
        <row r="3735">
          <cell r="B3735">
            <v>5331746</v>
          </cell>
          <cell r="C3735" t="str">
            <v>EKOP GELATERIA LTDA</v>
          </cell>
          <cell r="D3735" t="str">
            <v>7001</v>
          </cell>
          <cell r="E3735" t="str">
            <v>0749</v>
          </cell>
          <cell r="F3735" t="str">
            <v>C5</v>
          </cell>
          <cell r="G3735" t="str">
            <v>SP</v>
          </cell>
          <cell r="H3735" t="str">
            <v>DISTRIBUIÇÃO</v>
          </cell>
          <cell r="I3735" t="str">
            <v>FOOD SERVICE</v>
          </cell>
          <cell r="J3735" t="str">
            <v>FLAC 3</v>
          </cell>
          <cell r="K3735" t="str">
            <v>LACTALIS</v>
          </cell>
          <cell r="L3735" t="str">
            <v>RODRIGO</v>
          </cell>
          <cell r="M3735" t="str">
            <v>RAQUEL BARBOSA</v>
          </cell>
        </row>
        <row r="3736">
          <cell r="B3736">
            <v>5370386</v>
          </cell>
          <cell r="C3736" t="str">
            <v>MATHEUS M ARAUJO 12710898667</v>
          </cell>
          <cell r="D3736" t="str">
            <v>3001</v>
          </cell>
          <cell r="E3736" t="str">
            <v>0028</v>
          </cell>
          <cell r="F3736" t="str">
            <v>C1</v>
          </cell>
          <cell r="G3736" t="str">
            <v>MG</v>
          </cell>
          <cell r="H3736" t="str">
            <v>INGREDIENTS</v>
          </cell>
          <cell r="I3736" t="str">
            <v>INGREDIENTS</v>
          </cell>
          <cell r="J3736" t="str">
            <v>HENRIQUE FERREIRA</v>
          </cell>
          <cell r="K3736" t="str">
            <v>ITAMBÉ</v>
          </cell>
          <cell r="L3736" t="str">
            <v>MAURICIO</v>
          </cell>
          <cell r="M3736" t="str">
            <v>JOEL</v>
          </cell>
        </row>
        <row r="3737">
          <cell r="B3737">
            <v>5371107</v>
          </cell>
          <cell r="C3737" t="str">
            <v>MIXUE BR LTDA</v>
          </cell>
          <cell r="D3737" t="str">
            <v>6001</v>
          </cell>
          <cell r="E3737" t="str">
            <v>6125</v>
          </cell>
          <cell r="F3737" t="str">
            <v>C1</v>
          </cell>
          <cell r="G3737" t="str">
            <v>SP</v>
          </cell>
          <cell r="H3737" t="str">
            <v>QSR</v>
          </cell>
          <cell r="I3737" t="str">
            <v>FOOD SERVICE</v>
          </cell>
          <cell r="J3737" t="str">
            <v>ANA MENIQUETE</v>
          </cell>
          <cell r="K3737" t="str">
            <v>ITAMBÉ</v>
          </cell>
          <cell r="L3737" t="str">
            <v>PEDRO</v>
          </cell>
          <cell r="M3737" t="str">
            <v>ANA MENIQUETE</v>
          </cell>
        </row>
        <row r="3738">
          <cell r="B3738">
            <v>5371414</v>
          </cell>
          <cell r="C3738" t="str">
            <v>FC DISTRIBUIDORA DE CHOCOLATES</v>
          </cell>
          <cell r="D3738" t="str">
            <v>3001</v>
          </cell>
          <cell r="E3738" t="str">
            <v>0126</v>
          </cell>
          <cell r="F3738" t="str">
            <v>C1</v>
          </cell>
          <cell r="G3738" t="str">
            <v>PR</v>
          </cell>
          <cell r="H3738" t="str">
            <v>DISTRIBUIÇÃO</v>
          </cell>
          <cell r="I3738" t="str">
            <v>FOOD SERVICE</v>
          </cell>
          <cell r="J3738" t="str">
            <v>ANGELICA BATISTELA</v>
          </cell>
          <cell r="K3738" t="str">
            <v>ITAMBÉ</v>
          </cell>
          <cell r="L3738" t="str">
            <v>RODRIGO</v>
          </cell>
          <cell r="M3738" t="str">
            <v>ANGELICA BATISTELA</v>
          </cell>
        </row>
        <row r="3739">
          <cell r="B3739">
            <v>5371598</v>
          </cell>
          <cell r="C3739" t="str">
            <v>GELO MIX SORVETES LTD</v>
          </cell>
          <cell r="D3739" t="str">
            <v>3001</v>
          </cell>
          <cell r="E3739" t="str">
            <v>0028</v>
          </cell>
          <cell r="F3739" t="str">
            <v>C1</v>
          </cell>
          <cell r="G3739" t="str">
            <v>MG</v>
          </cell>
          <cell r="H3739" t="str">
            <v>INGREDIENTS</v>
          </cell>
          <cell r="I3739" t="str">
            <v>INGREDIENTS</v>
          </cell>
          <cell r="J3739" t="str">
            <v>HENRIQUE FERREIRA</v>
          </cell>
          <cell r="K3739" t="str">
            <v>ITAMBÉ</v>
          </cell>
          <cell r="L3739" t="str">
            <v>MAURICIO</v>
          </cell>
          <cell r="M3739" t="str">
            <v>JOEL</v>
          </cell>
        </row>
        <row r="3740">
          <cell r="B3740">
            <v>5182903</v>
          </cell>
          <cell r="C3740" t="str">
            <v>CERVINO E MARTINEZ LTDA</v>
          </cell>
          <cell r="D3740" t="str">
            <v>3001</v>
          </cell>
          <cell r="E3740" t="str">
            <v>0127</v>
          </cell>
          <cell r="F3740" t="str">
            <v>C1</v>
          </cell>
          <cell r="G3740" t="str">
            <v>BA</v>
          </cell>
          <cell r="H3740" t="str">
            <v>DISTRIBUIÇÃO</v>
          </cell>
          <cell r="I3740" t="str">
            <v>FOOD SERVICE</v>
          </cell>
          <cell r="J3740" t="str">
            <v>CLAUDIO JORGE/LUIZ</v>
          </cell>
          <cell r="K3740" t="str">
            <v>ITAMBÉ</v>
          </cell>
          <cell r="L3740" t="str">
            <v>RODRIGO</v>
          </cell>
          <cell r="M3740" t="str">
            <v>MARIA LOURDES</v>
          </cell>
        </row>
        <row r="3741">
          <cell r="B3741">
            <v>5216119</v>
          </cell>
          <cell r="C3741" t="str">
            <v>GLOBAL QUALITY FOODS LTDA</v>
          </cell>
          <cell r="D3741" t="str">
            <v>6001</v>
          </cell>
          <cell r="E3741" t="str">
            <v>6028</v>
          </cell>
          <cell r="F3741" t="str">
            <v>C1</v>
          </cell>
          <cell r="G3741" t="str">
            <v>SP</v>
          </cell>
          <cell r="H3741" t="str">
            <v>INGREDIENTS</v>
          </cell>
          <cell r="I3741" t="str">
            <v>INGREDIENTS</v>
          </cell>
          <cell r="J3741" t="str">
            <v>HENRIQUE FERREIRA</v>
          </cell>
          <cell r="K3741" t="str">
            <v>ITAMBÉ</v>
          </cell>
          <cell r="L3741" t="str">
            <v>MAURICIO</v>
          </cell>
          <cell r="M3741" t="str">
            <v>JOEL</v>
          </cell>
        </row>
        <row r="3742">
          <cell r="B3742">
            <v>5336831</v>
          </cell>
          <cell r="C3742" t="str">
            <v>COMERCIO VAREJISTA DE SORVETES</v>
          </cell>
          <cell r="D3742" t="str">
            <v>7001</v>
          </cell>
          <cell r="E3742" t="str">
            <v>0722</v>
          </cell>
          <cell r="F3742" t="str">
            <v>C1</v>
          </cell>
          <cell r="G3742" t="str">
            <v>SP</v>
          </cell>
          <cell r="H3742" t="str">
            <v>QSR</v>
          </cell>
          <cell r="I3742" t="str">
            <v>FOOD SERVICE</v>
          </cell>
          <cell r="J3742" t="str">
            <v>ANA MENIQUETE</v>
          </cell>
          <cell r="K3742" t="str">
            <v>LACTALIS</v>
          </cell>
          <cell r="L3742" t="str">
            <v>PEDRO</v>
          </cell>
          <cell r="M3742" t="str">
            <v>ANA MENIQUETE</v>
          </cell>
        </row>
        <row r="3743">
          <cell r="B3743">
            <v>5023870</v>
          </cell>
          <cell r="C3743" t="str">
            <v>GOLD INDUSTRIA E COMERCIO LTDA</v>
          </cell>
          <cell r="D3743" t="str">
            <v>7001</v>
          </cell>
          <cell r="E3743" t="str">
            <v>0755</v>
          </cell>
          <cell r="F3743" t="str">
            <v>C1</v>
          </cell>
          <cell r="G3743" t="str">
            <v>PR</v>
          </cell>
          <cell r="H3743" t="str">
            <v>DISTRIBUIÇÃO</v>
          </cell>
          <cell r="I3743" t="str">
            <v>FOOD SERVICE</v>
          </cell>
          <cell r="J3743" t="str">
            <v>ANGELICA BATISTELA</v>
          </cell>
          <cell r="K3743" t="str">
            <v>LACTALIS</v>
          </cell>
          <cell r="L3743" t="str">
            <v>RODRIGO</v>
          </cell>
          <cell r="M3743" t="str">
            <v>ANGELICA BATISTELA</v>
          </cell>
        </row>
        <row r="3744">
          <cell r="B3744">
            <v>5371677</v>
          </cell>
          <cell r="C3744" t="str">
            <v>ALVILAC BRASIL LTDA</v>
          </cell>
          <cell r="D3744" t="str">
            <v>6001</v>
          </cell>
          <cell r="E3744" t="str">
            <v>6028</v>
          </cell>
          <cell r="F3744" t="str">
            <v>C1</v>
          </cell>
          <cell r="G3744" t="str">
            <v>SP</v>
          </cell>
          <cell r="H3744" t="str">
            <v>INGREDIENTS</v>
          </cell>
          <cell r="I3744" t="str">
            <v>INGREDIENTS</v>
          </cell>
          <cell r="J3744" t="str">
            <v>DLUM</v>
          </cell>
          <cell r="K3744" t="str">
            <v>ITAMBÉ</v>
          </cell>
          <cell r="L3744" t="str">
            <v>MAURICIO</v>
          </cell>
          <cell r="M3744" t="str">
            <v>JOEL</v>
          </cell>
        </row>
        <row r="3745">
          <cell r="B3745">
            <v>5333873</v>
          </cell>
          <cell r="C3745" t="str">
            <v>FJN ACAIS E SORVETES LTDA</v>
          </cell>
          <cell r="D3745" t="str">
            <v>6001</v>
          </cell>
          <cell r="E3745" t="str">
            <v>6028</v>
          </cell>
          <cell r="F3745" t="str">
            <v>C1</v>
          </cell>
          <cell r="G3745" t="str">
            <v>SP</v>
          </cell>
          <cell r="H3745" t="str">
            <v>INGREDIENTS</v>
          </cell>
          <cell r="I3745" t="str">
            <v>INGREDIENTS</v>
          </cell>
          <cell r="J3745" t="str">
            <v>TATIANA NITTA</v>
          </cell>
          <cell r="K3745" t="str">
            <v>ITAMBÉ</v>
          </cell>
          <cell r="L3745" t="str">
            <v>MAURICIO</v>
          </cell>
          <cell r="M3745" t="str">
            <v>TATIANA NITTA</v>
          </cell>
        </row>
        <row r="3746">
          <cell r="B3746">
            <v>5341010</v>
          </cell>
          <cell r="C3746" t="str">
            <v>TROPICALMEX IND E COM INTERN DE</v>
          </cell>
          <cell r="D3746" t="str">
            <v>3001</v>
          </cell>
          <cell r="E3746" t="str">
            <v>0028</v>
          </cell>
          <cell r="F3746" t="str">
            <v>C1</v>
          </cell>
          <cell r="G3746" t="str">
            <v>MG</v>
          </cell>
          <cell r="H3746" t="str">
            <v>INGREDIENTS</v>
          </cell>
          <cell r="I3746" t="str">
            <v>INGREDIENTS</v>
          </cell>
          <cell r="J3746" t="str">
            <v>HENRIQUE FERREIRA</v>
          </cell>
          <cell r="K3746" t="str">
            <v>ITAMBÉ</v>
          </cell>
          <cell r="L3746" t="str">
            <v>MAURICIO</v>
          </cell>
          <cell r="M3746" t="str">
            <v>JOEL</v>
          </cell>
        </row>
        <row r="3747">
          <cell r="B3747">
            <v>5371467</v>
          </cell>
          <cell r="C3747" t="str">
            <v>49148019 VICTOR NEVES DE SOUZA</v>
          </cell>
          <cell r="D3747" t="str">
            <v>7001</v>
          </cell>
          <cell r="E3747" t="str">
            <v>0749</v>
          </cell>
          <cell r="F3747" t="str">
            <v>C5</v>
          </cell>
          <cell r="G3747" t="str">
            <v>SP</v>
          </cell>
          <cell r="H3747" t="str">
            <v>DISTRIBUIÇÃO</v>
          </cell>
          <cell r="I3747" t="str">
            <v>FOOD SERVICE</v>
          </cell>
          <cell r="J3747" t="str">
            <v>FLAC 2</v>
          </cell>
          <cell r="K3747" t="str">
            <v>LACTALIS</v>
          </cell>
          <cell r="L3747" t="str">
            <v>RODRIGO</v>
          </cell>
          <cell r="M3747" t="str">
            <v>RAQUEL BARBOSA</v>
          </cell>
        </row>
        <row r="3748">
          <cell r="B3748">
            <v>5371694</v>
          </cell>
          <cell r="C3748" t="str">
            <v>NILMA FERREIRA DE MOURA SANTOS</v>
          </cell>
          <cell r="D3748" t="str">
            <v>7001</v>
          </cell>
          <cell r="E3748" t="str">
            <v>0749</v>
          </cell>
          <cell r="F3748" t="str">
            <v>C5</v>
          </cell>
          <cell r="G3748" t="str">
            <v>SP</v>
          </cell>
          <cell r="H3748" t="str">
            <v>DISTRIBUIÇÃO</v>
          </cell>
          <cell r="I3748" t="str">
            <v>FOOD SERVICE</v>
          </cell>
          <cell r="J3748" t="str">
            <v>FLAC 6</v>
          </cell>
          <cell r="K3748" t="str">
            <v>LACTALIS</v>
          </cell>
          <cell r="L3748" t="str">
            <v>RODRIGO</v>
          </cell>
          <cell r="M3748" t="str">
            <v>RAQUEL BARBOSA</v>
          </cell>
        </row>
        <row r="3749">
          <cell r="B3749">
            <v>5108416</v>
          </cell>
          <cell r="C3749" t="str">
            <v>FORNERIA LUCE RIO COM DE PROD A LTD</v>
          </cell>
          <cell r="D3749" t="str">
            <v>6001</v>
          </cell>
          <cell r="E3749" t="str">
            <v>6169</v>
          </cell>
          <cell r="F3749" t="str">
            <v>C1</v>
          </cell>
          <cell r="G3749" t="str">
            <v>RJ</v>
          </cell>
          <cell r="H3749" t="str">
            <v>DISTRIBUIÇÃO</v>
          </cell>
          <cell r="I3749" t="str">
            <v>FOOD SERVICE</v>
          </cell>
          <cell r="J3749" t="str">
            <v>JULIANA CORDEIRO</v>
          </cell>
          <cell r="K3749" t="str">
            <v>ITAMBÉ</v>
          </cell>
          <cell r="L3749" t="str">
            <v>RODRIGO</v>
          </cell>
          <cell r="M3749" t="str">
            <v>JESSICA</v>
          </cell>
        </row>
        <row r="3750">
          <cell r="B3750">
            <v>5111905</v>
          </cell>
          <cell r="C3750" t="str">
            <v>BIMBETTO ALIMENTOS LTDA</v>
          </cell>
          <cell r="D3750" t="str">
            <v>4001</v>
          </cell>
          <cell r="E3750" t="str">
            <v>0455</v>
          </cell>
          <cell r="F3750" t="str">
            <v>C1</v>
          </cell>
          <cell r="G3750" t="str">
            <v>PR</v>
          </cell>
          <cell r="H3750" t="str">
            <v>DISTRIBUIÇÃO</v>
          </cell>
          <cell r="I3750" t="str">
            <v>FOOD SERVICE</v>
          </cell>
          <cell r="J3750" t="str">
            <v>ANGELICA BATISTELA</v>
          </cell>
          <cell r="K3750" t="str">
            <v>LACTALIS</v>
          </cell>
          <cell r="L3750" t="str">
            <v>RODRIGO</v>
          </cell>
          <cell r="M3750" t="str">
            <v>ANGELICA BATISTELA</v>
          </cell>
        </row>
        <row r="3751">
          <cell r="B3751">
            <v>5166163</v>
          </cell>
          <cell r="C3751" t="str">
            <v>DISMAPRI COMERCIO IMP E EXP LTD</v>
          </cell>
          <cell r="D3751" t="str">
            <v>4001</v>
          </cell>
          <cell r="E3751" t="str">
            <v>0437</v>
          </cell>
          <cell r="F3751" t="str">
            <v>C1</v>
          </cell>
          <cell r="G3751" t="str">
            <v>SP</v>
          </cell>
          <cell r="H3751" t="str">
            <v>INGREDIENTS</v>
          </cell>
          <cell r="I3751" t="str">
            <v>INGREDIENTS</v>
          </cell>
          <cell r="J3751" t="str">
            <v>JOEL ELEOTÉRIO</v>
          </cell>
          <cell r="K3751" t="str">
            <v>LACTALIS</v>
          </cell>
          <cell r="L3751" t="str">
            <v>MAURICIO</v>
          </cell>
          <cell r="M3751" t="str">
            <v>JOEL</v>
          </cell>
        </row>
        <row r="3752">
          <cell r="B3752">
            <v>5360865</v>
          </cell>
          <cell r="C3752" t="str">
            <v>GRANZOTO FRIOS E LATICINIOS LTD</v>
          </cell>
          <cell r="D3752" t="str">
            <v>7001</v>
          </cell>
          <cell r="E3752" t="str">
            <v>0722</v>
          </cell>
          <cell r="F3752" t="str">
            <v>C1</v>
          </cell>
          <cell r="G3752" t="str">
            <v>SP</v>
          </cell>
          <cell r="H3752" t="str">
            <v>DISTRIBUIÇÃO</v>
          </cell>
          <cell r="I3752" t="str">
            <v>FOOD SERVICE</v>
          </cell>
          <cell r="J3752" t="str">
            <v>ALEXANDRE BONANI</v>
          </cell>
          <cell r="K3752" t="str">
            <v>LACTALIS</v>
          </cell>
          <cell r="L3752" t="str">
            <v>RODRIGO</v>
          </cell>
          <cell r="M3752" t="str">
            <v>ALEXANDRE BONANI</v>
          </cell>
        </row>
        <row r="3753">
          <cell r="B3753">
            <v>5165046</v>
          </cell>
          <cell r="C3753" t="str">
            <v>SLOOP IND COM DE ALIM LTDA</v>
          </cell>
          <cell r="D3753" t="str">
            <v>4001</v>
          </cell>
          <cell r="E3753" t="str">
            <v>0437</v>
          </cell>
          <cell r="F3753" t="str">
            <v>C1</v>
          </cell>
          <cell r="G3753" t="str">
            <v>RJ</v>
          </cell>
          <cell r="H3753" t="str">
            <v>INGREDIENTS</v>
          </cell>
          <cell r="I3753" t="str">
            <v>INGREDIENTS</v>
          </cell>
          <cell r="J3753" t="str">
            <v>TATIANA NITTA</v>
          </cell>
          <cell r="K3753" t="str">
            <v>LACTALIS</v>
          </cell>
          <cell r="L3753" t="str">
            <v>MAURICIO</v>
          </cell>
          <cell r="M3753" t="str">
            <v>TATIANA NITTA</v>
          </cell>
        </row>
        <row r="3754">
          <cell r="B3754">
            <v>5261997</v>
          </cell>
          <cell r="C3754" t="str">
            <v>Q NUTRE SERVICOS DE ALIMENTACAO LTD</v>
          </cell>
          <cell r="D3754" t="str">
            <v>7001</v>
          </cell>
          <cell r="E3754" t="str">
            <v>0749</v>
          </cell>
          <cell r="F3754" t="str">
            <v>C5</v>
          </cell>
          <cell r="G3754" t="str">
            <v>SP</v>
          </cell>
          <cell r="H3754" t="str">
            <v>DISTRIBUIÇÃO</v>
          </cell>
          <cell r="I3754" t="str">
            <v>FOOD SERVICE</v>
          </cell>
          <cell r="J3754" t="str">
            <v>FLAC 6</v>
          </cell>
          <cell r="K3754" t="str">
            <v>LACTALIS</v>
          </cell>
          <cell r="L3754" t="str">
            <v>RODRIGO</v>
          </cell>
          <cell r="M3754" t="str">
            <v>RAQUEL BARBOSA</v>
          </cell>
        </row>
        <row r="3755">
          <cell r="B3755">
            <v>5358195</v>
          </cell>
          <cell r="C3755" t="str">
            <v>CAMILA DE LIMA MENDES PIRES 4025105</v>
          </cell>
          <cell r="D3755" t="str">
            <v>7001</v>
          </cell>
          <cell r="E3755" t="str">
            <v>0739</v>
          </cell>
          <cell r="F3755" t="str">
            <v>C1</v>
          </cell>
          <cell r="G3755" t="str">
            <v>SP</v>
          </cell>
          <cell r="H3755" t="str">
            <v>DISTRIBUIÇÃO</v>
          </cell>
          <cell r="I3755" t="str">
            <v>FOOD SERVICE</v>
          </cell>
          <cell r="J3755" t="str">
            <v>FLAC 4</v>
          </cell>
          <cell r="K3755" t="str">
            <v>LACTALIS</v>
          </cell>
          <cell r="L3755" t="str">
            <v>RODRIGO</v>
          </cell>
          <cell r="M3755" t="str">
            <v>RAQUEL BARBOSA</v>
          </cell>
        </row>
        <row r="3756">
          <cell r="B3756">
            <v>5312284</v>
          </cell>
          <cell r="C3756" t="str">
            <v>BELLA COMERCIO DE EMBALAGENS LTDA</v>
          </cell>
          <cell r="D3756" t="str">
            <v>7001</v>
          </cell>
          <cell r="E3756" t="str">
            <v>0749</v>
          </cell>
          <cell r="F3756" t="str">
            <v>C5</v>
          </cell>
          <cell r="G3756" t="str">
            <v>SP</v>
          </cell>
          <cell r="H3756" t="str">
            <v>DISTRIBUIÇÃO</v>
          </cell>
          <cell r="I3756" t="str">
            <v>FOOD SERVICE</v>
          </cell>
          <cell r="J3756" t="str">
            <v>FLAC 3</v>
          </cell>
          <cell r="K3756" t="str">
            <v>LACTALIS</v>
          </cell>
          <cell r="L3756" t="str">
            <v>RODRIGO</v>
          </cell>
          <cell r="M3756" t="str">
            <v>RAQUEL BARBOSA</v>
          </cell>
        </row>
        <row r="3757">
          <cell r="B3757">
            <v>5369726</v>
          </cell>
          <cell r="C3757" t="str">
            <v>MAGNIFICA PAES LTDA</v>
          </cell>
          <cell r="D3757" t="str">
            <v>7001</v>
          </cell>
          <cell r="E3757" t="str">
            <v>0749</v>
          </cell>
          <cell r="F3757" t="str">
            <v>C5</v>
          </cell>
          <cell r="G3757" t="str">
            <v>SP</v>
          </cell>
          <cell r="H3757" t="str">
            <v>DISTRIBUIÇÃO</v>
          </cell>
          <cell r="I3757" t="str">
            <v>FOOD SERVICE</v>
          </cell>
          <cell r="J3757" t="str">
            <v>FLAC 2</v>
          </cell>
          <cell r="K3757" t="str">
            <v>LACTALIS</v>
          </cell>
          <cell r="L3757" t="str">
            <v>RODRIGO</v>
          </cell>
          <cell r="M3757" t="str">
            <v>RAQUEL BARBOSA</v>
          </cell>
        </row>
        <row r="3758">
          <cell r="B3758">
            <v>5370695</v>
          </cell>
          <cell r="C3758" t="str">
            <v>ATRIO HOTEIS SA</v>
          </cell>
          <cell r="D3758" t="str">
            <v>7001</v>
          </cell>
          <cell r="E3758" t="str">
            <v>0749</v>
          </cell>
          <cell r="F3758" t="str">
            <v>C5</v>
          </cell>
          <cell r="G3758" t="str">
            <v>SP</v>
          </cell>
          <cell r="H3758" t="str">
            <v>DISTRIBUIÇÃO</v>
          </cell>
          <cell r="I3758" t="str">
            <v>FOOD SERVICE</v>
          </cell>
          <cell r="J3758" t="str">
            <v>FLAC 3</v>
          </cell>
          <cell r="K3758" t="str">
            <v>LACTALIS</v>
          </cell>
          <cell r="L3758" t="str">
            <v>RODRIGO</v>
          </cell>
          <cell r="M3758" t="str">
            <v>RAQUEL BARBOSA</v>
          </cell>
        </row>
        <row r="3759">
          <cell r="B3759">
            <v>5182318</v>
          </cell>
          <cell r="C3759" t="str">
            <v>MARQUISE EMPREENDIMENTOS SA</v>
          </cell>
          <cell r="D3759" t="str">
            <v>3001</v>
          </cell>
          <cell r="E3759" t="str">
            <v>0127</v>
          </cell>
          <cell r="F3759" t="str">
            <v>C1</v>
          </cell>
          <cell r="G3759" t="str">
            <v>CE</v>
          </cell>
          <cell r="H3759" t="str">
            <v>DISTRIBUIÇÃO</v>
          </cell>
          <cell r="I3759" t="str">
            <v>FOOD SERVICE</v>
          </cell>
          <cell r="J3759" t="str">
            <v>WH FOOD SERVICE CE</v>
          </cell>
          <cell r="K3759" t="str">
            <v>ITAMBÉ</v>
          </cell>
          <cell r="L3759" t="str">
            <v>RODRIGO</v>
          </cell>
          <cell r="M3759" t="str">
            <v>MARIA LOURDES</v>
          </cell>
        </row>
        <row r="3760">
          <cell r="B3760">
            <v>5309626</v>
          </cell>
          <cell r="C3760" t="str">
            <v>RSG SABOREIE DOCES E SALGADOS L</v>
          </cell>
          <cell r="D3760" t="str">
            <v>3001</v>
          </cell>
          <cell r="E3760" t="str">
            <v>0009</v>
          </cell>
          <cell r="F3760" t="str">
            <v>C1</v>
          </cell>
          <cell r="G3760" t="str">
            <v>BA</v>
          </cell>
          <cell r="H3760" t="str">
            <v>DISTRIBUIÇÃO</v>
          </cell>
          <cell r="I3760" t="str">
            <v>FOOD SERVICE</v>
          </cell>
          <cell r="J3760" t="str">
            <v>CLAUDIO JORGE/LUIZ</v>
          </cell>
          <cell r="K3760" t="str">
            <v>ITAMBÉ</v>
          </cell>
          <cell r="L3760" t="str">
            <v>RODRIGO</v>
          </cell>
          <cell r="M3760" t="str">
            <v>MARIA LOURDES</v>
          </cell>
        </row>
        <row r="3761">
          <cell r="B3761">
            <v>5360865</v>
          </cell>
          <cell r="C3761" t="str">
            <v>GRANZOTO FRIOS E LATICINIOS LTDA</v>
          </cell>
          <cell r="D3761" t="str">
            <v>6001</v>
          </cell>
          <cell r="E3761" t="str">
            <v>6125</v>
          </cell>
          <cell r="F3761" t="str">
            <v>C1</v>
          </cell>
          <cell r="G3761" t="str">
            <v>SP</v>
          </cell>
          <cell r="H3761" t="str">
            <v>DISTRIBUIÇÃO</v>
          </cell>
          <cell r="I3761" t="str">
            <v>FOOD SERVICE</v>
          </cell>
          <cell r="J3761" t="str">
            <v>ALEXANDRE BONANI</v>
          </cell>
          <cell r="K3761" t="str">
            <v>ITAMBÉ</v>
          </cell>
          <cell r="L3761" t="str">
            <v>RODRIGO</v>
          </cell>
          <cell r="M3761" t="str">
            <v>RAQUEL BARBOSA</v>
          </cell>
        </row>
        <row r="3762">
          <cell r="B3762">
            <v>5371291</v>
          </cell>
          <cell r="C3762" t="str">
            <v>CERRO AZUL ALIMENTOS LTDA</v>
          </cell>
          <cell r="D3762" t="str">
            <v>7001</v>
          </cell>
          <cell r="E3762" t="str">
            <v>0755</v>
          </cell>
          <cell r="F3762" t="str">
            <v>C1</v>
          </cell>
          <cell r="G3762" t="str">
            <v>PR</v>
          </cell>
          <cell r="H3762" t="str">
            <v>DISTRIBUIÇÃO</v>
          </cell>
          <cell r="I3762" t="str">
            <v>FOOD SERVICE</v>
          </cell>
          <cell r="J3762" t="str">
            <v>ANGELICA BATISTELA</v>
          </cell>
          <cell r="K3762" t="str">
            <v>LACTALIS</v>
          </cell>
          <cell r="L3762" t="str">
            <v>RODRIGO</v>
          </cell>
          <cell r="M3762" t="str">
            <v>ANGELICA BATISTELA</v>
          </cell>
        </row>
        <row r="3763">
          <cell r="B3763">
            <v>5371512</v>
          </cell>
          <cell r="C3763" t="str">
            <v>LDN DISTRIBUIDORA LTDA</v>
          </cell>
          <cell r="D3763" t="str">
            <v>4001</v>
          </cell>
          <cell r="E3763" t="str">
            <v>0437</v>
          </cell>
          <cell r="F3763" t="str">
            <v>C1</v>
          </cell>
          <cell r="G3763" t="str">
            <v>SP</v>
          </cell>
          <cell r="H3763" t="str">
            <v>INGREDIENTS</v>
          </cell>
          <cell r="I3763" t="str">
            <v>INGREDIENTS</v>
          </cell>
          <cell r="J3763" t="str">
            <v>TATIANA NITTA</v>
          </cell>
          <cell r="K3763" t="str">
            <v>LACTALIS</v>
          </cell>
          <cell r="L3763" t="str">
            <v>MAURICIO</v>
          </cell>
          <cell r="M3763" t="str">
            <v>TATIANA NITTA</v>
          </cell>
        </row>
        <row r="3764">
          <cell r="B3764">
            <v>5367556</v>
          </cell>
          <cell r="C3764" t="str">
            <v>M FOODS LTDA</v>
          </cell>
          <cell r="D3764" t="str">
            <v>7001</v>
          </cell>
          <cell r="E3764" t="str">
            <v>0749</v>
          </cell>
          <cell r="F3764" t="str">
            <v>C5</v>
          </cell>
          <cell r="G3764" t="str">
            <v>SP</v>
          </cell>
          <cell r="H3764" t="str">
            <v>DISTRIBUIÇÃO</v>
          </cell>
          <cell r="I3764" t="str">
            <v>FOOD SERVICE</v>
          </cell>
          <cell r="J3764" t="str">
            <v>FLAC 6</v>
          </cell>
          <cell r="K3764" t="str">
            <v>LACTALIS</v>
          </cell>
          <cell r="L3764" t="str">
            <v>RODRIGO</v>
          </cell>
          <cell r="M3764" t="str">
            <v>RAQUEL BARBOSA</v>
          </cell>
        </row>
        <row r="3765">
          <cell r="B3765">
            <v>5367557</v>
          </cell>
          <cell r="C3765" t="str">
            <v>M FOODS LTDA</v>
          </cell>
          <cell r="D3765" t="str">
            <v>7001</v>
          </cell>
          <cell r="E3765" t="str">
            <v>0749</v>
          </cell>
          <cell r="F3765" t="str">
            <v>C5</v>
          </cell>
          <cell r="G3765" t="str">
            <v>SP</v>
          </cell>
          <cell r="H3765" t="str">
            <v>DISTRIBUIÇÃO</v>
          </cell>
          <cell r="I3765" t="str">
            <v>FOOD SERVICE</v>
          </cell>
          <cell r="J3765" t="str">
            <v>FLAC 6</v>
          </cell>
          <cell r="K3765" t="str">
            <v>LACTALIS</v>
          </cell>
          <cell r="L3765" t="str">
            <v>RODRIGO</v>
          </cell>
          <cell r="M3765" t="str">
            <v>RAQUEL BARBOSA</v>
          </cell>
        </row>
        <row r="3766">
          <cell r="B3766">
            <v>5372019</v>
          </cell>
          <cell r="C3766" t="str">
            <v>LCF GLOBAL FOODS LTDA</v>
          </cell>
          <cell r="D3766" t="str">
            <v>7001</v>
          </cell>
          <cell r="E3766" t="str">
            <v>0749</v>
          </cell>
          <cell r="F3766" t="str">
            <v>C5</v>
          </cell>
          <cell r="G3766" t="str">
            <v>SP</v>
          </cell>
          <cell r="H3766" t="str">
            <v>DISTRIBUIÇÃO</v>
          </cell>
          <cell r="I3766" t="str">
            <v>FOOD SERVICE</v>
          </cell>
          <cell r="J3766" t="str">
            <v>FLAC 6</v>
          </cell>
          <cell r="K3766" t="str">
            <v>LACTALIS</v>
          </cell>
          <cell r="L3766" t="str">
            <v>RODRIGO</v>
          </cell>
          <cell r="M3766" t="str">
            <v>RAQUEL BARBOSA</v>
          </cell>
        </row>
        <row r="3767">
          <cell r="B3767">
            <v>5136048</v>
          </cell>
          <cell r="C3767" t="str">
            <v>TARGUZ COMERCIO LTDA</v>
          </cell>
          <cell r="D3767" t="str">
            <v>7001</v>
          </cell>
          <cell r="E3767" t="str">
            <v>0782</v>
          </cell>
          <cell r="F3767" t="str">
            <v>C5</v>
          </cell>
          <cell r="G3767" t="str">
            <v>AL</v>
          </cell>
          <cell r="H3767" t="str">
            <v>DISTRIBUIÇÃO</v>
          </cell>
          <cell r="I3767" t="str">
            <v>FOOD SERVICE</v>
          </cell>
          <cell r="J3767" t="str">
            <v>CLAUDIO JORGE</v>
          </cell>
          <cell r="K3767" t="str">
            <v>LACTALIS</v>
          </cell>
          <cell r="L3767" t="str">
            <v>RODRIGO</v>
          </cell>
          <cell r="M3767" t="str">
            <v>MARIA LOURDES</v>
          </cell>
        </row>
        <row r="3768">
          <cell r="B3768">
            <v>5229985</v>
          </cell>
          <cell r="C3768" t="str">
            <v>FRANCISCO C LIMA DISTRIB DE ALIM LT</v>
          </cell>
          <cell r="D3768" t="str">
            <v>7001</v>
          </cell>
          <cell r="E3768" t="str">
            <v>0559</v>
          </cell>
          <cell r="F3768" t="str">
            <v>C5</v>
          </cell>
          <cell r="G3768" t="str">
            <v>CE</v>
          </cell>
          <cell r="H3768" t="str">
            <v>DISTRIBUIÇÃO</v>
          </cell>
          <cell r="I3768" t="str">
            <v>FOOD SERVICE</v>
          </cell>
          <cell r="J3768" t="str">
            <v>CLAUDIO JORGE</v>
          </cell>
          <cell r="K3768" t="str">
            <v>LACTALIS</v>
          </cell>
          <cell r="L3768" t="str">
            <v>RODRIGO</v>
          </cell>
          <cell r="M3768" t="str">
            <v>MARIA LOURDES</v>
          </cell>
        </row>
        <row r="3769">
          <cell r="B3769">
            <v>5263106</v>
          </cell>
          <cell r="C3769" t="str">
            <v>L R REST E LANCHONETE</v>
          </cell>
          <cell r="D3769" t="str">
            <v>7001</v>
          </cell>
          <cell r="E3769" t="str">
            <v>0749</v>
          </cell>
          <cell r="F3769" t="str">
            <v>C5</v>
          </cell>
          <cell r="G3769" t="str">
            <v>SP</v>
          </cell>
          <cell r="H3769" t="str">
            <v>DISTRIBUIÇÃO</v>
          </cell>
          <cell r="I3769" t="str">
            <v>FOOD SERVICE</v>
          </cell>
          <cell r="J3769" t="str">
            <v>FLAC 3</v>
          </cell>
          <cell r="K3769" t="str">
            <v>LACTALIS</v>
          </cell>
          <cell r="L3769" t="str">
            <v>RODRIGO</v>
          </cell>
          <cell r="M3769" t="str">
            <v>RAQUEL BARBOSA</v>
          </cell>
        </row>
        <row r="3770">
          <cell r="B3770">
            <v>5330772</v>
          </cell>
          <cell r="C3770" t="str">
            <v>A C R A VAREJO DE ALIMENTOS LTD</v>
          </cell>
          <cell r="D3770" t="str">
            <v>7001</v>
          </cell>
          <cell r="E3770" t="str">
            <v>0749</v>
          </cell>
          <cell r="F3770" t="str">
            <v>C5</v>
          </cell>
          <cell r="G3770" t="str">
            <v>SP</v>
          </cell>
          <cell r="H3770" t="str">
            <v>DISTRIBUIÇÃO</v>
          </cell>
          <cell r="I3770" t="str">
            <v>FOOD SERVICE</v>
          </cell>
          <cell r="J3770" t="str">
            <v>FLAC 3</v>
          </cell>
          <cell r="K3770" t="str">
            <v>LACTALIS</v>
          </cell>
          <cell r="L3770" t="str">
            <v>RODRIGO</v>
          </cell>
          <cell r="M3770" t="str">
            <v>RAQUEL BARBOSA</v>
          </cell>
        </row>
        <row r="3771">
          <cell r="B3771">
            <v>5371512</v>
          </cell>
          <cell r="C3771" t="str">
            <v>LDN DISTRIBUIDORA LTDA</v>
          </cell>
          <cell r="D3771" t="str">
            <v>6001</v>
          </cell>
          <cell r="E3771" t="str">
            <v>6028</v>
          </cell>
          <cell r="F3771" t="str">
            <v>C1</v>
          </cell>
          <cell r="G3771" t="str">
            <v>SP</v>
          </cell>
          <cell r="H3771" t="str">
            <v>INGREDIENTS</v>
          </cell>
          <cell r="I3771" t="str">
            <v>INGREDIENTS</v>
          </cell>
          <cell r="J3771" t="str">
            <v>TATIANA NITTA</v>
          </cell>
          <cell r="K3771" t="str">
            <v>ITAMBÉ</v>
          </cell>
          <cell r="L3771" t="str">
            <v>MAURICIO</v>
          </cell>
          <cell r="M3771" t="str">
            <v>TATIANA NITTA</v>
          </cell>
        </row>
        <row r="3772">
          <cell r="B3772">
            <v>5371725</v>
          </cell>
          <cell r="C3772" t="str">
            <v>SO GELO DISTRIBUIDORA LTDA</v>
          </cell>
          <cell r="D3772" t="str">
            <v>3001</v>
          </cell>
          <cell r="E3772" t="str">
            <v>0028</v>
          </cell>
          <cell r="F3772" t="str">
            <v>C1</v>
          </cell>
          <cell r="G3772" t="str">
            <v>MG</v>
          </cell>
          <cell r="H3772" t="str">
            <v>INGREDIENTS</v>
          </cell>
          <cell r="I3772" t="str">
            <v>INGREDIENTS</v>
          </cell>
          <cell r="J3772" t="str">
            <v>HENRIQUE FERREIRA</v>
          </cell>
          <cell r="K3772" t="str">
            <v>ITAMBÉ</v>
          </cell>
          <cell r="L3772" t="str">
            <v>MAURICIO</v>
          </cell>
          <cell r="M3772" t="str">
            <v>JOEL</v>
          </cell>
        </row>
        <row r="3773">
          <cell r="B3773">
            <v>5372000</v>
          </cell>
          <cell r="C3773" t="str">
            <v>BARBAROSA GASTRONOMIA LTDA</v>
          </cell>
          <cell r="D3773" t="str">
            <v>7001</v>
          </cell>
          <cell r="E3773" t="str">
            <v>0749</v>
          </cell>
          <cell r="F3773" t="str">
            <v>C5</v>
          </cell>
          <cell r="G3773" t="str">
            <v>SP</v>
          </cell>
          <cell r="H3773" t="str">
            <v>DISTRIBUIÇÃO</v>
          </cell>
          <cell r="I3773" t="str">
            <v>FOOD SERVICE</v>
          </cell>
          <cell r="J3773" t="str">
            <v>FLAC 3</v>
          </cell>
          <cell r="K3773" t="str">
            <v>LACTALIS</v>
          </cell>
          <cell r="L3773" t="str">
            <v>RODRIGO</v>
          </cell>
          <cell r="M3773" t="str">
            <v>RAQUEL BARBOSA</v>
          </cell>
        </row>
        <row r="3774">
          <cell r="B3774">
            <v>5372115</v>
          </cell>
          <cell r="C3774" t="str">
            <v>A R R A COM VAR DE MERC EM GERA</v>
          </cell>
          <cell r="D3774" t="str">
            <v>7001</v>
          </cell>
          <cell r="E3774" t="str">
            <v>0749</v>
          </cell>
          <cell r="F3774" t="str">
            <v>C5</v>
          </cell>
          <cell r="G3774" t="str">
            <v>SP</v>
          </cell>
          <cell r="H3774" t="str">
            <v>DISTRIBUIÇÃO</v>
          </cell>
          <cell r="I3774" t="str">
            <v>FOOD SERVICE</v>
          </cell>
          <cell r="J3774" t="str">
            <v>FLAC 3</v>
          </cell>
          <cell r="K3774" t="str">
            <v>LACTALIS</v>
          </cell>
          <cell r="L3774" t="str">
            <v>RODRIGO</v>
          </cell>
          <cell r="M3774" t="str">
            <v>RAQUEL BARBOSA</v>
          </cell>
        </row>
        <row r="3775">
          <cell r="B3775">
            <v>5009911</v>
          </cell>
          <cell r="C3775" t="str">
            <v>DOMICILI IND COM DE ALIMENTOS LTDA</v>
          </cell>
          <cell r="D3775" t="str">
            <v>6001</v>
          </cell>
          <cell r="E3775" t="str">
            <v>6125</v>
          </cell>
          <cell r="F3775" t="str">
            <v>C1</v>
          </cell>
          <cell r="G3775" t="str">
            <v>SP</v>
          </cell>
          <cell r="H3775" t="str">
            <v>DISTRIBUIÇÃO</v>
          </cell>
          <cell r="I3775" t="str">
            <v>FOOD SERVICE</v>
          </cell>
          <cell r="J3775" t="str">
            <v>SP ITB FS FLAC REP.E COMERCIO</v>
          </cell>
          <cell r="K3775" t="str">
            <v>ITAMBÉ</v>
          </cell>
          <cell r="L3775" t="str">
            <v>RODRIGO</v>
          </cell>
          <cell r="M3775" t="str">
            <v>RAQUEL BARBOSA</v>
          </cell>
        </row>
        <row r="3776">
          <cell r="B3776">
            <v>5083201</v>
          </cell>
          <cell r="C3776" t="str">
            <v>SILVA BRAGA COML DE ALIMENTOS L</v>
          </cell>
          <cell r="D3776" t="str">
            <v>3001</v>
          </cell>
          <cell r="E3776" t="str">
            <v>0127</v>
          </cell>
          <cell r="F3776" t="str">
            <v>C1</v>
          </cell>
          <cell r="G3776" t="str">
            <v>CE</v>
          </cell>
          <cell r="H3776" t="str">
            <v>DISTRIBUIÇÃO</v>
          </cell>
          <cell r="I3776" t="str">
            <v>FOOD SERVICE</v>
          </cell>
          <cell r="J3776" t="str">
            <v>WH FOOD SERVICE CE</v>
          </cell>
          <cell r="K3776" t="str">
            <v>ITAMBÉ</v>
          </cell>
          <cell r="L3776" t="str">
            <v>RODRIGO</v>
          </cell>
          <cell r="M3776" t="str">
            <v>MARIA LOURDES</v>
          </cell>
        </row>
        <row r="3777">
          <cell r="B3777">
            <v>5133664</v>
          </cell>
          <cell r="C3777" t="str">
            <v>PADEIRAO COMERCIO PROD PARA PAN</v>
          </cell>
          <cell r="D3777" t="str">
            <v>7001</v>
          </cell>
          <cell r="E3777" t="str">
            <v>0585</v>
          </cell>
          <cell r="F3777" t="str">
            <v>C5</v>
          </cell>
          <cell r="G3777" t="str">
            <v>PE</v>
          </cell>
          <cell r="H3777" t="str">
            <v>DISTRIBUIÇÃO</v>
          </cell>
          <cell r="I3777" t="str">
            <v>FOOD SERVICE</v>
          </cell>
          <cell r="J3777" t="str">
            <v>CLAUDIO JORGE</v>
          </cell>
          <cell r="K3777" t="str">
            <v>LACTALIS</v>
          </cell>
          <cell r="L3777" t="str">
            <v>RODRIGO</v>
          </cell>
          <cell r="M3777" t="str">
            <v>MARIA LOURDES</v>
          </cell>
        </row>
        <row r="3778">
          <cell r="B3778">
            <v>5227470</v>
          </cell>
          <cell r="C3778" t="str">
            <v>PANDURATA ALIMENTOS LTDA</v>
          </cell>
          <cell r="D3778" t="str">
            <v>4001</v>
          </cell>
          <cell r="E3778" t="str">
            <v>0437</v>
          </cell>
          <cell r="F3778" t="str">
            <v>C1</v>
          </cell>
          <cell r="G3778" t="str">
            <v>SP</v>
          </cell>
          <cell r="H3778" t="str">
            <v>INGREDIENTS</v>
          </cell>
          <cell r="I3778" t="str">
            <v>INGREDIENTS</v>
          </cell>
          <cell r="J3778" t="str">
            <v>JOEL ELEOTÉRIO</v>
          </cell>
          <cell r="K3778" t="str">
            <v>LACTALIS</v>
          </cell>
          <cell r="L3778" t="str">
            <v>MAURICIO</v>
          </cell>
          <cell r="M3778" t="str">
            <v>JOEL</v>
          </cell>
        </row>
        <row r="3779">
          <cell r="B3779">
            <v>5311373</v>
          </cell>
          <cell r="C3779" t="str">
            <v>FENIX FOODS ALIMENTOS LTDA</v>
          </cell>
          <cell r="D3779" t="str">
            <v>6001</v>
          </cell>
          <cell r="E3779" t="str">
            <v>6125</v>
          </cell>
          <cell r="F3779" t="str">
            <v>C1</v>
          </cell>
          <cell r="G3779" t="str">
            <v>SP</v>
          </cell>
          <cell r="H3779" t="str">
            <v>DISTRIBUIÇÃO</v>
          </cell>
          <cell r="I3779" t="str">
            <v>FOOD SERVICE</v>
          </cell>
          <cell r="J3779" t="str">
            <v>SP ITB FS FLAC REP.E COMERCIO</v>
          </cell>
          <cell r="K3779" t="str">
            <v>ITAMBÉ</v>
          </cell>
          <cell r="L3779" t="str">
            <v>RODRIGO</v>
          </cell>
          <cell r="M3779" t="str">
            <v>RAQUEL BARBOSA</v>
          </cell>
        </row>
        <row r="3780">
          <cell r="B3780">
            <v>5336848</v>
          </cell>
          <cell r="C3780" t="str">
            <v>MORUMBI COM DE SORVETES LTDA</v>
          </cell>
          <cell r="D3780" t="str">
            <v>7001</v>
          </cell>
          <cell r="E3780" t="str">
            <v>0722</v>
          </cell>
          <cell r="F3780" t="str">
            <v>C1</v>
          </cell>
          <cell r="G3780" t="str">
            <v>SP</v>
          </cell>
          <cell r="H3780" t="str">
            <v>QSR</v>
          </cell>
          <cell r="I3780" t="str">
            <v>FOOD SERVICE</v>
          </cell>
          <cell r="J3780" t="str">
            <v>ANA MENIQUETE</v>
          </cell>
          <cell r="K3780" t="str">
            <v>LACTALIS</v>
          </cell>
          <cell r="L3780" t="str">
            <v>PEDRO</v>
          </cell>
          <cell r="M3780" t="str">
            <v>ANA MENIQUETE</v>
          </cell>
        </row>
        <row r="3781">
          <cell r="B3781">
            <v>5367902</v>
          </cell>
          <cell r="C3781" t="str">
            <v>AMMAI SERVICOS DE CATERING LTDA</v>
          </cell>
          <cell r="D3781" t="str">
            <v>7001</v>
          </cell>
          <cell r="E3781" t="str">
            <v>0749</v>
          </cell>
          <cell r="F3781" t="str">
            <v>C5</v>
          </cell>
          <cell r="G3781" t="str">
            <v>SP</v>
          </cell>
          <cell r="H3781" t="str">
            <v>DISTRIBUIÇÃO</v>
          </cell>
          <cell r="I3781" t="str">
            <v>FOOD SERVICE</v>
          </cell>
          <cell r="J3781" t="str">
            <v>FLAC 6</v>
          </cell>
          <cell r="K3781" t="str">
            <v>LACTALIS</v>
          </cell>
          <cell r="L3781" t="str">
            <v>RODRIGO</v>
          </cell>
          <cell r="M3781" t="str">
            <v>RAQUEL BARBOSA</v>
          </cell>
        </row>
        <row r="3782">
          <cell r="B3782">
            <v>5371376</v>
          </cell>
          <cell r="C3782" t="str">
            <v>TAMBORE CAFE LTDA</v>
          </cell>
          <cell r="D3782" t="str">
            <v>7001</v>
          </cell>
          <cell r="E3782" t="str">
            <v>0749</v>
          </cell>
          <cell r="F3782" t="str">
            <v>C5</v>
          </cell>
          <cell r="G3782" t="str">
            <v>SP</v>
          </cell>
          <cell r="H3782" t="str">
            <v>DISTRIBUIÇÃO</v>
          </cell>
          <cell r="I3782" t="str">
            <v>FOOD SERVICE</v>
          </cell>
          <cell r="J3782" t="str">
            <v>FLAC 5</v>
          </cell>
          <cell r="K3782" t="str">
            <v>LACTALIS</v>
          </cell>
          <cell r="L3782" t="str">
            <v>RODRIGO</v>
          </cell>
          <cell r="M3782" t="str">
            <v>RAQUEL BARBOSA</v>
          </cell>
        </row>
        <row r="3783">
          <cell r="B3783">
            <v>5371951</v>
          </cell>
          <cell r="C3783" t="str">
            <v>B E A COMERCIO ALIMENTICIO LTDA</v>
          </cell>
          <cell r="D3783" t="str">
            <v>3001</v>
          </cell>
          <cell r="E3783" t="str">
            <v>0028</v>
          </cell>
          <cell r="F3783" t="str">
            <v>C1</v>
          </cell>
          <cell r="G3783" t="str">
            <v>PE</v>
          </cell>
          <cell r="H3783" t="str">
            <v>INGREDIENTS</v>
          </cell>
          <cell r="I3783" t="str">
            <v>INGREDIENTS</v>
          </cell>
          <cell r="J3783" t="str">
            <v>JOEL ELEOTÉRIO</v>
          </cell>
          <cell r="K3783" t="str">
            <v>ITAMBÉ</v>
          </cell>
          <cell r="L3783" t="str">
            <v>MAURICIO</v>
          </cell>
          <cell r="M3783" t="str">
            <v>JOEL</v>
          </cell>
        </row>
        <row r="3784">
          <cell r="B3784">
            <v>5167791</v>
          </cell>
          <cell r="C3784" t="str">
            <v>DAN VIGOR IND E COM DE LATICINIOS L</v>
          </cell>
          <cell r="D3784" t="str">
            <v>4001</v>
          </cell>
          <cell r="E3784" t="str">
            <v>0445</v>
          </cell>
          <cell r="F3784" t="str">
            <v>C7</v>
          </cell>
          <cell r="G3784" t="str">
            <v>SP</v>
          </cell>
          <cell r="H3784" t="str">
            <v>INGREDIENTS</v>
          </cell>
          <cell r="I3784" t="str">
            <v>INGREDIENTS</v>
          </cell>
          <cell r="J3784" t="str">
            <v>JOEL ELEOTÉRIO</v>
          </cell>
          <cell r="K3784" t="str">
            <v>LACTALIS</v>
          </cell>
          <cell r="L3784" t="str">
            <v>MAURICIO</v>
          </cell>
          <cell r="M3784" t="str">
            <v>JOEL</v>
          </cell>
        </row>
        <row r="3785">
          <cell r="B3785">
            <v>5371004</v>
          </cell>
          <cell r="C3785" t="str">
            <v>VANDERLEI VICENTE</v>
          </cell>
          <cell r="D3785" t="str">
            <v>7001</v>
          </cell>
          <cell r="E3785" t="str">
            <v>0749</v>
          </cell>
          <cell r="F3785" t="str">
            <v>C5</v>
          </cell>
          <cell r="G3785" t="str">
            <v>SP</v>
          </cell>
          <cell r="H3785" t="str">
            <v>DISTRIBUIÇÃO</v>
          </cell>
          <cell r="I3785" t="str">
            <v>FOOD SERVICE</v>
          </cell>
          <cell r="J3785" t="str">
            <v>FLAC 3</v>
          </cell>
          <cell r="K3785" t="str">
            <v>LACTALIS</v>
          </cell>
          <cell r="L3785" t="str">
            <v>RODRIGO</v>
          </cell>
          <cell r="M3785" t="str">
            <v>RAQUEL BARBOSA</v>
          </cell>
        </row>
        <row r="3786">
          <cell r="B3786">
            <v>5371999</v>
          </cell>
          <cell r="C3786" t="str">
            <v>HOTEL ARUJA LTDA</v>
          </cell>
          <cell r="D3786" t="str">
            <v>7001</v>
          </cell>
          <cell r="E3786" t="str">
            <v>0749</v>
          </cell>
          <cell r="F3786" t="str">
            <v>C5</v>
          </cell>
          <cell r="G3786" t="str">
            <v>SP</v>
          </cell>
          <cell r="H3786" t="str">
            <v>DISTRIBUIÇÃO</v>
          </cell>
          <cell r="I3786" t="str">
            <v>FOOD SERVICE</v>
          </cell>
          <cell r="J3786" t="str">
            <v>FLAC 3</v>
          </cell>
          <cell r="K3786" t="str">
            <v>LACTALIS</v>
          </cell>
          <cell r="L3786" t="str">
            <v>RODRIGO</v>
          </cell>
          <cell r="M3786" t="str">
            <v>RAQUEL BARBOSA</v>
          </cell>
        </row>
        <row r="3787">
          <cell r="B3787">
            <v>5372182</v>
          </cell>
          <cell r="C3787" t="str">
            <v>TRIBO GOURMET VILA MARIANA II L</v>
          </cell>
          <cell r="D3787" t="str">
            <v>7001</v>
          </cell>
          <cell r="E3787" t="str">
            <v>0749</v>
          </cell>
          <cell r="F3787" t="str">
            <v>C5</v>
          </cell>
          <cell r="G3787" t="str">
            <v>SP</v>
          </cell>
          <cell r="H3787" t="str">
            <v>DISTRIBUIÇÃO</v>
          </cell>
          <cell r="I3787" t="str">
            <v>FOOD SERVICE</v>
          </cell>
          <cell r="J3787" t="str">
            <v>FLAC 3</v>
          </cell>
          <cell r="K3787" t="str">
            <v>LACTALIS</v>
          </cell>
          <cell r="L3787" t="str">
            <v>RODRIGO</v>
          </cell>
          <cell r="M3787" t="str">
            <v>RAQUEL BARBOSA</v>
          </cell>
        </row>
        <row r="3788">
          <cell r="B3788">
            <v>5253195</v>
          </cell>
          <cell r="C3788" t="str">
            <v>GALERIA DO QUEIJO LTDA</v>
          </cell>
          <cell r="D3788" t="str">
            <v>7001</v>
          </cell>
          <cell r="E3788" t="str">
            <v>0749</v>
          </cell>
          <cell r="F3788" t="str">
            <v>C5</v>
          </cell>
          <cell r="G3788" t="str">
            <v>SP</v>
          </cell>
          <cell r="H3788" t="str">
            <v>DISTRIBUIÇÃO</v>
          </cell>
          <cell r="I3788" t="str">
            <v>FOOD SERVICE</v>
          </cell>
          <cell r="J3788" t="str">
            <v>FLAC 10</v>
          </cell>
          <cell r="K3788" t="str">
            <v>LACTALIS</v>
          </cell>
          <cell r="L3788" t="str">
            <v>RODRIGO</v>
          </cell>
          <cell r="M3788" t="str">
            <v>RAQUEL BARBOSA</v>
          </cell>
        </row>
        <row r="3789">
          <cell r="B3789">
            <v>5352264</v>
          </cell>
          <cell r="C3789" t="str">
            <v>DOM PASTEL ALIMENTOS LTDA</v>
          </cell>
          <cell r="D3789" t="str">
            <v>3001</v>
          </cell>
          <cell r="E3789" t="str">
            <v>0127</v>
          </cell>
          <cell r="F3789" t="str">
            <v>C1</v>
          </cell>
          <cell r="G3789" t="str">
            <v>CE</v>
          </cell>
          <cell r="H3789" t="str">
            <v>QSR</v>
          </cell>
          <cell r="I3789" t="str">
            <v>FOOD SERVICE</v>
          </cell>
          <cell r="J3789" t="str">
            <v>VAGO QSR</v>
          </cell>
          <cell r="K3789" t="str">
            <v>ITAMBÉ</v>
          </cell>
          <cell r="L3789" t="str">
            <v>PEDRO</v>
          </cell>
          <cell r="M3789" t="str">
            <v>VAGO QSR</v>
          </cell>
        </row>
        <row r="3790">
          <cell r="B3790">
            <v>5367607</v>
          </cell>
          <cell r="C3790" t="str">
            <v>BANELLA BAKERY CAFE E BISTRO LT</v>
          </cell>
          <cell r="D3790" t="str">
            <v>7001</v>
          </cell>
          <cell r="E3790" t="str">
            <v>0749</v>
          </cell>
          <cell r="F3790" t="str">
            <v>C5</v>
          </cell>
          <cell r="G3790" t="str">
            <v>SP</v>
          </cell>
          <cell r="H3790" t="str">
            <v>DISTRIBUIÇÃO</v>
          </cell>
          <cell r="I3790" t="str">
            <v>FOOD SERVICE</v>
          </cell>
          <cell r="J3790" t="str">
            <v>FLAC 3</v>
          </cell>
          <cell r="K3790" t="str">
            <v>LACTALIS</v>
          </cell>
          <cell r="L3790" t="str">
            <v>RODRIGO</v>
          </cell>
          <cell r="M3790" t="str">
            <v>RAQUEL BARBOSA</v>
          </cell>
        </row>
        <row r="3791">
          <cell r="B3791">
            <v>5370234</v>
          </cell>
          <cell r="C3791" t="str">
            <v>DAN INN HOTEL LTDA</v>
          </cell>
          <cell r="D3791" t="str">
            <v>7001</v>
          </cell>
          <cell r="E3791" t="str">
            <v>0749</v>
          </cell>
          <cell r="F3791" t="str">
            <v>C5</v>
          </cell>
          <cell r="G3791" t="str">
            <v>SP</v>
          </cell>
          <cell r="H3791" t="str">
            <v>DISTRIBUIÇÃO</v>
          </cell>
          <cell r="I3791" t="str">
            <v>FOOD SERVICE</v>
          </cell>
          <cell r="J3791" t="str">
            <v>FLAC 7</v>
          </cell>
          <cell r="K3791" t="str">
            <v>LACTALIS</v>
          </cell>
          <cell r="L3791" t="str">
            <v>RODRIGO</v>
          </cell>
          <cell r="M3791" t="str">
            <v>RAQUEL BARBOSA</v>
          </cell>
        </row>
        <row r="3792">
          <cell r="B3792">
            <v>5371230</v>
          </cell>
          <cell r="C3792" t="str">
            <v>GONTIJO VIEIRA DISTRIB DE ALIM</v>
          </cell>
          <cell r="D3792" t="str">
            <v>4001</v>
          </cell>
          <cell r="E3792" t="str">
            <v>0458</v>
          </cell>
          <cell r="F3792" t="str">
            <v>C1</v>
          </cell>
          <cell r="G3792" t="str">
            <v>MG</v>
          </cell>
          <cell r="H3792" t="str">
            <v>INGREDIENTS</v>
          </cell>
          <cell r="I3792" t="str">
            <v>INGREDIENTS</v>
          </cell>
          <cell r="J3792" t="str">
            <v>MARCELO RODRIGUES</v>
          </cell>
          <cell r="K3792" t="str">
            <v>LACTALIS</v>
          </cell>
          <cell r="L3792" t="str">
            <v>MAURICIO</v>
          </cell>
          <cell r="M3792" t="str">
            <v>MARCELO</v>
          </cell>
        </row>
        <row r="3793">
          <cell r="B3793">
            <v>5371406</v>
          </cell>
          <cell r="C3793" t="str">
            <v>BAR DA ESQUINA RESTAURANTE LTDA</v>
          </cell>
          <cell r="D3793" t="str">
            <v>7001</v>
          </cell>
          <cell r="E3793" t="str">
            <v>0749</v>
          </cell>
          <cell r="F3793" t="str">
            <v>C5</v>
          </cell>
          <cell r="G3793" t="str">
            <v>SP</v>
          </cell>
          <cell r="H3793" t="str">
            <v>DISTRIBUIÇÃO</v>
          </cell>
          <cell r="I3793" t="str">
            <v>FOOD SERVICE</v>
          </cell>
          <cell r="J3793" t="str">
            <v>FLAC 3</v>
          </cell>
          <cell r="K3793" t="str">
            <v>LACTALIS</v>
          </cell>
          <cell r="L3793" t="str">
            <v>RODRIGO</v>
          </cell>
          <cell r="M3793" t="str">
            <v>RAQUEL BARBOSA</v>
          </cell>
        </row>
        <row r="3794">
          <cell r="B3794">
            <v>5008478</v>
          </cell>
          <cell r="C3794" t="str">
            <v>JCA FOODS COM DE PROD ALIM LTDA</v>
          </cell>
          <cell r="D3794" t="str">
            <v>3001</v>
          </cell>
          <cell r="E3794" t="str">
            <v>0125</v>
          </cell>
          <cell r="F3794" t="str">
            <v>C1</v>
          </cell>
          <cell r="G3794" t="str">
            <v>SP</v>
          </cell>
          <cell r="H3794" t="str">
            <v>DISTRIBUIÇÃO</v>
          </cell>
          <cell r="I3794" t="str">
            <v>FOOD SERVICE</v>
          </cell>
          <cell r="J3794" t="str">
            <v>VAGO SP</v>
          </cell>
          <cell r="K3794" t="str">
            <v>ITAMBÉ</v>
          </cell>
          <cell r="L3794" t="str">
            <v>RODRIGO</v>
          </cell>
          <cell r="M3794" t="str">
            <v>RAQUEL BARBOSA</v>
          </cell>
        </row>
        <row r="3795">
          <cell r="B3795">
            <v>5020352</v>
          </cell>
          <cell r="C3795" t="str">
            <v>SPAN VALE COM DE PROD ALIM LTDA</v>
          </cell>
          <cell r="D3795" t="str">
            <v>3001</v>
          </cell>
          <cell r="E3795" t="str">
            <v>0125</v>
          </cell>
          <cell r="F3795" t="str">
            <v>C1</v>
          </cell>
          <cell r="G3795" t="str">
            <v>SP</v>
          </cell>
          <cell r="H3795" t="str">
            <v>DISTRIBUIÇÃO</v>
          </cell>
          <cell r="I3795" t="str">
            <v>FOOD SERVICE</v>
          </cell>
          <cell r="J3795" t="str">
            <v>GUILHERME NASCIMENTO</v>
          </cell>
          <cell r="K3795" t="str">
            <v>ITAMBÉ</v>
          </cell>
          <cell r="L3795" t="str">
            <v>RODRIGO</v>
          </cell>
          <cell r="M3795" t="str">
            <v>ALEXANDRO</v>
          </cell>
        </row>
        <row r="3796">
          <cell r="B3796">
            <v>5271447</v>
          </cell>
          <cell r="C3796" t="str">
            <v>NOBREDO COMERCIO E LOGISTICA LT</v>
          </cell>
          <cell r="D3796" t="str">
            <v>3001</v>
          </cell>
          <cell r="E3796" t="str">
            <v>0169</v>
          </cell>
          <cell r="F3796" t="str">
            <v>C1</v>
          </cell>
          <cell r="G3796" t="str">
            <v>ES</v>
          </cell>
          <cell r="H3796" t="str">
            <v>DISTRIBUIÇÃO</v>
          </cell>
          <cell r="I3796" t="str">
            <v>FOOD SERVICE</v>
          </cell>
          <cell r="J3796" t="str">
            <v>LUCIANA MARTINS</v>
          </cell>
          <cell r="K3796" t="str">
            <v>ITAMBÉ</v>
          </cell>
          <cell r="L3796" t="str">
            <v>RODRIGO</v>
          </cell>
          <cell r="M3796" t="str">
            <v>JESSICA</v>
          </cell>
        </row>
        <row r="3797">
          <cell r="B3797">
            <v>5343413</v>
          </cell>
          <cell r="C3797" t="str">
            <v>ELEVEN CASE COM VAR DE ALIM LTD</v>
          </cell>
          <cell r="D3797" t="str">
            <v>7001</v>
          </cell>
          <cell r="E3797" t="str">
            <v>0749</v>
          </cell>
          <cell r="F3797" t="str">
            <v>C5</v>
          </cell>
          <cell r="G3797" t="str">
            <v>SP</v>
          </cell>
          <cell r="H3797" t="str">
            <v>DISTRIBUIÇÃO</v>
          </cell>
          <cell r="I3797" t="str">
            <v>FOOD SERVICE</v>
          </cell>
          <cell r="J3797" t="str">
            <v>FLAC 3</v>
          </cell>
          <cell r="K3797" t="str">
            <v>LACTALIS</v>
          </cell>
          <cell r="L3797" t="str">
            <v>RODRIGO</v>
          </cell>
          <cell r="M3797" t="str">
            <v>RAQUEL BARBOSA</v>
          </cell>
        </row>
        <row r="3798">
          <cell r="B3798">
            <v>5371040</v>
          </cell>
          <cell r="C3798" t="str">
            <v>CAFE E CHA NO JD SP COM DE ALIM</v>
          </cell>
          <cell r="D3798" t="str">
            <v>7001</v>
          </cell>
          <cell r="E3798" t="str">
            <v>0749</v>
          </cell>
          <cell r="F3798" t="str">
            <v>C5</v>
          </cell>
          <cell r="G3798" t="str">
            <v>SP</v>
          </cell>
          <cell r="H3798" t="str">
            <v>DISTRIBUIÇÃO</v>
          </cell>
          <cell r="I3798" t="str">
            <v>FOOD SERVICE</v>
          </cell>
          <cell r="J3798" t="str">
            <v>FLAC 3</v>
          </cell>
          <cell r="K3798" t="str">
            <v>LACTALIS</v>
          </cell>
          <cell r="L3798" t="str">
            <v>RODRIGO</v>
          </cell>
          <cell r="M3798" t="str">
            <v>RAQUEL BARBOSA</v>
          </cell>
        </row>
        <row r="3799">
          <cell r="B3799">
            <v>5371078</v>
          </cell>
          <cell r="C3799" t="str">
            <v>YGB VAREJO BRASILEIRO LTDA</v>
          </cell>
          <cell r="D3799" t="str">
            <v>7001</v>
          </cell>
          <cell r="E3799" t="str">
            <v>0722</v>
          </cell>
          <cell r="F3799" t="str">
            <v>C1</v>
          </cell>
          <cell r="G3799" t="str">
            <v>SP</v>
          </cell>
          <cell r="H3799" t="str">
            <v>QSR</v>
          </cell>
          <cell r="I3799" t="str">
            <v>FOOD SERVICE</v>
          </cell>
          <cell r="J3799" t="str">
            <v>ANA MENIQUETE</v>
          </cell>
          <cell r="K3799" t="str">
            <v>LACTALIS</v>
          </cell>
          <cell r="L3799" t="str">
            <v>PEDRO</v>
          </cell>
          <cell r="M3799" t="str">
            <v>ANA MENIQUETE</v>
          </cell>
        </row>
        <row r="3800">
          <cell r="B3800">
            <v>5002549</v>
          </cell>
          <cell r="C3800" t="str">
            <v>SERVCATER INTERNACIONAL LTDA</v>
          </cell>
          <cell r="D3800" t="str">
            <v>3001</v>
          </cell>
          <cell r="E3800" t="str">
            <v>0125</v>
          </cell>
          <cell r="F3800" t="str">
            <v>C1</v>
          </cell>
          <cell r="G3800" t="str">
            <v>SP</v>
          </cell>
          <cell r="H3800" t="str">
            <v>QSR</v>
          </cell>
          <cell r="I3800" t="str">
            <v>FOOD SERVICE</v>
          </cell>
          <cell r="J3800" t="str">
            <v>ANA MENIQUETE</v>
          </cell>
          <cell r="K3800" t="str">
            <v>ITAMBÉ</v>
          </cell>
          <cell r="L3800" t="str">
            <v>PEDRO</v>
          </cell>
          <cell r="M3800" t="str">
            <v>ANA MENIQUETE</v>
          </cell>
        </row>
        <row r="3801">
          <cell r="B3801">
            <v>5004685</v>
          </cell>
          <cell r="C3801" t="str">
            <v>DINIZ COM ATAC DE PROD ALIM LTD</v>
          </cell>
          <cell r="D3801" t="str">
            <v>3001</v>
          </cell>
          <cell r="E3801" t="str">
            <v>0125</v>
          </cell>
          <cell r="F3801" t="str">
            <v>C1</v>
          </cell>
          <cell r="G3801" t="str">
            <v>SP</v>
          </cell>
          <cell r="H3801" t="str">
            <v>DISTRIBUIÇÃO</v>
          </cell>
          <cell r="I3801" t="str">
            <v>FOOD SERVICE</v>
          </cell>
          <cell r="J3801" t="str">
            <v>ALEXANDRO RODRIGUES</v>
          </cell>
          <cell r="K3801" t="str">
            <v>ITAMBÉ</v>
          </cell>
          <cell r="L3801" t="str">
            <v>RODRIGO</v>
          </cell>
          <cell r="M3801" t="str">
            <v>ALEXANDRO</v>
          </cell>
        </row>
        <row r="3802">
          <cell r="B3802">
            <v>5006978</v>
          </cell>
          <cell r="C3802" t="str">
            <v>DISTRIBUIDORA E IMP IRMAOS AVEL</v>
          </cell>
          <cell r="D3802" t="str">
            <v>3001</v>
          </cell>
          <cell r="E3802" t="str">
            <v>0125</v>
          </cell>
          <cell r="F3802" t="str">
            <v>C1</v>
          </cell>
          <cell r="G3802" t="str">
            <v>SP</v>
          </cell>
          <cell r="H3802" t="str">
            <v>DISTRIBUIÇÃO</v>
          </cell>
          <cell r="I3802" t="str">
            <v>FOOD SERVICE</v>
          </cell>
          <cell r="J3802" t="str">
            <v>RAQUEL BARBOSA</v>
          </cell>
          <cell r="K3802" t="str">
            <v>ITAMBÉ</v>
          </cell>
          <cell r="L3802" t="str">
            <v>RODRIGO</v>
          </cell>
          <cell r="M3802" t="str">
            <v>RAQUEL BARBOSA</v>
          </cell>
        </row>
        <row r="3803">
          <cell r="B3803">
            <v>5070522</v>
          </cell>
          <cell r="C3803" t="str">
            <v>WEA COM DE PROD DE PANIF LTDA</v>
          </cell>
          <cell r="D3803" t="str">
            <v>3001</v>
          </cell>
          <cell r="E3803" t="str">
            <v>0125</v>
          </cell>
          <cell r="F3803" t="str">
            <v>C1</v>
          </cell>
          <cell r="G3803" t="str">
            <v>SP</v>
          </cell>
          <cell r="H3803" t="str">
            <v>DISTRIBUIÇÃO</v>
          </cell>
          <cell r="I3803" t="str">
            <v>FOOD SERVICE</v>
          </cell>
          <cell r="J3803" t="str">
            <v>GUILHERME NASCIMENTO</v>
          </cell>
          <cell r="K3803" t="str">
            <v>ITAMBÉ</v>
          </cell>
          <cell r="L3803" t="str">
            <v>RODRIGO</v>
          </cell>
          <cell r="M3803" t="str">
            <v>ALEXANDRO</v>
          </cell>
        </row>
        <row r="3804">
          <cell r="B3804">
            <v>5107152</v>
          </cell>
          <cell r="C3804" t="str">
            <v>CALIFORNIA COM DE SORVETES LTDA</v>
          </cell>
          <cell r="D3804" t="str">
            <v>7001</v>
          </cell>
          <cell r="E3804" t="str">
            <v>0739</v>
          </cell>
          <cell r="F3804" t="str">
            <v>C1</v>
          </cell>
          <cell r="G3804" t="str">
            <v>RJ</v>
          </cell>
          <cell r="H3804" t="str">
            <v>QSR</v>
          </cell>
          <cell r="I3804" t="str">
            <v>FOOD SERVICE</v>
          </cell>
          <cell r="J3804" t="str">
            <v>NUTRI</v>
          </cell>
          <cell r="K3804" t="str">
            <v>LACTALIS</v>
          </cell>
          <cell r="L3804" t="str">
            <v>PEDRO</v>
          </cell>
          <cell r="M3804" t="str">
            <v>VAGO QSR</v>
          </cell>
        </row>
        <row r="3805">
          <cell r="B3805">
            <v>5118346</v>
          </cell>
          <cell r="C3805" t="str">
            <v>CONFESPAN COMERCIO E DISTRIBUICAO L</v>
          </cell>
          <cell r="D3805" t="str">
            <v>3001</v>
          </cell>
          <cell r="E3805" t="str">
            <v>0125</v>
          </cell>
          <cell r="F3805" t="str">
            <v>C1</v>
          </cell>
          <cell r="G3805" t="str">
            <v>SP</v>
          </cell>
          <cell r="H3805" t="str">
            <v>DISTRIBUIÇÃO</v>
          </cell>
          <cell r="I3805" t="str">
            <v>FOOD SERVICE</v>
          </cell>
          <cell r="J3805" t="str">
            <v>VAGO SP</v>
          </cell>
          <cell r="K3805" t="str">
            <v>ITAMBÉ</v>
          </cell>
          <cell r="L3805" t="str">
            <v>RODRIGO</v>
          </cell>
          <cell r="M3805" t="str">
            <v>RAQUEL BARBOSA</v>
          </cell>
        </row>
        <row r="3806">
          <cell r="B3806">
            <v>5131101</v>
          </cell>
          <cell r="C3806" t="str">
            <v>GRANO NICOLETTI COM ALIM LTDA</v>
          </cell>
          <cell r="D3806" t="str">
            <v>3001</v>
          </cell>
          <cell r="E3806" t="str">
            <v>0125</v>
          </cell>
          <cell r="F3806" t="str">
            <v>C1</v>
          </cell>
          <cell r="G3806" t="str">
            <v>SP</v>
          </cell>
          <cell r="H3806" t="str">
            <v>DISTRIBUIÇÃO</v>
          </cell>
          <cell r="I3806" t="str">
            <v>FOOD SERVICE</v>
          </cell>
          <cell r="J3806" t="str">
            <v>VAGO SP</v>
          </cell>
          <cell r="K3806" t="str">
            <v>ITAMBÉ</v>
          </cell>
          <cell r="L3806" t="str">
            <v>RODRIGO</v>
          </cell>
          <cell r="M3806" t="str">
            <v>RAQUEL BARBOSA</v>
          </cell>
        </row>
        <row r="3807">
          <cell r="B3807">
            <v>5149985</v>
          </cell>
          <cell r="C3807" t="str">
            <v>AROUMAR DISTRIB DE PRODUTOS ALIM LT</v>
          </cell>
          <cell r="D3807" t="str">
            <v>3001</v>
          </cell>
          <cell r="E3807" t="str">
            <v>0125</v>
          </cell>
          <cell r="F3807" t="str">
            <v>C1</v>
          </cell>
          <cell r="G3807" t="str">
            <v>SP</v>
          </cell>
          <cell r="H3807" t="str">
            <v>DISTRIBUIÇÃO</v>
          </cell>
          <cell r="I3807" t="str">
            <v>FOOD SERVICE</v>
          </cell>
          <cell r="J3807" t="str">
            <v>GUILHERME NASCIMENTO</v>
          </cell>
          <cell r="K3807" t="str">
            <v>ITAMBÉ</v>
          </cell>
          <cell r="L3807" t="str">
            <v>RODRIGO</v>
          </cell>
          <cell r="M3807" t="str">
            <v>ALEXANDRO</v>
          </cell>
        </row>
        <row r="3808">
          <cell r="B3808">
            <v>5165046</v>
          </cell>
          <cell r="C3808" t="str">
            <v>SLOOP IND COM DE ALIM LTDA</v>
          </cell>
          <cell r="D3808" t="str">
            <v>3001</v>
          </cell>
          <cell r="E3808" t="str">
            <v>0028</v>
          </cell>
          <cell r="F3808" t="str">
            <v>C1</v>
          </cell>
          <cell r="G3808" t="str">
            <v>RJ</v>
          </cell>
          <cell r="H3808" t="str">
            <v>INGREDIENTS</v>
          </cell>
          <cell r="I3808" t="str">
            <v>INGREDIENTS</v>
          </cell>
          <cell r="J3808" t="str">
            <v>RJ ITB FS L T MARTINS</v>
          </cell>
          <cell r="K3808" t="str">
            <v>ITAMBÉ</v>
          </cell>
          <cell r="L3808" t="str">
            <v>MAURICIO</v>
          </cell>
          <cell r="M3808" t="str">
            <v>TATIANA NITTA</v>
          </cell>
        </row>
        <row r="3809">
          <cell r="B3809">
            <v>5174977</v>
          </cell>
          <cell r="C3809" t="str">
            <v>MARTINS DA COSTA E CIA LTDA</v>
          </cell>
          <cell r="D3809" t="str">
            <v>3001</v>
          </cell>
          <cell r="E3809" t="str">
            <v>0125</v>
          </cell>
          <cell r="F3809" t="str">
            <v>C1</v>
          </cell>
          <cell r="G3809" t="str">
            <v>SP</v>
          </cell>
          <cell r="H3809" t="str">
            <v>QSR</v>
          </cell>
          <cell r="I3809" t="str">
            <v>FOOD SERVICE</v>
          </cell>
          <cell r="J3809" t="str">
            <v>ANA MENIQUETE</v>
          </cell>
          <cell r="K3809" t="str">
            <v>ITAMBÉ</v>
          </cell>
          <cell r="L3809" t="str">
            <v>PEDRO</v>
          </cell>
          <cell r="M3809" t="str">
            <v>ANA MENIQUETE</v>
          </cell>
        </row>
        <row r="3810">
          <cell r="B3810">
            <v>5176053</v>
          </cell>
          <cell r="C3810" t="str">
            <v>BAKELS BRASIL INGREDIENT PARA P</v>
          </cell>
          <cell r="D3810" t="str">
            <v>3001</v>
          </cell>
          <cell r="E3810" t="str">
            <v>0028</v>
          </cell>
          <cell r="F3810" t="str">
            <v>C1</v>
          </cell>
          <cell r="G3810" t="str">
            <v>SP</v>
          </cell>
          <cell r="H3810" t="str">
            <v>INGREDIENTS</v>
          </cell>
          <cell r="I3810" t="str">
            <v>INGREDIENTS</v>
          </cell>
          <cell r="J3810" t="str">
            <v>TATIANA NITTA</v>
          </cell>
          <cell r="K3810" t="str">
            <v>ITAMBÉ</v>
          </cell>
          <cell r="L3810" t="str">
            <v>MAURICIO</v>
          </cell>
          <cell r="M3810" t="str">
            <v>TATIANA NITTA</v>
          </cell>
        </row>
        <row r="3811">
          <cell r="B3811">
            <v>5181144</v>
          </cell>
          <cell r="C3811" t="str">
            <v>INDUSTRIA DE SORVETES CAMAGIVA LTDA</v>
          </cell>
          <cell r="D3811" t="str">
            <v>3001</v>
          </cell>
          <cell r="E3811" t="str">
            <v>0125</v>
          </cell>
          <cell r="F3811" t="str">
            <v>C1</v>
          </cell>
          <cell r="G3811" t="str">
            <v>SP</v>
          </cell>
          <cell r="H3811" t="str">
            <v>QSR</v>
          </cell>
          <cell r="I3811" t="str">
            <v>FOOD SERVICE</v>
          </cell>
          <cell r="J3811" t="str">
            <v>ANA MENIQUETE</v>
          </cell>
          <cell r="K3811" t="str">
            <v>ITAMBÉ</v>
          </cell>
          <cell r="L3811" t="str">
            <v>PEDRO</v>
          </cell>
          <cell r="M3811" t="str">
            <v>ANA MENIQUETE</v>
          </cell>
        </row>
        <row r="3812">
          <cell r="B3812">
            <v>5188800</v>
          </cell>
          <cell r="C3812" t="str">
            <v>DIEGO CESAR GOMES DA SILVA</v>
          </cell>
          <cell r="D3812" t="str">
            <v>3001</v>
          </cell>
          <cell r="E3812" t="str">
            <v>0028</v>
          </cell>
          <cell r="F3812" t="str">
            <v>C1</v>
          </cell>
          <cell r="G3812" t="str">
            <v>SP</v>
          </cell>
          <cell r="H3812" t="str">
            <v>INGREDIENTS</v>
          </cell>
          <cell r="I3812" t="str">
            <v>INGREDIENTS</v>
          </cell>
          <cell r="J3812" t="str">
            <v>HENRIQUE FERREIRA</v>
          </cell>
          <cell r="K3812" t="str">
            <v>ITAMBÉ</v>
          </cell>
          <cell r="L3812" t="str">
            <v>MAURICIO</v>
          </cell>
          <cell r="M3812" t="str">
            <v>JOEL</v>
          </cell>
        </row>
        <row r="3813">
          <cell r="B3813">
            <v>5188896</v>
          </cell>
          <cell r="C3813" t="str">
            <v>DOCE MINEIRO LTDA</v>
          </cell>
          <cell r="D3813" t="str">
            <v>4001</v>
          </cell>
          <cell r="E3813" t="str">
            <v>0458</v>
          </cell>
          <cell r="F3813" t="str">
            <v>C1</v>
          </cell>
          <cell r="G3813" t="str">
            <v>MG</v>
          </cell>
          <cell r="H3813" t="str">
            <v>INGREDIENTS</v>
          </cell>
          <cell r="I3813" t="str">
            <v>INGREDIENTS</v>
          </cell>
          <cell r="J3813" t="str">
            <v>TATIANA NITTA</v>
          </cell>
          <cell r="K3813" t="str">
            <v>LACTALIS</v>
          </cell>
          <cell r="L3813" t="str">
            <v>MAURICIO</v>
          </cell>
          <cell r="M3813" t="str">
            <v>TATIANA NITTA</v>
          </cell>
        </row>
        <row r="3814">
          <cell r="B3814">
            <v>5206787</v>
          </cell>
          <cell r="C3814" t="str">
            <v>CS FABRICACAO DE ALIMENTOS</v>
          </cell>
          <cell r="D3814" t="str">
            <v>3001</v>
          </cell>
          <cell r="E3814" t="str">
            <v>0125</v>
          </cell>
          <cell r="F3814" t="str">
            <v>C1</v>
          </cell>
          <cell r="G3814" t="str">
            <v>SP</v>
          </cell>
          <cell r="H3814" t="str">
            <v>QSR</v>
          </cell>
          <cell r="I3814" t="str">
            <v>FOOD SERVICE</v>
          </cell>
          <cell r="J3814" t="str">
            <v>ANA MENIQUETE</v>
          </cell>
          <cell r="K3814" t="str">
            <v>ITAMBÉ</v>
          </cell>
          <cell r="L3814" t="str">
            <v>PEDRO</v>
          </cell>
          <cell r="M3814" t="str">
            <v>ANA MENIQUETE</v>
          </cell>
        </row>
        <row r="3815">
          <cell r="B3815">
            <v>5217293</v>
          </cell>
          <cell r="C3815" t="str">
            <v>OESA COMERCIO E REPRESENTACOES SA</v>
          </cell>
          <cell r="D3815" t="str">
            <v>3001</v>
          </cell>
          <cell r="E3815" t="str">
            <v>0125</v>
          </cell>
          <cell r="F3815" t="str">
            <v>C1</v>
          </cell>
          <cell r="G3815" t="str">
            <v>SP</v>
          </cell>
          <cell r="H3815" t="str">
            <v>DISTRIBUIÇÃO</v>
          </cell>
          <cell r="I3815" t="str">
            <v>FOOD SERVICE</v>
          </cell>
          <cell r="J3815" t="str">
            <v>VAGO SP</v>
          </cell>
          <cell r="K3815" t="str">
            <v>ITAMBÉ</v>
          </cell>
          <cell r="L3815" t="str">
            <v>RODRIGO</v>
          </cell>
          <cell r="M3815" t="str">
            <v>RAQUEL BARBOSA</v>
          </cell>
        </row>
        <row r="3816">
          <cell r="B3816">
            <v>5227772</v>
          </cell>
          <cell r="C3816" t="str">
            <v>CHOCONATA INDUSTRIA E COM DE AL</v>
          </cell>
          <cell r="D3816" t="str">
            <v>3001</v>
          </cell>
          <cell r="E3816" t="str">
            <v>0028</v>
          </cell>
          <cell r="F3816" t="str">
            <v>C1</v>
          </cell>
          <cell r="G3816" t="str">
            <v>RJ</v>
          </cell>
          <cell r="H3816" t="str">
            <v>INGREDIENTS</v>
          </cell>
          <cell r="I3816" t="str">
            <v>INGREDIENTS</v>
          </cell>
          <cell r="J3816" t="str">
            <v>TATIANA NITTA</v>
          </cell>
          <cell r="K3816" t="str">
            <v>ITAMBÉ</v>
          </cell>
          <cell r="L3816" t="str">
            <v>MAURICIO</v>
          </cell>
          <cell r="M3816" t="str">
            <v>TATIANA NITTA</v>
          </cell>
        </row>
        <row r="3817">
          <cell r="B3817">
            <v>5229831</v>
          </cell>
          <cell r="C3817" t="str">
            <v>BRIGADEIRO INDUSTRIA E COMERCIO</v>
          </cell>
          <cell r="D3817" t="str">
            <v>3001</v>
          </cell>
          <cell r="E3817" t="str">
            <v>0028</v>
          </cell>
          <cell r="F3817" t="str">
            <v>C1</v>
          </cell>
          <cell r="G3817" t="str">
            <v>RJ</v>
          </cell>
          <cell r="H3817" t="str">
            <v>INGREDIENTS</v>
          </cell>
          <cell r="I3817" t="str">
            <v>INGREDIENTS</v>
          </cell>
          <cell r="J3817" t="str">
            <v>TATIANA NITTA</v>
          </cell>
          <cell r="K3817" t="str">
            <v>ITAMBÉ</v>
          </cell>
          <cell r="L3817" t="str">
            <v>MAURICIO</v>
          </cell>
          <cell r="M3817" t="str">
            <v>TATIANA NITTA</v>
          </cell>
        </row>
        <row r="3818">
          <cell r="B3818">
            <v>5261089</v>
          </cell>
          <cell r="C3818" t="str">
            <v>INTERFRIOS COM FRIOS LATCINIOS</v>
          </cell>
          <cell r="D3818" t="str">
            <v>3001</v>
          </cell>
          <cell r="E3818" t="str">
            <v>0125</v>
          </cell>
          <cell r="F3818" t="str">
            <v>C1</v>
          </cell>
          <cell r="G3818" t="str">
            <v>SP</v>
          </cell>
          <cell r="H3818" t="str">
            <v>DISTRIBUIÇÃO</v>
          </cell>
          <cell r="I3818" t="str">
            <v>FOOD SERVICE</v>
          </cell>
          <cell r="J3818" t="str">
            <v>GUILHERME NASCIMENTO</v>
          </cell>
          <cell r="K3818" t="str">
            <v>ITAMBÉ</v>
          </cell>
          <cell r="L3818" t="str">
            <v>RODRIGO</v>
          </cell>
          <cell r="M3818" t="str">
            <v>ALEXANDRO</v>
          </cell>
        </row>
        <row r="3819">
          <cell r="B3819">
            <v>5369565</v>
          </cell>
          <cell r="C3819" t="str">
            <v>ALLPAN COM DE PROD ALIMEN LTDA</v>
          </cell>
          <cell r="D3819" t="str">
            <v>3001</v>
          </cell>
          <cell r="E3819" t="str">
            <v>0125</v>
          </cell>
          <cell r="F3819" t="str">
            <v>C1</v>
          </cell>
          <cell r="G3819" t="str">
            <v>SP</v>
          </cell>
          <cell r="H3819" t="str">
            <v>DISTRIBUIÇÃO</v>
          </cell>
          <cell r="I3819" t="str">
            <v>FOOD SERVICE</v>
          </cell>
          <cell r="J3819" t="str">
            <v>ALEXANDRE BONANI</v>
          </cell>
          <cell r="K3819" t="str">
            <v>ITAMBÉ</v>
          </cell>
          <cell r="L3819" t="str">
            <v>RODRIGO</v>
          </cell>
          <cell r="M3819" t="str">
            <v>ALEXANDRE BONANI</v>
          </cell>
        </row>
        <row r="3820">
          <cell r="B3820">
            <v>5371677</v>
          </cell>
          <cell r="C3820" t="str">
            <v>ALVILAC BRASIL LTDA</v>
          </cell>
          <cell r="D3820" t="str">
            <v>3001</v>
          </cell>
          <cell r="E3820" t="str">
            <v>0028</v>
          </cell>
          <cell r="F3820" t="str">
            <v>C1</v>
          </cell>
          <cell r="G3820" t="str">
            <v>SP</v>
          </cell>
          <cell r="H3820" t="str">
            <v>INGREDIENTS</v>
          </cell>
          <cell r="I3820" t="str">
            <v>INGREDIENTS</v>
          </cell>
          <cell r="J3820" t="str">
            <v>DLUM</v>
          </cell>
          <cell r="K3820" t="str">
            <v>ITAMBÉ</v>
          </cell>
          <cell r="L3820" t="str">
            <v>MAURICIO</v>
          </cell>
          <cell r="M3820" t="str">
            <v>JOEL</v>
          </cell>
        </row>
        <row r="3821">
          <cell r="B3821">
            <v>5372066</v>
          </cell>
          <cell r="C3821" t="str">
            <v>A R ROSA E CIA LTDA</v>
          </cell>
          <cell r="D3821" t="str">
            <v>3001</v>
          </cell>
          <cell r="E3821" t="str">
            <v>0028</v>
          </cell>
          <cell r="F3821" t="str">
            <v>C1</v>
          </cell>
          <cell r="G3821" t="str">
            <v>PR</v>
          </cell>
          <cell r="H3821" t="str">
            <v>INGREDIENTS</v>
          </cell>
          <cell r="I3821" t="str">
            <v>INGREDIENTS</v>
          </cell>
          <cell r="J3821" t="str">
            <v>PR ITB FS DONIZETH REPRES</v>
          </cell>
          <cell r="K3821" t="str">
            <v>ITAMBÉ</v>
          </cell>
          <cell r="L3821" t="str">
            <v>MAURICIO</v>
          </cell>
          <cell r="M3821" t="str">
            <v>MARCELO</v>
          </cell>
        </row>
        <row r="3822">
          <cell r="B3822">
            <v>5372144</v>
          </cell>
          <cell r="C3822" t="str">
            <v>MJ COMERCIO ALIMENTICIO LTDA</v>
          </cell>
          <cell r="D3822" t="str">
            <v>7001</v>
          </cell>
          <cell r="E3822" t="str">
            <v>0749</v>
          </cell>
          <cell r="F3822" t="str">
            <v>C5</v>
          </cell>
          <cell r="G3822" t="str">
            <v>SP</v>
          </cell>
          <cell r="H3822" t="str">
            <v>DISTRIBUIÇÃO</v>
          </cell>
          <cell r="I3822" t="str">
            <v>FOOD SERVICE</v>
          </cell>
          <cell r="J3822" t="str">
            <v>FLAC 10</v>
          </cell>
          <cell r="K3822" t="str">
            <v>LACTALIS</v>
          </cell>
          <cell r="L3822" t="str">
            <v>RODRIGO</v>
          </cell>
          <cell r="M3822" t="str">
            <v>RAQUEL BARBOSA</v>
          </cell>
        </row>
        <row r="3823">
          <cell r="B3823">
            <v>5372246</v>
          </cell>
          <cell r="C3823" t="str">
            <v>64051523 FILIPE LOPES</v>
          </cell>
          <cell r="D3823" t="str">
            <v>7001</v>
          </cell>
          <cell r="E3823" t="str">
            <v>0749</v>
          </cell>
          <cell r="F3823" t="str">
            <v>C5</v>
          </cell>
          <cell r="G3823" t="str">
            <v>SP</v>
          </cell>
          <cell r="H3823" t="str">
            <v>DISTRIBUIÇÃO</v>
          </cell>
          <cell r="I3823" t="str">
            <v>FOOD SERVICE</v>
          </cell>
          <cell r="J3823" t="str">
            <v>FLAC 5</v>
          </cell>
          <cell r="K3823" t="str">
            <v>LACTALIS</v>
          </cell>
          <cell r="L3823" t="str">
            <v>RODRIGO</v>
          </cell>
          <cell r="M3823" t="str">
            <v>RAQUEL BARBOSA</v>
          </cell>
        </row>
        <row r="3824">
          <cell r="B3824">
            <v>5372253</v>
          </cell>
          <cell r="C3824" t="str">
            <v>PLANET ICE DIST DE SOVETES LTDA</v>
          </cell>
          <cell r="D3824" t="str">
            <v>3001</v>
          </cell>
          <cell r="E3824" t="str">
            <v>0028</v>
          </cell>
          <cell r="F3824" t="str">
            <v>C1</v>
          </cell>
          <cell r="G3824" t="str">
            <v>PR</v>
          </cell>
          <cell r="H3824" t="str">
            <v>INGREDIENTS</v>
          </cell>
          <cell r="I3824" t="str">
            <v>INGREDIENTS</v>
          </cell>
          <cell r="J3824" t="str">
            <v>PR ITB FS REPRES TREVISANI</v>
          </cell>
          <cell r="K3824" t="str">
            <v>ITAMBÉ</v>
          </cell>
          <cell r="L3824" t="str">
            <v>MAURICIO</v>
          </cell>
          <cell r="M3824" t="str">
            <v>MARCELO</v>
          </cell>
        </row>
        <row r="3825">
          <cell r="B3825">
            <v>5372327</v>
          </cell>
          <cell r="C3825" t="str">
            <v>ALFA REFEICOES FOOD SERVICE LTDA</v>
          </cell>
          <cell r="D3825" t="str">
            <v>7001</v>
          </cell>
          <cell r="E3825" t="str">
            <v>0749</v>
          </cell>
          <cell r="F3825" t="str">
            <v>C5</v>
          </cell>
          <cell r="G3825" t="str">
            <v>SP</v>
          </cell>
          <cell r="H3825" t="str">
            <v>DISTRIBUIÇÃO</v>
          </cell>
          <cell r="I3825" t="str">
            <v>FOOD SERVICE</v>
          </cell>
          <cell r="J3825" t="str">
            <v>FLAC 3</v>
          </cell>
          <cell r="K3825" t="str">
            <v>LACTALIS</v>
          </cell>
          <cell r="L3825" t="str">
            <v>RODRIGO</v>
          </cell>
          <cell r="M3825" t="str">
            <v>RAQUEL BARBOSA</v>
          </cell>
        </row>
        <row r="3826">
          <cell r="B3826">
            <v>5019126</v>
          </cell>
          <cell r="C3826" t="str">
            <v>ROCHA PAN INDUSTRIA E COMERCIO LTDA</v>
          </cell>
          <cell r="D3826" t="str">
            <v>3001</v>
          </cell>
          <cell r="E3826" t="str">
            <v>0125</v>
          </cell>
          <cell r="F3826" t="str">
            <v>C1</v>
          </cell>
          <cell r="G3826" t="str">
            <v>SP</v>
          </cell>
          <cell r="H3826" t="str">
            <v>DISTRIBUIÇÃO</v>
          </cell>
          <cell r="I3826" t="str">
            <v>FOOD SERVICE</v>
          </cell>
          <cell r="J3826" t="str">
            <v>VAGO SP</v>
          </cell>
          <cell r="K3826" t="str">
            <v>ITAMBÉ</v>
          </cell>
          <cell r="L3826" t="str">
            <v>RODRIGO</v>
          </cell>
          <cell r="M3826" t="str">
            <v>RAQUEL BARBOSA</v>
          </cell>
        </row>
        <row r="3827">
          <cell r="B3827">
            <v>5019640</v>
          </cell>
          <cell r="C3827" t="str">
            <v>BIG CHURROS DE PIRACICABA LTDA</v>
          </cell>
          <cell r="D3827" t="str">
            <v>3001</v>
          </cell>
          <cell r="E3827" t="str">
            <v>0028</v>
          </cell>
          <cell r="F3827" t="str">
            <v>C1</v>
          </cell>
          <cell r="G3827" t="str">
            <v>SP</v>
          </cell>
          <cell r="H3827" t="str">
            <v>INGREDIENTS</v>
          </cell>
          <cell r="I3827" t="str">
            <v>INGREDIENTS</v>
          </cell>
          <cell r="J3827" t="str">
            <v>HENRIQUE FERREIRA</v>
          </cell>
          <cell r="K3827" t="str">
            <v>ITAMBÉ</v>
          </cell>
          <cell r="L3827" t="str">
            <v>MAURICIO</v>
          </cell>
          <cell r="M3827" t="str">
            <v>JOEL</v>
          </cell>
        </row>
        <row r="3828">
          <cell r="B3828">
            <v>5114387</v>
          </cell>
          <cell r="C3828" t="str">
            <v>JAQUELINI CARDOSO COSTA DA SILV</v>
          </cell>
          <cell r="D3828" t="str">
            <v>3001</v>
          </cell>
          <cell r="E3828" t="str">
            <v>0125</v>
          </cell>
          <cell r="F3828" t="str">
            <v>C1</v>
          </cell>
          <cell r="G3828" t="str">
            <v>SP</v>
          </cell>
          <cell r="H3828" t="str">
            <v>INGREDIENTS</v>
          </cell>
          <cell r="I3828" t="str">
            <v>INGREDIENTS</v>
          </cell>
          <cell r="J3828" t="str">
            <v>HENRIQUE FERREIRA</v>
          </cell>
          <cell r="K3828" t="str">
            <v>ITAMBÉ</v>
          </cell>
          <cell r="L3828" t="str">
            <v>MAURICIO</v>
          </cell>
          <cell r="M3828" t="str">
            <v>JOEL</v>
          </cell>
        </row>
        <row r="3829">
          <cell r="B3829">
            <v>5162411</v>
          </cell>
          <cell r="C3829" t="str">
            <v>MARIMEL DIST DE PROD ALIM LTDA</v>
          </cell>
          <cell r="D3829" t="str">
            <v>3001</v>
          </cell>
          <cell r="E3829" t="str">
            <v>0126</v>
          </cell>
          <cell r="F3829" t="str">
            <v>C1</v>
          </cell>
          <cell r="G3829" t="str">
            <v>PR</v>
          </cell>
          <cell r="H3829" t="str">
            <v>INGREDIENTS</v>
          </cell>
          <cell r="I3829" t="str">
            <v>INGREDIENTS</v>
          </cell>
          <cell r="J3829" t="str">
            <v>MARCELO RODRIGUES</v>
          </cell>
          <cell r="K3829" t="str">
            <v>ITAMBÉ</v>
          </cell>
          <cell r="L3829" t="str">
            <v>MAURICIO</v>
          </cell>
          <cell r="M3829" t="str">
            <v>MARCELO</v>
          </cell>
        </row>
        <row r="3830">
          <cell r="B3830">
            <v>5213484</v>
          </cell>
          <cell r="C3830" t="str">
            <v>HAVANA COMERCIO DE BEBIDAS LTDA</v>
          </cell>
          <cell r="D3830" t="str">
            <v>3001</v>
          </cell>
          <cell r="E3830" t="str">
            <v>0125</v>
          </cell>
          <cell r="F3830" t="str">
            <v>C1</v>
          </cell>
          <cell r="G3830" t="str">
            <v>SP</v>
          </cell>
          <cell r="H3830" t="str">
            <v>DISTRIBUIÇÃO</v>
          </cell>
          <cell r="I3830" t="str">
            <v>FOOD SERVICE</v>
          </cell>
          <cell r="J3830" t="str">
            <v>SP ITB FS FLAC REP.E COMERCIO</v>
          </cell>
          <cell r="K3830" t="str">
            <v>ITAMBÉ</v>
          </cell>
          <cell r="L3830" t="str">
            <v>RODRIGO</v>
          </cell>
          <cell r="M3830" t="str">
            <v>RAQUEL BARBOSA</v>
          </cell>
        </row>
        <row r="3831">
          <cell r="B3831">
            <v>5216119</v>
          </cell>
          <cell r="C3831" t="str">
            <v>GLOBAL QUALITY FOODS LTDA</v>
          </cell>
          <cell r="D3831" t="str">
            <v>3001</v>
          </cell>
          <cell r="E3831" t="str">
            <v>0125</v>
          </cell>
          <cell r="F3831" t="str">
            <v>C1</v>
          </cell>
          <cell r="G3831" t="str">
            <v>SP</v>
          </cell>
          <cell r="H3831" t="str">
            <v>INGREDIENTS</v>
          </cell>
          <cell r="I3831" t="str">
            <v>INGREDIENTS</v>
          </cell>
          <cell r="J3831" t="str">
            <v>HENRIQUE FERREIRA</v>
          </cell>
          <cell r="K3831" t="str">
            <v>ITAMBÉ</v>
          </cell>
          <cell r="L3831" t="str">
            <v>MAURICIO</v>
          </cell>
          <cell r="M3831" t="str">
            <v>JOEL</v>
          </cell>
        </row>
        <row r="3832">
          <cell r="B3832">
            <v>5216588</v>
          </cell>
          <cell r="C3832" t="str">
            <v>A CARDOSO G EMB E FESTAS LTDA</v>
          </cell>
          <cell r="D3832" t="str">
            <v>3001</v>
          </cell>
          <cell r="E3832" t="str">
            <v>0126</v>
          </cell>
          <cell r="F3832" t="str">
            <v>C1</v>
          </cell>
          <cell r="G3832" t="str">
            <v>PR</v>
          </cell>
          <cell r="H3832" t="str">
            <v>DISTRIBUIÇÃO</v>
          </cell>
          <cell r="I3832" t="str">
            <v>FOOD SERVICE</v>
          </cell>
          <cell r="J3832" t="str">
            <v>ANGELICA BATISTELA</v>
          </cell>
          <cell r="K3832" t="str">
            <v>ITAMBÉ</v>
          </cell>
          <cell r="L3832" t="str">
            <v>RODRIGO</v>
          </cell>
          <cell r="M3832" t="str">
            <v>ANGELICA BATISTELA</v>
          </cell>
        </row>
        <row r="3833">
          <cell r="B3833">
            <v>5264769</v>
          </cell>
          <cell r="C3833" t="str">
            <v>DOMANI HOTEL LTDA</v>
          </cell>
          <cell r="D3833" t="str">
            <v>7001</v>
          </cell>
          <cell r="E3833" t="str">
            <v>0749</v>
          </cell>
          <cell r="F3833" t="str">
            <v>C5</v>
          </cell>
          <cell r="G3833" t="str">
            <v>SP</v>
          </cell>
          <cell r="H3833" t="str">
            <v>DISTRIBUIÇÃO</v>
          </cell>
          <cell r="I3833" t="str">
            <v>FOOD SERVICE</v>
          </cell>
          <cell r="J3833" t="str">
            <v>FLAC 3</v>
          </cell>
          <cell r="K3833" t="str">
            <v>LACTALIS</v>
          </cell>
          <cell r="L3833" t="str">
            <v>RODRIGO</v>
          </cell>
          <cell r="M3833" t="str">
            <v>RAQUEL BARBOSA</v>
          </cell>
        </row>
        <row r="3834">
          <cell r="B3834">
            <v>5340507</v>
          </cell>
          <cell r="C3834" t="str">
            <v>SUAVE SABOR DOCERIA LTDA</v>
          </cell>
          <cell r="D3834" t="str">
            <v>3001</v>
          </cell>
          <cell r="E3834" t="str">
            <v>0028</v>
          </cell>
          <cell r="F3834" t="str">
            <v>C1</v>
          </cell>
          <cell r="G3834" t="str">
            <v>SP</v>
          </cell>
          <cell r="H3834" t="str">
            <v>INGREDIENTS</v>
          </cell>
          <cell r="I3834" t="str">
            <v>INGREDIENTS</v>
          </cell>
          <cell r="J3834" t="str">
            <v>TATIANA NITTA</v>
          </cell>
          <cell r="K3834" t="str">
            <v>ITAMBÉ</v>
          </cell>
          <cell r="L3834" t="str">
            <v>MAURICIO</v>
          </cell>
          <cell r="M3834" t="str">
            <v>TATIANA NITTA</v>
          </cell>
        </row>
        <row r="3835">
          <cell r="B3835">
            <v>5347144</v>
          </cell>
          <cell r="C3835" t="str">
            <v>MBF IND E COM DE ALIMENTOS LTDA</v>
          </cell>
          <cell r="D3835" t="str">
            <v>3001</v>
          </cell>
          <cell r="E3835" t="str">
            <v>0028</v>
          </cell>
          <cell r="F3835" t="str">
            <v>C1</v>
          </cell>
          <cell r="G3835" t="str">
            <v>SP</v>
          </cell>
          <cell r="H3835" t="str">
            <v>INGREDIENTS</v>
          </cell>
          <cell r="I3835" t="str">
            <v>INGREDIENTS</v>
          </cell>
          <cell r="J3835" t="str">
            <v>TATIANA NITTA</v>
          </cell>
          <cell r="K3835" t="str">
            <v>ITAMBÉ</v>
          </cell>
          <cell r="L3835" t="str">
            <v>MAURICIO</v>
          </cell>
          <cell r="M3835" t="str">
            <v>TATIANA NITTA</v>
          </cell>
        </row>
        <row r="3836">
          <cell r="B3836">
            <v>5348916</v>
          </cell>
          <cell r="C3836" t="str">
            <v>TOTAL CREAM</v>
          </cell>
          <cell r="D3836" t="str">
            <v>3001</v>
          </cell>
          <cell r="E3836" t="str">
            <v>0028</v>
          </cell>
          <cell r="F3836" t="str">
            <v>C1</v>
          </cell>
          <cell r="G3836" t="str">
            <v>SP</v>
          </cell>
          <cell r="H3836" t="str">
            <v>INGREDIENTS</v>
          </cell>
          <cell r="I3836" t="str">
            <v>INGREDIENTS</v>
          </cell>
          <cell r="J3836" t="str">
            <v>TATIANA NITTA</v>
          </cell>
          <cell r="K3836" t="str">
            <v>ITAMBÉ</v>
          </cell>
          <cell r="L3836" t="str">
            <v>MAURICIO</v>
          </cell>
          <cell r="M3836" t="str">
            <v>TATIANA NITTA</v>
          </cell>
        </row>
        <row r="3837">
          <cell r="B3837">
            <v>5351400</v>
          </cell>
          <cell r="C3837" t="str">
            <v>HARALD IND E COM DE ALIMENTOS L</v>
          </cell>
          <cell r="D3837" t="str">
            <v>4001</v>
          </cell>
          <cell r="E3837" t="str">
            <v>0437</v>
          </cell>
          <cell r="F3837" t="str">
            <v>C1</v>
          </cell>
          <cell r="G3837" t="str">
            <v>SP</v>
          </cell>
          <cell r="H3837" t="str">
            <v>INGREDIENTS</v>
          </cell>
          <cell r="I3837" t="str">
            <v>INGREDIENTS</v>
          </cell>
          <cell r="J3837" t="str">
            <v>TATIANA NITTA</v>
          </cell>
          <cell r="K3837" t="str">
            <v>LACTALIS</v>
          </cell>
          <cell r="L3837" t="str">
            <v>MAURICIO</v>
          </cell>
          <cell r="M3837" t="str">
            <v>TATIANA NITTA</v>
          </cell>
        </row>
        <row r="3838">
          <cell r="B3838">
            <v>5364891</v>
          </cell>
          <cell r="C3838" t="str">
            <v>NILSON HONORATO SOUZA</v>
          </cell>
          <cell r="D3838" t="str">
            <v>3001</v>
          </cell>
          <cell r="E3838" t="str">
            <v>0127</v>
          </cell>
          <cell r="F3838" t="str">
            <v>C1</v>
          </cell>
          <cell r="G3838" t="str">
            <v>PB</v>
          </cell>
          <cell r="H3838" t="str">
            <v>INGREDIENTS</v>
          </cell>
          <cell r="I3838" t="str">
            <v>INGREDIENTS</v>
          </cell>
          <cell r="J3838" t="str">
            <v>RN ITB FS W S REPRESENTAÇÕES</v>
          </cell>
          <cell r="K3838" t="str">
            <v>ITAMBÉ</v>
          </cell>
          <cell r="L3838" t="str">
            <v>MAURICIO</v>
          </cell>
          <cell r="M3838" t="str">
            <v>JOEL</v>
          </cell>
        </row>
        <row r="3839">
          <cell r="B3839">
            <v>5367394</v>
          </cell>
          <cell r="C3839" t="str">
            <v>NATALIA SALVE DAMASCENO 3256521</v>
          </cell>
          <cell r="D3839" t="str">
            <v>3001</v>
          </cell>
          <cell r="E3839" t="str">
            <v>0125</v>
          </cell>
          <cell r="F3839" t="str">
            <v>C1</v>
          </cell>
          <cell r="G3839" t="str">
            <v>SP</v>
          </cell>
          <cell r="H3839" t="str">
            <v>DISTRIBUIÇÃO</v>
          </cell>
          <cell r="I3839" t="str">
            <v>FOOD SERVICE</v>
          </cell>
          <cell r="J3839" t="str">
            <v>SP ITB FS FLAC REP.E COMERCIO</v>
          </cell>
          <cell r="K3839" t="str">
            <v>ITAMBÉ</v>
          </cell>
          <cell r="L3839" t="str">
            <v>RODRIGO</v>
          </cell>
          <cell r="M3839" t="str">
            <v>RAQUEL BARBOSA</v>
          </cell>
        </row>
        <row r="3840">
          <cell r="B3840">
            <v>5368572</v>
          </cell>
          <cell r="C3840" t="str">
            <v>IHC SAO PAULO HOTELARIA S A</v>
          </cell>
          <cell r="D3840" t="str">
            <v>7001</v>
          </cell>
          <cell r="E3840" t="str">
            <v>0749</v>
          </cell>
          <cell r="F3840" t="str">
            <v>C5</v>
          </cell>
          <cell r="G3840" t="str">
            <v>SP</v>
          </cell>
          <cell r="H3840" t="str">
            <v>DISTRIBUIÇÃO</v>
          </cell>
          <cell r="I3840" t="str">
            <v>FOOD SERVICE</v>
          </cell>
          <cell r="J3840" t="str">
            <v>FLAC 3</v>
          </cell>
          <cell r="K3840" t="str">
            <v>LACTALIS</v>
          </cell>
          <cell r="L3840" t="str">
            <v>RODRIGO</v>
          </cell>
          <cell r="M3840" t="str">
            <v>RAQUEL BARBOSA</v>
          </cell>
        </row>
        <row r="3841">
          <cell r="B3841">
            <v>5369632</v>
          </cell>
          <cell r="C3841" t="str">
            <v>INOV3 ENGENHARIA DE ALIMENT LTD</v>
          </cell>
          <cell r="D3841" t="str">
            <v>3001</v>
          </cell>
          <cell r="E3841" t="str">
            <v>0028</v>
          </cell>
          <cell r="F3841" t="str">
            <v>C1</v>
          </cell>
          <cell r="G3841" t="str">
            <v>SP</v>
          </cell>
          <cell r="H3841" t="str">
            <v>INGREDIENTS</v>
          </cell>
          <cell r="I3841" t="str">
            <v>INGREDIENTS</v>
          </cell>
          <cell r="J3841" t="str">
            <v>TATIANA NITTA</v>
          </cell>
          <cell r="K3841" t="str">
            <v>ITAMBÉ</v>
          </cell>
          <cell r="L3841" t="str">
            <v>MAURICIO</v>
          </cell>
          <cell r="M3841" t="str">
            <v>TATIANA NITTA</v>
          </cell>
        </row>
        <row r="3842">
          <cell r="B3842">
            <v>5370073</v>
          </cell>
          <cell r="C3842" t="str">
            <v>FARINHA E AGUA LTDA</v>
          </cell>
          <cell r="D3842" t="str">
            <v>3001</v>
          </cell>
          <cell r="E3842" t="str">
            <v>0169</v>
          </cell>
          <cell r="F3842" t="str">
            <v>C1</v>
          </cell>
          <cell r="G3842" t="str">
            <v>ES</v>
          </cell>
          <cell r="H3842" t="str">
            <v>DISTRIBUIÇÃO</v>
          </cell>
          <cell r="I3842" t="str">
            <v>FOOD SERVICE</v>
          </cell>
          <cell r="J3842" t="str">
            <v>MARCELO DUARTE</v>
          </cell>
          <cell r="K3842" t="str">
            <v>ITAMBÉ</v>
          </cell>
          <cell r="L3842" t="str">
            <v>RODRIGO</v>
          </cell>
          <cell r="M3842" t="str">
            <v>JESSICA</v>
          </cell>
        </row>
        <row r="3843">
          <cell r="B3843">
            <v>5372166</v>
          </cell>
          <cell r="C3843" t="str">
            <v>GRANVITALE COMERCIO E INDUSTRIA</v>
          </cell>
          <cell r="D3843" t="str">
            <v>4001</v>
          </cell>
          <cell r="E3843" t="str">
            <v>0437</v>
          </cell>
          <cell r="F3843" t="str">
            <v>C1</v>
          </cell>
          <cell r="G3843" t="str">
            <v>SP</v>
          </cell>
          <cell r="H3843" t="str">
            <v>INGREDIENTS</v>
          </cell>
          <cell r="I3843" t="str">
            <v>INGREDIENTS</v>
          </cell>
          <cell r="J3843" t="str">
            <v>TATIANA NITTA</v>
          </cell>
          <cell r="K3843" t="str">
            <v>LACTALIS</v>
          </cell>
          <cell r="L3843" t="str">
            <v>MAURICIO</v>
          </cell>
          <cell r="M3843" t="str">
            <v>TATIANA NITTA</v>
          </cell>
        </row>
        <row r="3844">
          <cell r="B3844">
            <v>5372291</v>
          </cell>
          <cell r="C3844" t="str">
            <v>BRUBI DISTRIBUIDORA LTDA</v>
          </cell>
          <cell r="D3844" t="str">
            <v>3001</v>
          </cell>
          <cell r="E3844" t="str">
            <v>0028</v>
          </cell>
          <cell r="F3844" t="str">
            <v>C1</v>
          </cell>
          <cell r="G3844" t="str">
            <v>SP</v>
          </cell>
          <cell r="H3844" t="str">
            <v>INGREDIENTS</v>
          </cell>
          <cell r="I3844" t="str">
            <v>INGREDIENTS</v>
          </cell>
          <cell r="J3844" t="str">
            <v>TATIANA NITTA</v>
          </cell>
          <cell r="K3844" t="str">
            <v>ITAMBÉ</v>
          </cell>
          <cell r="L3844" t="str">
            <v>MAURICIO</v>
          </cell>
          <cell r="M3844" t="str">
            <v>TATIANA NITTA</v>
          </cell>
        </row>
        <row r="3845">
          <cell r="B3845">
            <v>5148812</v>
          </cell>
          <cell r="C3845" t="str">
            <v>CB VILA VELHA COM ALIMENTOS LTDA</v>
          </cell>
          <cell r="D3845" t="str">
            <v>3001</v>
          </cell>
          <cell r="E3845" t="str">
            <v>0169</v>
          </cell>
          <cell r="F3845" t="str">
            <v>C1</v>
          </cell>
          <cell r="G3845" t="str">
            <v>ES</v>
          </cell>
          <cell r="H3845" t="str">
            <v>QSR</v>
          </cell>
          <cell r="I3845" t="str">
            <v>FOOD SERVICE</v>
          </cell>
          <cell r="J3845" t="str">
            <v>VAGO QSR</v>
          </cell>
          <cell r="K3845" t="str">
            <v>ITAMBÉ</v>
          </cell>
          <cell r="L3845" t="str">
            <v>PEDRO</v>
          </cell>
          <cell r="M3845" t="str">
            <v>VAGO QSR</v>
          </cell>
        </row>
        <row r="3846">
          <cell r="B3846">
            <v>5159289</v>
          </cell>
          <cell r="C3846" t="str">
            <v>FUNCHAL IND COM DE PAPEIS LTDA</v>
          </cell>
          <cell r="D3846" t="str">
            <v>3001</v>
          </cell>
          <cell r="E3846" t="str">
            <v>0125</v>
          </cell>
          <cell r="F3846" t="str">
            <v>C1</v>
          </cell>
          <cell r="G3846" t="str">
            <v>SP</v>
          </cell>
          <cell r="H3846" t="str">
            <v>DISTRIBUIÇÃO</v>
          </cell>
          <cell r="I3846" t="str">
            <v>FOOD SERVICE</v>
          </cell>
          <cell r="J3846" t="str">
            <v>VAGO SP</v>
          </cell>
          <cell r="K3846" t="str">
            <v>ITAMBÉ</v>
          </cell>
          <cell r="L3846" t="str">
            <v>RODRIGO</v>
          </cell>
          <cell r="M3846" t="str">
            <v>RAQUEL BARBOSA</v>
          </cell>
        </row>
        <row r="3847">
          <cell r="B3847">
            <v>5164717</v>
          </cell>
          <cell r="C3847" t="str">
            <v>HENDUPAN COM DE PROD CON LTDA</v>
          </cell>
          <cell r="D3847" t="str">
            <v>3001</v>
          </cell>
          <cell r="E3847" t="str">
            <v>0125</v>
          </cell>
          <cell r="F3847" t="str">
            <v>C1</v>
          </cell>
          <cell r="G3847" t="str">
            <v>SP</v>
          </cell>
          <cell r="H3847" t="str">
            <v>DISTRIBUIÇÃO</v>
          </cell>
          <cell r="I3847" t="str">
            <v>FOOD SERVICE</v>
          </cell>
          <cell r="J3847" t="str">
            <v>SP ITB FS FLAC REP.E COMERCIO</v>
          </cell>
          <cell r="K3847" t="str">
            <v>ITAMBÉ</v>
          </cell>
          <cell r="L3847" t="str">
            <v>RODRIGO</v>
          </cell>
          <cell r="M3847" t="str">
            <v>RAQUEL BARBOSA</v>
          </cell>
        </row>
        <row r="3848">
          <cell r="B3848">
            <v>5210879</v>
          </cell>
          <cell r="C3848" t="str">
            <v>CB RIO BOTAFOGO C DE ALIMENTOS</v>
          </cell>
          <cell r="D3848" t="str">
            <v>3001</v>
          </cell>
          <cell r="E3848" t="str">
            <v>0169</v>
          </cell>
          <cell r="F3848" t="str">
            <v>C1</v>
          </cell>
          <cell r="G3848" t="str">
            <v>RJ</v>
          </cell>
          <cell r="H3848" t="str">
            <v>QSR</v>
          </cell>
          <cell r="I3848" t="str">
            <v>FOOD SERVICE</v>
          </cell>
          <cell r="J3848" t="str">
            <v>VAGO QSR</v>
          </cell>
          <cell r="K3848" t="str">
            <v>ITAMBÉ</v>
          </cell>
          <cell r="L3848" t="str">
            <v>PEDRO</v>
          </cell>
          <cell r="M3848" t="str">
            <v>VAGO QSR</v>
          </cell>
        </row>
        <row r="3849">
          <cell r="B3849">
            <v>5226985</v>
          </cell>
          <cell r="C3849" t="str">
            <v>DISTRIBUIDORA E IMP IRMAOS AVEL</v>
          </cell>
          <cell r="D3849" t="str">
            <v>3001</v>
          </cell>
          <cell r="E3849" t="str">
            <v>0125</v>
          </cell>
          <cell r="F3849" t="str">
            <v>C1</v>
          </cell>
          <cell r="G3849" t="str">
            <v>SP</v>
          </cell>
          <cell r="H3849" t="str">
            <v>DISTRIBUIÇÃO</v>
          </cell>
          <cell r="I3849" t="str">
            <v>FOOD SERVICE</v>
          </cell>
          <cell r="J3849" t="str">
            <v>RAQUEL BARBOSA</v>
          </cell>
          <cell r="K3849" t="str">
            <v>ITAMBÉ</v>
          </cell>
          <cell r="L3849" t="str">
            <v>RODRIGO</v>
          </cell>
          <cell r="M3849" t="str">
            <v>RAQUEL BARBOSA</v>
          </cell>
        </row>
        <row r="3850">
          <cell r="B3850">
            <v>5350655</v>
          </cell>
          <cell r="C3850" t="str">
            <v>CB CAMPINAS COM DE ALIMEN LTDA</v>
          </cell>
          <cell r="D3850" t="str">
            <v>3001</v>
          </cell>
          <cell r="E3850" t="str">
            <v>0125</v>
          </cell>
          <cell r="F3850" t="str">
            <v>C1</v>
          </cell>
          <cell r="G3850" t="str">
            <v>SP</v>
          </cell>
          <cell r="H3850" t="str">
            <v>QSR</v>
          </cell>
          <cell r="I3850" t="str">
            <v>FOOD SERVICE</v>
          </cell>
          <cell r="J3850" t="str">
            <v>VAGO QSR</v>
          </cell>
          <cell r="K3850" t="str">
            <v>ITAMBÉ</v>
          </cell>
          <cell r="L3850" t="str">
            <v>PEDRO</v>
          </cell>
          <cell r="M3850" t="str">
            <v>VAGO QSR</v>
          </cell>
        </row>
        <row r="3851">
          <cell r="B3851">
            <v>5350702</v>
          </cell>
          <cell r="C3851" t="str">
            <v>CB SAO JOSE DO RIO PRETO COM DE AL</v>
          </cell>
          <cell r="D3851" t="str">
            <v>3001</v>
          </cell>
          <cell r="E3851" t="str">
            <v>0125</v>
          </cell>
          <cell r="F3851" t="str">
            <v>C1</v>
          </cell>
          <cell r="G3851" t="str">
            <v>SP</v>
          </cell>
          <cell r="H3851" t="str">
            <v>QSR</v>
          </cell>
          <cell r="I3851" t="str">
            <v>FOOD SERVICE</v>
          </cell>
          <cell r="J3851" t="str">
            <v>VAGO QSR</v>
          </cell>
          <cell r="K3851" t="str">
            <v>ITAMBÉ</v>
          </cell>
          <cell r="L3851" t="str">
            <v>PEDRO</v>
          </cell>
          <cell r="M3851" t="str">
            <v>VAGO QSR</v>
          </cell>
        </row>
        <row r="3852">
          <cell r="B3852">
            <v>5351895</v>
          </cell>
          <cell r="C3852" t="str">
            <v>CB RIO NORTE SHOP COM DE ALI LT</v>
          </cell>
          <cell r="D3852" t="str">
            <v>3001</v>
          </cell>
          <cell r="E3852" t="str">
            <v>0169</v>
          </cell>
          <cell r="F3852" t="str">
            <v>C1</v>
          </cell>
          <cell r="G3852" t="str">
            <v>RJ</v>
          </cell>
          <cell r="H3852" t="str">
            <v>QSR</v>
          </cell>
          <cell r="I3852" t="str">
            <v>FOOD SERVICE</v>
          </cell>
          <cell r="J3852" t="str">
            <v>VAGO QSR</v>
          </cell>
          <cell r="K3852" t="str">
            <v>ITAMBÉ</v>
          </cell>
          <cell r="L3852" t="str">
            <v>PEDRO</v>
          </cell>
          <cell r="M3852" t="str">
            <v>VAGO QSR</v>
          </cell>
        </row>
        <row r="3853">
          <cell r="B3853">
            <v>5352345</v>
          </cell>
          <cell r="C3853" t="str">
            <v>CB CUIABA COMERCIO DE ALIMENT L</v>
          </cell>
          <cell r="D3853" t="str">
            <v>3001</v>
          </cell>
          <cell r="E3853" t="str">
            <v>0123</v>
          </cell>
          <cell r="F3853" t="str">
            <v>C1</v>
          </cell>
          <cell r="G3853" t="str">
            <v>MT</v>
          </cell>
          <cell r="H3853" t="str">
            <v>QSR</v>
          </cell>
          <cell r="I3853" t="str">
            <v>FOOD SERVICE</v>
          </cell>
          <cell r="J3853" t="str">
            <v>VAGO QSR</v>
          </cell>
          <cell r="K3853" t="str">
            <v>ITAMBÉ</v>
          </cell>
          <cell r="L3853" t="str">
            <v>PEDRO</v>
          </cell>
          <cell r="M3853" t="str">
            <v>VAGO QSR</v>
          </cell>
        </row>
        <row r="3854">
          <cell r="B3854">
            <v>5355972</v>
          </cell>
          <cell r="C3854" t="str">
            <v>BROWNIE DA MINHA MAE DOCERIA LT</v>
          </cell>
          <cell r="D3854" t="str">
            <v>3001</v>
          </cell>
          <cell r="E3854" t="str">
            <v>0125</v>
          </cell>
          <cell r="F3854" t="str">
            <v>C1</v>
          </cell>
          <cell r="G3854" t="str">
            <v>SP</v>
          </cell>
          <cell r="H3854" t="str">
            <v>DISTRIBUIÇÃO</v>
          </cell>
          <cell r="I3854" t="str">
            <v>FOOD SERVICE</v>
          </cell>
          <cell r="J3854" t="str">
            <v>SP ITB FS FLAC REP.E COMERCIO</v>
          </cell>
          <cell r="K3854" t="str">
            <v>ITAMBÉ</v>
          </cell>
          <cell r="L3854" t="str">
            <v>RODRIGO</v>
          </cell>
          <cell r="M3854" t="str">
            <v>RAQUEL BARBOSA</v>
          </cell>
        </row>
        <row r="3855">
          <cell r="B3855">
            <v>5359414</v>
          </cell>
          <cell r="C3855" t="str">
            <v>MEL INDUSTRIA ALIMENTICIA DE DO</v>
          </cell>
          <cell r="D3855" t="str">
            <v>3001</v>
          </cell>
          <cell r="E3855" t="str">
            <v>0028</v>
          </cell>
          <cell r="F3855" t="str">
            <v>C1</v>
          </cell>
          <cell r="G3855" t="str">
            <v>MG</v>
          </cell>
          <cell r="H3855" t="str">
            <v>DISTRIBUIÇÃO</v>
          </cell>
          <cell r="I3855" t="str">
            <v>FOOD SERVICE</v>
          </cell>
          <cell r="J3855" t="str">
            <v>CELIO MARTINS</v>
          </cell>
          <cell r="K3855" t="str">
            <v>ITAMBÉ</v>
          </cell>
          <cell r="L3855" t="str">
            <v>RODRIGO</v>
          </cell>
          <cell r="M3855" t="str">
            <v>CELIO MARTINS</v>
          </cell>
        </row>
        <row r="3856">
          <cell r="B3856">
            <v>5363598</v>
          </cell>
          <cell r="C3856" t="str">
            <v>CB RIO VOLTA REDONDA COM DE AL</v>
          </cell>
          <cell r="D3856" t="str">
            <v>3001</v>
          </cell>
          <cell r="E3856" t="str">
            <v>0169</v>
          </cell>
          <cell r="F3856" t="str">
            <v>C1</v>
          </cell>
          <cell r="G3856" t="str">
            <v>RJ</v>
          </cell>
          <cell r="H3856" t="str">
            <v>QSR</v>
          </cell>
          <cell r="I3856" t="str">
            <v>FOOD SERVICE</v>
          </cell>
          <cell r="J3856" t="str">
            <v>VAGO QSR</v>
          </cell>
          <cell r="K3856" t="str">
            <v>ITAMBÉ</v>
          </cell>
          <cell r="L3856" t="str">
            <v>PEDRO</v>
          </cell>
          <cell r="M3856" t="str">
            <v>VAGO QSR</v>
          </cell>
        </row>
        <row r="3857">
          <cell r="B3857">
            <v>5371677</v>
          </cell>
          <cell r="C3857" t="str">
            <v>ALVILAC BRASIL LTDA</v>
          </cell>
          <cell r="D3857" t="str">
            <v>4001</v>
          </cell>
          <cell r="E3857" t="str">
            <v>0437</v>
          </cell>
          <cell r="F3857" t="str">
            <v>C1</v>
          </cell>
          <cell r="G3857" t="str">
            <v>SP</v>
          </cell>
          <cell r="H3857" t="str">
            <v>INGREDIENTS</v>
          </cell>
          <cell r="I3857" t="str">
            <v>INGREDIENTS</v>
          </cell>
          <cell r="J3857" t="str">
            <v>JOEL ELEOTÉRIO</v>
          </cell>
          <cell r="K3857" t="str">
            <v>LACTALIS</v>
          </cell>
          <cell r="L3857" t="str">
            <v>MAURICIO</v>
          </cell>
          <cell r="M3857" t="str">
            <v>JOEL</v>
          </cell>
        </row>
        <row r="3858">
          <cell r="B3858">
            <v>5059971</v>
          </cell>
          <cell r="C3858" t="str">
            <v>GATE GOURMET LT</v>
          </cell>
          <cell r="D3858" t="str">
            <v>3001</v>
          </cell>
          <cell r="E3858" t="str">
            <v>0125</v>
          </cell>
          <cell r="F3858" t="str">
            <v>C1</v>
          </cell>
          <cell r="G3858" t="str">
            <v>SP</v>
          </cell>
          <cell r="H3858" t="str">
            <v>QSR</v>
          </cell>
          <cell r="I3858" t="str">
            <v>FOOD SERVICE</v>
          </cell>
          <cell r="J3858" t="str">
            <v>ANA MENIQUETE</v>
          </cell>
          <cell r="K3858" t="str">
            <v>ITAMBÉ</v>
          </cell>
          <cell r="L3858" t="str">
            <v>PEDRO</v>
          </cell>
          <cell r="M3858" t="str">
            <v>ANA MENIQUETE</v>
          </cell>
        </row>
        <row r="3859">
          <cell r="B3859">
            <v>5108416</v>
          </cell>
          <cell r="C3859" t="str">
            <v>FORNERIA LUCE RIO COM DE PROD A</v>
          </cell>
          <cell r="D3859" t="str">
            <v>3001</v>
          </cell>
          <cell r="E3859" t="str">
            <v>0169</v>
          </cell>
          <cell r="F3859" t="str">
            <v>C1</v>
          </cell>
          <cell r="G3859" t="str">
            <v>RJ</v>
          </cell>
          <cell r="H3859" t="str">
            <v>DISTRIBUIÇÃO</v>
          </cell>
          <cell r="I3859" t="str">
            <v>FOOD SERVICE</v>
          </cell>
          <cell r="J3859" t="str">
            <v>JULIANA CORDEIRO</v>
          </cell>
          <cell r="K3859" t="str">
            <v>ITAMBÉ</v>
          </cell>
          <cell r="L3859" t="str">
            <v>RODRIGO</v>
          </cell>
          <cell r="M3859" t="str">
            <v>JESSICA</v>
          </cell>
        </row>
        <row r="3860">
          <cell r="B3860">
            <v>5109682</v>
          </cell>
          <cell r="C3860" t="str">
            <v>FERPEREZ COMERCIO DE ALIMENTOS</v>
          </cell>
          <cell r="D3860" t="str">
            <v>3001</v>
          </cell>
          <cell r="E3860" t="str">
            <v>0125</v>
          </cell>
          <cell r="F3860" t="str">
            <v>C1</v>
          </cell>
          <cell r="G3860" t="str">
            <v>SP</v>
          </cell>
          <cell r="H3860" t="str">
            <v>DISTRIBUIÇÃO</v>
          </cell>
          <cell r="I3860" t="str">
            <v>FOOD SERVICE</v>
          </cell>
          <cell r="J3860" t="str">
            <v>VAGO SP</v>
          </cell>
          <cell r="K3860" t="str">
            <v>ITAMBÉ</v>
          </cell>
          <cell r="L3860" t="str">
            <v>RODRIGO</v>
          </cell>
          <cell r="M3860" t="str">
            <v>RAQUEL BARBOSA</v>
          </cell>
        </row>
        <row r="3861">
          <cell r="B3861">
            <v>5157891</v>
          </cell>
          <cell r="C3861" t="str">
            <v>NOVA MEGA G ATACADISTA DE ALIM</v>
          </cell>
          <cell r="D3861" t="str">
            <v>3001</v>
          </cell>
          <cell r="E3861" t="str">
            <v>0125</v>
          </cell>
          <cell r="F3861" t="str">
            <v>C1</v>
          </cell>
          <cell r="G3861" t="str">
            <v>SP</v>
          </cell>
          <cell r="H3861" t="str">
            <v>DISTRIBUIÇÃO</v>
          </cell>
          <cell r="I3861" t="str">
            <v>FOOD SERVICE</v>
          </cell>
          <cell r="J3861" t="str">
            <v>RAQUEL BARBOSA</v>
          </cell>
          <cell r="K3861" t="str">
            <v>ITAMBÉ</v>
          </cell>
          <cell r="L3861" t="str">
            <v>RODRIGO</v>
          </cell>
          <cell r="M3861" t="str">
            <v>RAQUEL BARBOSA</v>
          </cell>
        </row>
        <row r="3862">
          <cell r="B3862">
            <v>5172699</v>
          </cell>
          <cell r="C3862" t="str">
            <v>ATOS PAN COM DE PROD ALIM LTDA</v>
          </cell>
          <cell r="D3862" t="str">
            <v>3001</v>
          </cell>
          <cell r="E3862" t="str">
            <v>0125</v>
          </cell>
          <cell r="F3862" t="str">
            <v>C1</v>
          </cell>
          <cell r="G3862" t="str">
            <v>SP</v>
          </cell>
          <cell r="H3862" t="str">
            <v>DISTRIBUIÇÃO</v>
          </cell>
          <cell r="I3862" t="str">
            <v>FOOD SERVICE</v>
          </cell>
          <cell r="J3862" t="str">
            <v>SP ITB FS FLAC REP.E COMERCIO</v>
          </cell>
          <cell r="K3862" t="str">
            <v>ITAMBÉ</v>
          </cell>
          <cell r="L3862" t="str">
            <v>RODRIGO</v>
          </cell>
          <cell r="M3862" t="str">
            <v>RAQUEL BARBOSA</v>
          </cell>
        </row>
        <row r="3863">
          <cell r="B3863">
            <v>5194319</v>
          </cell>
          <cell r="C3863" t="str">
            <v>PIMENTA VERDE ALIMENTOS LTDA</v>
          </cell>
          <cell r="D3863" t="str">
            <v>3001</v>
          </cell>
          <cell r="E3863" t="str">
            <v>0125</v>
          </cell>
          <cell r="F3863" t="str">
            <v>C1</v>
          </cell>
          <cell r="G3863" t="str">
            <v>SP</v>
          </cell>
          <cell r="H3863" t="str">
            <v>QSR</v>
          </cell>
          <cell r="I3863" t="str">
            <v>FOOD SERVICE</v>
          </cell>
          <cell r="J3863" t="str">
            <v>ANA MENIQUETE</v>
          </cell>
          <cell r="K3863" t="str">
            <v>ITAMBÉ</v>
          </cell>
          <cell r="L3863" t="str">
            <v>PEDRO</v>
          </cell>
          <cell r="M3863" t="str">
            <v>ANA MENIQUETE</v>
          </cell>
        </row>
        <row r="3864">
          <cell r="B3864">
            <v>5208028</v>
          </cell>
          <cell r="C3864" t="str">
            <v>MISTUREX COMERCIO ATACA DE ALIM</v>
          </cell>
          <cell r="D3864" t="str">
            <v>3001</v>
          </cell>
          <cell r="E3864" t="str">
            <v>0028</v>
          </cell>
          <cell r="F3864" t="str">
            <v>C1</v>
          </cell>
          <cell r="G3864" t="str">
            <v>ES</v>
          </cell>
          <cell r="H3864" t="str">
            <v>INGREDIENTS</v>
          </cell>
          <cell r="I3864" t="str">
            <v>INGREDIENTS</v>
          </cell>
          <cell r="J3864" t="str">
            <v>TATIANA NITTA</v>
          </cell>
          <cell r="K3864" t="str">
            <v>ITAMBÉ</v>
          </cell>
          <cell r="L3864" t="str">
            <v>MAURICIO</v>
          </cell>
          <cell r="M3864" t="str">
            <v>TATIANA NITTA</v>
          </cell>
        </row>
        <row r="3865">
          <cell r="B3865">
            <v>5210615</v>
          </cell>
          <cell r="C3865" t="str">
            <v>M A DA SILVA COMERCIO</v>
          </cell>
          <cell r="D3865" t="str">
            <v>3001</v>
          </cell>
          <cell r="E3865" t="str">
            <v>0169</v>
          </cell>
          <cell r="F3865" t="str">
            <v>C1</v>
          </cell>
          <cell r="G3865" t="str">
            <v>ES</v>
          </cell>
          <cell r="H3865" t="str">
            <v>DISTRIBUIÇÃO</v>
          </cell>
          <cell r="I3865" t="str">
            <v>FOOD SERVICE</v>
          </cell>
          <cell r="J3865" t="str">
            <v>MARCELO DUARTE</v>
          </cell>
          <cell r="K3865" t="str">
            <v>ITAMBÉ</v>
          </cell>
          <cell r="L3865" t="str">
            <v>RODRIGO</v>
          </cell>
          <cell r="M3865" t="str">
            <v>JESSICA</v>
          </cell>
        </row>
        <row r="3866">
          <cell r="B3866">
            <v>5210640</v>
          </cell>
          <cell r="C3866" t="str">
            <v>SALT PIE INDUSTRIA COMERCIO</v>
          </cell>
          <cell r="D3866" t="str">
            <v>3001</v>
          </cell>
          <cell r="E3866" t="str">
            <v>0028</v>
          </cell>
          <cell r="F3866" t="str">
            <v>C1</v>
          </cell>
          <cell r="G3866" t="str">
            <v>SP</v>
          </cell>
          <cell r="H3866" t="str">
            <v>INGREDIENTS</v>
          </cell>
          <cell r="I3866" t="str">
            <v>INGREDIENTS</v>
          </cell>
          <cell r="J3866" t="str">
            <v>HENRIQUE FERREIRA</v>
          </cell>
          <cell r="K3866" t="str">
            <v>ITAMBÉ</v>
          </cell>
          <cell r="L3866" t="str">
            <v>MAURICIO</v>
          </cell>
          <cell r="M3866" t="str">
            <v>JOEL</v>
          </cell>
        </row>
        <row r="3867">
          <cell r="B3867">
            <v>5216557</v>
          </cell>
          <cell r="C3867" t="str">
            <v>G A R DE LUCENA</v>
          </cell>
          <cell r="D3867" t="str">
            <v>3001</v>
          </cell>
          <cell r="E3867" t="str">
            <v>0125</v>
          </cell>
          <cell r="F3867" t="str">
            <v>C1</v>
          </cell>
          <cell r="G3867" t="str">
            <v>SP</v>
          </cell>
          <cell r="H3867" t="str">
            <v>DISTRIBUIÇÃO</v>
          </cell>
          <cell r="I3867" t="str">
            <v>FOOD SERVICE</v>
          </cell>
          <cell r="J3867" t="str">
            <v>SP ITB FS FLAC REP.E COMERCIO</v>
          </cell>
          <cell r="K3867" t="str">
            <v>ITAMBÉ</v>
          </cell>
          <cell r="L3867" t="str">
            <v>RODRIGO</v>
          </cell>
          <cell r="M3867" t="str">
            <v>RAQUEL BARBOSA</v>
          </cell>
        </row>
        <row r="3868">
          <cell r="B3868">
            <v>5333873</v>
          </cell>
          <cell r="C3868" t="str">
            <v>FJN ACAIS E SORVETES LTDA</v>
          </cell>
          <cell r="D3868" t="str">
            <v>3001</v>
          </cell>
          <cell r="E3868" t="str">
            <v>0125</v>
          </cell>
          <cell r="F3868" t="str">
            <v>C1</v>
          </cell>
          <cell r="G3868" t="str">
            <v>SP</v>
          </cell>
          <cell r="H3868" t="str">
            <v>INGREDIENTS</v>
          </cell>
          <cell r="I3868" t="str">
            <v>INGREDIENTS</v>
          </cell>
          <cell r="J3868" t="str">
            <v>HENRIQUE FERREIRA</v>
          </cell>
          <cell r="K3868" t="str">
            <v>ITAMBÉ</v>
          </cell>
          <cell r="L3868" t="str">
            <v>MAURICIO</v>
          </cell>
          <cell r="M3868" t="str">
            <v>JOEL</v>
          </cell>
        </row>
        <row r="3869">
          <cell r="B3869">
            <v>5336828</v>
          </cell>
          <cell r="C3869" t="str">
            <v>MILANO COM VAREJ DE ALIMENTOS S</v>
          </cell>
          <cell r="D3869" t="str">
            <v>3001</v>
          </cell>
          <cell r="E3869" t="str">
            <v>0125</v>
          </cell>
          <cell r="F3869" t="str">
            <v>C1</v>
          </cell>
          <cell r="G3869" t="str">
            <v>SP</v>
          </cell>
          <cell r="H3869" t="str">
            <v>QSR</v>
          </cell>
          <cell r="I3869" t="str">
            <v>FOOD SERVICE</v>
          </cell>
          <cell r="J3869" t="str">
            <v>ANA MENIQUETE</v>
          </cell>
          <cell r="K3869" t="str">
            <v>ITAMBÉ</v>
          </cell>
          <cell r="L3869" t="str">
            <v>PEDRO</v>
          </cell>
          <cell r="M3869" t="str">
            <v>ANA MENIQUETE</v>
          </cell>
        </row>
        <row r="3870">
          <cell r="B3870">
            <v>5350695</v>
          </cell>
          <cell r="C3870" t="str">
            <v>CB JUNDIAI COMERCIO DE ALIMEN L</v>
          </cell>
          <cell r="D3870" t="str">
            <v>3001</v>
          </cell>
          <cell r="E3870" t="str">
            <v>0125</v>
          </cell>
          <cell r="F3870" t="str">
            <v>C1</v>
          </cell>
          <cell r="G3870" t="str">
            <v>SP</v>
          </cell>
          <cell r="H3870" t="str">
            <v>QSR</v>
          </cell>
          <cell r="I3870" t="str">
            <v>FOOD SERVICE</v>
          </cell>
          <cell r="J3870" t="str">
            <v>VAGO QSR</v>
          </cell>
          <cell r="K3870" t="str">
            <v>ITAMBÉ</v>
          </cell>
          <cell r="L3870" t="str">
            <v>PEDRO</v>
          </cell>
          <cell r="M3870" t="str">
            <v>VAGO QSR</v>
          </cell>
        </row>
        <row r="3871">
          <cell r="B3871">
            <v>5357614</v>
          </cell>
          <cell r="C3871" t="str">
            <v>ACAI ISLAND COMERCIO E DISTRIBU</v>
          </cell>
          <cell r="D3871" t="str">
            <v>3001</v>
          </cell>
          <cell r="E3871" t="str">
            <v>0028</v>
          </cell>
          <cell r="F3871" t="str">
            <v>C1</v>
          </cell>
          <cell r="G3871" t="str">
            <v>SP</v>
          </cell>
          <cell r="H3871" t="str">
            <v>INGREDIENTS</v>
          </cell>
          <cell r="I3871" t="str">
            <v>INGREDIENTS</v>
          </cell>
          <cell r="J3871" t="str">
            <v>SP ITB FS LUIZ PEREIRA</v>
          </cell>
          <cell r="K3871" t="str">
            <v>ITAMBÉ</v>
          </cell>
          <cell r="L3871" t="str">
            <v>MAURICIO</v>
          </cell>
          <cell r="M3871" t="str">
            <v>TATIANA NITTA</v>
          </cell>
        </row>
        <row r="3872">
          <cell r="B3872">
            <v>5370888</v>
          </cell>
          <cell r="C3872" t="str">
            <v>MOOCA LEVAIN FERMENTACAO NAT LT</v>
          </cell>
          <cell r="D3872" t="str">
            <v>7001</v>
          </cell>
          <cell r="E3872" t="str">
            <v>0749</v>
          </cell>
          <cell r="F3872" t="str">
            <v>C5</v>
          </cell>
          <cell r="G3872" t="str">
            <v>SP</v>
          </cell>
          <cell r="H3872" t="str">
            <v>DISTRIBUIÇÃO</v>
          </cell>
          <cell r="I3872" t="str">
            <v>FOOD SERVICE</v>
          </cell>
          <cell r="J3872" t="str">
            <v>FLAC 6</v>
          </cell>
          <cell r="K3872" t="str">
            <v>LACTALIS</v>
          </cell>
          <cell r="L3872" t="str">
            <v>RODRIGO</v>
          </cell>
          <cell r="M3872" t="str">
            <v>RAQUEL BARBOSA</v>
          </cell>
        </row>
        <row r="3873">
          <cell r="B3873">
            <v>5372381</v>
          </cell>
          <cell r="C3873" t="str">
            <v>COMERCIAL CENTERMIX LTDA</v>
          </cell>
          <cell r="D3873" t="str">
            <v>4001</v>
          </cell>
          <cell r="E3873" t="str">
            <v>0437</v>
          </cell>
          <cell r="F3873" t="str">
            <v>C1</v>
          </cell>
          <cell r="G3873" t="str">
            <v>SP</v>
          </cell>
          <cell r="H3873" t="str">
            <v>INGREDIENTS</v>
          </cell>
          <cell r="I3873" t="str">
            <v>INGREDIENTS</v>
          </cell>
          <cell r="J3873" t="str">
            <v>JOEL ELEOTÉRIO</v>
          </cell>
          <cell r="K3873" t="str">
            <v>LACTALIS</v>
          </cell>
          <cell r="L3873" t="str">
            <v>MAURICIO</v>
          </cell>
          <cell r="M3873" t="str">
            <v>JOEL</v>
          </cell>
        </row>
        <row r="3874">
          <cell r="B3874">
            <v>5372400</v>
          </cell>
          <cell r="C3874" t="str">
            <v>MOCHA SORVETERIA LTDA</v>
          </cell>
          <cell r="D3874" t="str">
            <v>3001</v>
          </cell>
          <cell r="E3874" t="str">
            <v>0169</v>
          </cell>
          <cell r="F3874" t="str">
            <v>C1</v>
          </cell>
          <cell r="G3874" t="str">
            <v>RJ</v>
          </cell>
          <cell r="H3874" t="str">
            <v>DISTRIBUIÇÃO</v>
          </cell>
          <cell r="I3874" t="str">
            <v>FOOD SERVICE</v>
          </cell>
          <cell r="J3874" t="str">
            <v>JULIANA CORDEIRO</v>
          </cell>
          <cell r="K3874" t="str">
            <v>ITAMBÉ</v>
          </cell>
          <cell r="L3874" t="str">
            <v>RODRIGO</v>
          </cell>
          <cell r="M3874" t="str">
            <v>JESSICA</v>
          </cell>
        </row>
        <row r="3875">
          <cell r="B3875">
            <v>5372512</v>
          </cell>
          <cell r="C3875" t="str">
            <v>DEVILLE HOTEIS E TURISMO LTDA</v>
          </cell>
          <cell r="D3875" t="str">
            <v>7001</v>
          </cell>
          <cell r="E3875" t="str">
            <v>0749</v>
          </cell>
          <cell r="F3875" t="str">
            <v>C5</v>
          </cell>
          <cell r="G3875" t="str">
            <v>SP</v>
          </cell>
          <cell r="H3875" t="str">
            <v>DISTRIBUIÇÃO</v>
          </cell>
          <cell r="I3875" t="str">
            <v>FOOD SERVICE</v>
          </cell>
          <cell r="J3875" t="str">
            <v>FLAC 2</v>
          </cell>
          <cell r="K3875" t="str">
            <v>LACTALIS</v>
          </cell>
          <cell r="L3875" t="str">
            <v>RODRIGO</v>
          </cell>
          <cell r="M3875" t="str">
            <v>RAQUEL BARBOSA</v>
          </cell>
        </row>
        <row r="3876">
          <cell r="B3876">
            <v>5161583</v>
          </cell>
          <cell r="C3876" t="str">
            <v>DOHLER AMERICA LATINA LTDA</v>
          </cell>
          <cell r="D3876" t="str">
            <v>3001</v>
          </cell>
          <cell r="E3876" t="str">
            <v>0028</v>
          </cell>
          <cell r="F3876" t="str">
            <v>C1</v>
          </cell>
          <cell r="G3876" t="str">
            <v>SP</v>
          </cell>
          <cell r="H3876" t="str">
            <v>INGREDIENTS</v>
          </cell>
          <cell r="I3876" t="str">
            <v>INGREDIENTS</v>
          </cell>
          <cell r="J3876" t="str">
            <v>HENRIQUE FERREIRA</v>
          </cell>
          <cell r="K3876" t="str">
            <v>ITAMBÉ</v>
          </cell>
          <cell r="L3876" t="str">
            <v>MAURICIO</v>
          </cell>
          <cell r="M3876" t="str">
            <v>JOEL</v>
          </cell>
        </row>
        <row r="3877">
          <cell r="B3877">
            <v>5180088</v>
          </cell>
          <cell r="C3877" t="str">
            <v>CARMEL IND E COM DE SOBREMESAS</v>
          </cell>
          <cell r="D3877" t="str">
            <v>4001</v>
          </cell>
          <cell r="E3877" t="str">
            <v>0455</v>
          </cell>
          <cell r="F3877" t="str">
            <v>C1</v>
          </cell>
          <cell r="G3877" t="str">
            <v>PR</v>
          </cell>
          <cell r="H3877" t="str">
            <v>INGREDIENTS</v>
          </cell>
          <cell r="I3877" t="str">
            <v>INGREDIENTS</v>
          </cell>
          <cell r="J3877" t="str">
            <v>MARCELO RODRIGUES</v>
          </cell>
          <cell r="K3877" t="str">
            <v>LACTALIS</v>
          </cell>
          <cell r="L3877" t="str">
            <v>MAURICIO</v>
          </cell>
          <cell r="M3877" t="str">
            <v>MARCELO</v>
          </cell>
        </row>
        <row r="3878">
          <cell r="B3878">
            <v>5223622</v>
          </cell>
          <cell r="C3878" t="str">
            <v>CBX CG COMERCIO DE ALIMENTOS LTDA</v>
          </cell>
          <cell r="D3878" t="str">
            <v>3001</v>
          </cell>
          <cell r="E3878" t="str">
            <v>0123</v>
          </cell>
          <cell r="F3878" t="str">
            <v>C1</v>
          </cell>
          <cell r="G3878" t="str">
            <v>MS</v>
          </cell>
          <cell r="H3878" t="str">
            <v>QSR</v>
          </cell>
          <cell r="I3878" t="str">
            <v>FOOD SERVICE</v>
          </cell>
          <cell r="J3878" t="str">
            <v>VAGO QSR</v>
          </cell>
          <cell r="K3878" t="str">
            <v>ITAMBÉ</v>
          </cell>
          <cell r="L3878" t="str">
            <v>PEDRO</v>
          </cell>
          <cell r="M3878" t="str">
            <v>VAGO QSR</v>
          </cell>
        </row>
        <row r="3879">
          <cell r="B3879">
            <v>5301969</v>
          </cell>
          <cell r="C3879" t="str">
            <v>SGLV CAFE LTDA</v>
          </cell>
          <cell r="D3879" t="str">
            <v>7001</v>
          </cell>
          <cell r="E3879" t="str">
            <v>0749</v>
          </cell>
          <cell r="F3879" t="str">
            <v>C5</v>
          </cell>
          <cell r="G3879" t="str">
            <v>SP</v>
          </cell>
          <cell r="H3879" t="str">
            <v>DISTRIBUIÇÃO</v>
          </cell>
          <cell r="I3879" t="str">
            <v>FOOD SERVICE</v>
          </cell>
          <cell r="J3879" t="str">
            <v>FLAC 3</v>
          </cell>
          <cell r="K3879" t="str">
            <v>LACTALIS</v>
          </cell>
          <cell r="L3879" t="str">
            <v>RODRIGO</v>
          </cell>
          <cell r="M3879" t="str">
            <v>RAQUEL BARBOSA</v>
          </cell>
        </row>
        <row r="3880">
          <cell r="B3880">
            <v>5340656</v>
          </cell>
          <cell r="C3880" t="str">
            <v>ATRIA PRODUTOS ALIMENTICIOS LTD</v>
          </cell>
          <cell r="D3880" t="str">
            <v>3001</v>
          </cell>
          <cell r="E3880" t="str">
            <v>0125</v>
          </cell>
          <cell r="F3880" t="str">
            <v>C1</v>
          </cell>
          <cell r="G3880" t="str">
            <v>SP</v>
          </cell>
          <cell r="H3880" t="str">
            <v>DISTRIBUIÇÃO</v>
          </cell>
          <cell r="I3880" t="str">
            <v>FOOD SERVICE</v>
          </cell>
          <cell r="J3880" t="str">
            <v>GUILHERME NASCIMENTO</v>
          </cell>
          <cell r="K3880" t="str">
            <v>ITAMBÉ</v>
          </cell>
          <cell r="L3880" t="str">
            <v>RODRIGO</v>
          </cell>
          <cell r="M3880" t="str">
            <v>ALEXANDRO</v>
          </cell>
        </row>
        <row r="3881">
          <cell r="B3881">
            <v>5360865</v>
          </cell>
          <cell r="C3881" t="str">
            <v>GRANZOTO FRIOS E LATICINIOS LTD</v>
          </cell>
          <cell r="D3881" t="str">
            <v>3001</v>
          </cell>
          <cell r="E3881" t="str">
            <v>0125</v>
          </cell>
          <cell r="F3881" t="str">
            <v>C1</v>
          </cell>
          <cell r="G3881" t="str">
            <v>SP</v>
          </cell>
          <cell r="H3881" t="str">
            <v>DISTRIBUIÇÃO</v>
          </cell>
          <cell r="I3881" t="str">
            <v>FOOD SERVICE</v>
          </cell>
          <cell r="J3881" t="str">
            <v>ALEXANDRE BONANI</v>
          </cell>
          <cell r="K3881" t="str">
            <v>ITAMBÉ</v>
          </cell>
          <cell r="L3881" t="str">
            <v>RODRIGO</v>
          </cell>
          <cell r="M3881" t="str">
            <v>ALEXANDRE BONANI</v>
          </cell>
        </row>
        <row r="3882">
          <cell r="B3882">
            <v>5365616</v>
          </cell>
          <cell r="C3882" t="str">
            <v>EMPORIO SANTA RITA PROD ALI LTD</v>
          </cell>
          <cell r="D3882" t="str">
            <v>7001</v>
          </cell>
          <cell r="E3882" t="str">
            <v>0749</v>
          </cell>
          <cell r="F3882" t="str">
            <v>C5</v>
          </cell>
          <cell r="G3882" t="str">
            <v>SP</v>
          </cell>
          <cell r="H3882" t="str">
            <v>DISTRIBUIÇÃO</v>
          </cell>
          <cell r="I3882" t="str">
            <v>FOOD SERVICE</v>
          </cell>
          <cell r="J3882" t="str">
            <v>FLAC 3</v>
          </cell>
          <cell r="K3882" t="str">
            <v>LACTALIS</v>
          </cell>
          <cell r="L3882" t="str">
            <v>RODRIGO</v>
          </cell>
          <cell r="M3882" t="str">
            <v>RAQUEL BARBOSA</v>
          </cell>
        </row>
        <row r="3883">
          <cell r="B3883">
            <v>5366898</v>
          </cell>
          <cell r="C3883" t="str">
            <v>65055213 BRUNNER GUEIROS DUARTE</v>
          </cell>
          <cell r="D3883" t="str">
            <v>7001</v>
          </cell>
          <cell r="E3883" t="str">
            <v>0722</v>
          </cell>
          <cell r="F3883" t="str">
            <v>C1</v>
          </cell>
          <cell r="G3883" t="str">
            <v>SP</v>
          </cell>
          <cell r="H3883" t="str">
            <v>QSR</v>
          </cell>
          <cell r="I3883" t="str">
            <v>FOOD SERVICE</v>
          </cell>
          <cell r="J3883" t="str">
            <v>ANA MENIQUETE</v>
          </cell>
          <cell r="K3883" t="str">
            <v>LACTALIS</v>
          </cell>
          <cell r="L3883" t="str">
            <v>PEDRO</v>
          </cell>
          <cell r="M3883" t="str">
            <v>ANA MENIQUETE</v>
          </cell>
        </row>
        <row r="3884">
          <cell r="B3884">
            <v>5372401</v>
          </cell>
          <cell r="C3884" t="str">
            <v>MOCHA SORVETERIA LTDA</v>
          </cell>
          <cell r="D3884" t="str">
            <v>3001</v>
          </cell>
          <cell r="E3884" t="str">
            <v>0169</v>
          </cell>
          <cell r="F3884" t="str">
            <v>C1</v>
          </cell>
          <cell r="G3884" t="str">
            <v>RJ</v>
          </cell>
          <cell r="H3884" t="str">
            <v>DISTRIBUIÇÃO</v>
          </cell>
          <cell r="I3884" t="str">
            <v>FOOD SERVICE</v>
          </cell>
          <cell r="J3884" t="str">
            <v>JULIANA CORDEIRO</v>
          </cell>
          <cell r="K3884" t="str">
            <v>ITAMBÉ</v>
          </cell>
          <cell r="L3884" t="str">
            <v>RODRIGO</v>
          </cell>
          <cell r="M3884" t="str">
            <v>JESSICA</v>
          </cell>
        </row>
        <row r="3885">
          <cell r="B3885">
            <v>5372493</v>
          </cell>
          <cell r="C3885" t="str">
            <v>SERGIO ARANTES DE PAIVA</v>
          </cell>
          <cell r="D3885" t="str">
            <v>7001</v>
          </cell>
          <cell r="E3885" t="str">
            <v>0749</v>
          </cell>
          <cell r="F3885" t="str">
            <v>C5</v>
          </cell>
          <cell r="G3885" t="str">
            <v>SP</v>
          </cell>
          <cell r="H3885" t="str">
            <v>DISTRIBUIÇÃO</v>
          </cell>
          <cell r="I3885" t="str">
            <v>FOOD SERVICE</v>
          </cell>
          <cell r="J3885" t="str">
            <v>FLAC 10</v>
          </cell>
          <cell r="K3885" t="str">
            <v>LACTALIS</v>
          </cell>
          <cell r="L3885" t="str">
            <v>RODRIGO</v>
          </cell>
          <cell r="M3885" t="str">
            <v>RAQUEL BARBOSA</v>
          </cell>
        </row>
        <row r="3886">
          <cell r="B3886">
            <v>5012641</v>
          </cell>
          <cell r="C3886" t="str">
            <v>COM LOURO DE FRIOS E SALGADOS LTDA</v>
          </cell>
          <cell r="D3886" t="str">
            <v>3001</v>
          </cell>
          <cell r="E3886" t="str">
            <v>0125</v>
          </cell>
          <cell r="F3886" t="str">
            <v>C1</v>
          </cell>
          <cell r="G3886" t="str">
            <v>SP</v>
          </cell>
          <cell r="H3886" t="str">
            <v>DISTRIBUIÇÃO</v>
          </cell>
          <cell r="I3886" t="str">
            <v>FOOD SERVICE</v>
          </cell>
          <cell r="J3886" t="str">
            <v>GUILHERME NASCIMENTO</v>
          </cell>
          <cell r="K3886" t="str">
            <v>ITAMBÉ</v>
          </cell>
          <cell r="L3886" t="str">
            <v>RODRIGO</v>
          </cell>
          <cell r="M3886" t="str">
            <v>ALEXANDRO</v>
          </cell>
        </row>
        <row r="3887">
          <cell r="B3887">
            <v>5020347</v>
          </cell>
          <cell r="C3887" t="str">
            <v>SVP COMERCIO DE ALIMENTOS LTDA</v>
          </cell>
          <cell r="D3887" t="str">
            <v>3001</v>
          </cell>
          <cell r="E3887" t="str">
            <v>0125</v>
          </cell>
          <cell r="F3887" t="str">
            <v>C1</v>
          </cell>
          <cell r="G3887" t="str">
            <v>SP</v>
          </cell>
          <cell r="H3887" t="str">
            <v>DISTRIBUIÇÃO</v>
          </cell>
          <cell r="I3887" t="str">
            <v>FOOD SERVICE</v>
          </cell>
          <cell r="J3887" t="str">
            <v>GUILHERME NASCIMENTO</v>
          </cell>
          <cell r="K3887" t="str">
            <v>ITAMBÉ</v>
          </cell>
          <cell r="L3887" t="str">
            <v>RODRIGO</v>
          </cell>
          <cell r="M3887" t="str">
            <v>ALEXANDRO</v>
          </cell>
        </row>
        <row r="3888">
          <cell r="B3888">
            <v>5023831</v>
          </cell>
          <cell r="C3888" t="str">
            <v>DORIVALI COM DIST DE PROD ALIM LTDA</v>
          </cell>
          <cell r="D3888" t="str">
            <v>3001</v>
          </cell>
          <cell r="E3888" t="str">
            <v>0125</v>
          </cell>
          <cell r="F3888" t="str">
            <v>C1</v>
          </cell>
          <cell r="G3888" t="str">
            <v>SP</v>
          </cell>
          <cell r="H3888" t="str">
            <v>DISTRIBUIÇÃO</v>
          </cell>
          <cell r="I3888" t="str">
            <v>FOOD SERVICE</v>
          </cell>
          <cell r="J3888" t="str">
            <v>VAGO SP</v>
          </cell>
          <cell r="K3888" t="str">
            <v>ITAMBÉ</v>
          </cell>
          <cell r="L3888" t="str">
            <v>RODRIGO</v>
          </cell>
          <cell r="M3888" t="str">
            <v>RAQUEL BARBOSA</v>
          </cell>
        </row>
        <row r="3889">
          <cell r="B3889">
            <v>5024326</v>
          </cell>
          <cell r="C3889" t="str">
            <v>COMERCIAL PEREIRA NERES LTDA ME</v>
          </cell>
          <cell r="D3889" t="str">
            <v>3001</v>
          </cell>
          <cell r="E3889" t="str">
            <v>0169</v>
          </cell>
          <cell r="F3889" t="str">
            <v>C1</v>
          </cell>
          <cell r="G3889" t="str">
            <v>ES</v>
          </cell>
          <cell r="H3889" t="str">
            <v>DISTRIBUIÇÃO</v>
          </cell>
          <cell r="I3889" t="str">
            <v>FOOD SERVICE</v>
          </cell>
          <cell r="J3889" t="str">
            <v>MARCELO DUARTE</v>
          </cell>
          <cell r="K3889" t="str">
            <v>ITAMBÉ</v>
          </cell>
          <cell r="L3889" t="str">
            <v>RODRIGO</v>
          </cell>
          <cell r="M3889" t="str">
            <v>JESSICA</v>
          </cell>
        </row>
        <row r="3890">
          <cell r="B3890">
            <v>5031156</v>
          </cell>
          <cell r="C3890" t="str">
            <v>SIRLEI MENDES DE OLIVEIRA</v>
          </cell>
          <cell r="D3890" t="str">
            <v>3001</v>
          </cell>
          <cell r="E3890" t="str">
            <v>0125</v>
          </cell>
          <cell r="F3890" t="str">
            <v>C1</v>
          </cell>
          <cell r="G3890" t="str">
            <v>SP</v>
          </cell>
          <cell r="H3890" t="str">
            <v>DISTRIBUIÇÃO</v>
          </cell>
          <cell r="I3890" t="str">
            <v>FOOD SERVICE</v>
          </cell>
          <cell r="J3890" t="str">
            <v>SP ITB FS FLAC REP.E COMERCIO</v>
          </cell>
          <cell r="K3890" t="str">
            <v>ITAMBÉ</v>
          </cell>
          <cell r="L3890" t="str">
            <v>RODRIGO</v>
          </cell>
          <cell r="M3890" t="str">
            <v>RAQUEL BARBOSA</v>
          </cell>
        </row>
        <row r="3891">
          <cell r="B3891">
            <v>5033007</v>
          </cell>
          <cell r="C3891" t="str">
            <v>COMERCIAL NERES E ARAUO LTDA</v>
          </cell>
          <cell r="D3891" t="str">
            <v>3001</v>
          </cell>
          <cell r="E3891" t="str">
            <v>0169</v>
          </cell>
          <cell r="F3891" t="str">
            <v>C1</v>
          </cell>
          <cell r="G3891" t="str">
            <v>ES</v>
          </cell>
          <cell r="H3891" t="str">
            <v>DISTRIBUIÇÃO</v>
          </cell>
          <cell r="I3891" t="str">
            <v>FOOD SERVICE</v>
          </cell>
          <cell r="J3891" t="str">
            <v>MARCELO DUARTE</v>
          </cell>
          <cell r="K3891" t="str">
            <v>ITAMBÉ</v>
          </cell>
          <cell r="L3891" t="str">
            <v>RODRIGO</v>
          </cell>
          <cell r="M3891" t="str">
            <v>JESSICA</v>
          </cell>
        </row>
        <row r="3892">
          <cell r="B3892">
            <v>5036562</v>
          </cell>
          <cell r="C3892" t="str">
            <v>SUPER DOCES MARIGA LTDA</v>
          </cell>
          <cell r="D3892" t="str">
            <v>3001</v>
          </cell>
          <cell r="E3892" t="str">
            <v>0125</v>
          </cell>
          <cell r="F3892" t="str">
            <v>C1</v>
          </cell>
          <cell r="G3892" t="str">
            <v>SP</v>
          </cell>
          <cell r="H3892" t="str">
            <v>DISTRIBUIÇÃO</v>
          </cell>
          <cell r="I3892" t="str">
            <v>FOOD SERVICE</v>
          </cell>
          <cell r="J3892" t="str">
            <v>GUILHERME NASCIMENTO</v>
          </cell>
          <cell r="K3892" t="str">
            <v>ITAMBÉ</v>
          </cell>
          <cell r="L3892" t="str">
            <v>RODRIGO</v>
          </cell>
          <cell r="M3892" t="str">
            <v>ALEXANDRO</v>
          </cell>
        </row>
        <row r="3893">
          <cell r="B3893">
            <v>5038157</v>
          </cell>
          <cell r="C3893" t="str">
            <v>MERCADINHO LESSA LTDA</v>
          </cell>
          <cell r="D3893" t="str">
            <v>3001</v>
          </cell>
          <cell r="E3893" t="str">
            <v>0125</v>
          </cell>
          <cell r="F3893" t="str">
            <v>C1</v>
          </cell>
          <cell r="G3893" t="str">
            <v>SP</v>
          </cell>
          <cell r="H3893" t="str">
            <v>DISTRIBUIÇÃO</v>
          </cell>
          <cell r="I3893" t="str">
            <v>FOOD SERVICE</v>
          </cell>
          <cell r="J3893" t="str">
            <v>GUILHERME NASCIMENTO</v>
          </cell>
          <cell r="K3893" t="str">
            <v>ITAMBÉ</v>
          </cell>
          <cell r="L3893" t="str">
            <v>RODRIGO</v>
          </cell>
          <cell r="M3893" t="str">
            <v>ALEXANDRO</v>
          </cell>
        </row>
        <row r="3894">
          <cell r="B3894">
            <v>5063519</v>
          </cell>
          <cell r="C3894" t="str">
            <v>SAPORE SA</v>
          </cell>
          <cell r="D3894" t="str">
            <v>3001</v>
          </cell>
          <cell r="E3894" t="str">
            <v>0125</v>
          </cell>
          <cell r="F3894" t="str">
            <v>C1</v>
          </cell>
          <cell r="G3894" t="str">
            <v>SP</v>
          </cell>
          <cell r="H3894" t="str">
            <v>QSR</v>
          </cell>
          <cell r="I3894" t="str">
            <v>FOOD SERVICE</v>
          </cell>
          <cell r="J3894" t="str">
            <v>NUTRI</v>
          </cell>
          <cell r="K3894" t="str">
            <v>ITAMBÉ</v>
          </cell>
          <cell r="L3894" t="str">
            <v>PEDRO</v>
          </cell>
          <cell r="M3894" t="str">
            <v>VAGO QSR</v>
          </cell>
        </row>
        <row r="3895">
          <cell r="B3895">
            <v>5067885</v>
          </cell>
          <cell r="C3895" t="str">
            <v>SOAZA COM PROD ALIMENTICIOS LTD</v>
          </cell>
          <cell r="D3895" t="str">
            <v>3001</v>
          </cell>
          <cell r="E3895" t="str">
            <v>0125</v>
          </cell>
          <cell r="F3895" t="str">
            <v>C1</v>
          </cell>
          <cell r="G3895" t="str">
            <v>SP</v>
          </cell>
          <cell r="H3895" t="str">
            <v>DISTRIBUIÇÃO</v>
          </cell>
          <cell r="I3895" t="str">
            <v>FOOD SERVICE</v>
          </cell>
          <cell r="J3895" t="str">
            <v>ALEXANDRE BONANI</v>
          </cell>
          <cell r="K3895" t="str">
            <v>ITAMBÉ</v>
          </cell>
          <cell r="L3895" t="str">
            <v>RODRIGO</v>
          </cell>
          <cell r="M3895" t="str">
            <v>ALEXANDRE BONANI</v>
          </cell>
        </row>
        <row r="3896">
          <cell r="B3896">
            <v>5077852</v>
          </cell>
          <cell r="C3896" t="str">
            <v>RODRIGO FITZGERALD LUPIANHES</v>
          </cell>
          <cell r="D3896" t="str">
            <v>3001</v>
          </cell>
          <cell r="E3896" t="str">
            <v>0125</v>
          </cell>
          <cell r="F3896" t="str">
            <v>C1</v>
          </cell>
          <cell r="G3896" t="str">
            <v>SP</v>
          </cell>
          <cell r="H3896" t="str">
            <v>DISTRIBUIÇÃO</v>
          </cell>
          <cell r="I3896" t="str">
            <v>FOOD SERVICE</v>
          </cell>
          <cell r="J3896" t="str">
            <v>ALEXANDRE BONANI</v>
          </cell>
          <cell r="K3896" t="str">
            <v>ITAMBÉ</v>
          </cell>
          <cell r="L3896" t="str">
            <v>RODRIGO</v>
          </cell>
          <cell r="M3896" t="str">
            <v>ALEXANDRE BONANI</v>
          </cell>
        </row>
        <row r="3897">
          <cell r="B3897">
            <v>5083008</v>
          </cell>
          <cell r="C3897" t="str">
            <v>ADRIPAN PRODUTOS PARA PANIFICACAO L</v>
          </cell>
          <cell r="D3897" t="str">
            <v>3001</v>
          </cell>
          <cell r="E3897" t="str">
            <v>0125</v>
          </cell>
          <cell r="F3897" t="str">
            <v>C1</v>
          </cell>
          <cell r="G3897" t="str">
            <v>SP</v>
          </cell>
          <cell r="H3897" t="str">
            <v>DISTRIBUIÇÃO</v>
          </cell>
          <cell r="I3897" t="str">
            <v>FOOD SERVICE</v>
          </cell>
          <cell r="J3897" t="str">
            <v>ALEXANDRE BONANI</v>
          </cell>
          <cell r="K3897" t="str">
            <v>ITAMBÉ</v>
          </cell>
          <cell r="L3897" t="str">
            <v>RODRIGO</v>
          </cell>
          <cell r="M3897" t="str">
            <v>ALEXANDRE BONANI</v>
          </cell>
        </row>
        <row r="3898">
          <cell r="B3898">
            <v>5086953</v>
          </cell>
          <cell r="C3898" t="str">
            <v>MABE ALIMENTOS LTDA</v>
          </cell>
          <cell r="D3898" t="str">
            <v>3001</v>
          </cell>
          <cell r="E3898" t="str">
            <v>0028</v>
          </cell>
          <cell r="F3898" t="str">
            <v>C1</v>
          </cell>
          <cell r="G3898" t="str">
            <v>SP</v>
          </cell>
          <cell r="H3898" t="str">
            <v>INGREDIENTS</v>
          </cell>
          <cell r="I3898" t="str">
            <v>INGREDIENTS</v>
          </cell>
          <cell r="J3898" t="str">
            <v>JOEL ELEOTÉRIO</v>
          </cell>
          <cell r="K3898" t="str">
            <v>ITAMBÉ</v>
          </cell>
          <cell r="L3898" t="str">
            <v>MAURICIO</v>
          </cell>
          <cell r="M3898" t="str">
            <v>JOEL</v>
          </cell>
        </row>
        <row r="3899">
          <cell r="B3899">
            <v>5107112</v>
          </cell>
          <cell r="C3899" t="str">
            <v>MACPAN COM E DIST DE PROD ALIM LT M</v>
          </cell>
          <cell r="D3899" t="str">
            <v>3001</v>
          </cell>
          <cell r="E3899" t="str">
            <v>0125</v>
          </cell>
          <cell r="F3899" t="str">
            <v>C1</v>
          </cell>
          <cell r="G3899" t="str">
            <v>SP</v>
          </cell>
          <cell r="H3899" t="str">
            <v>DISTRIBUIÇÃO</v>
          </cell>
          <cell r="I3899" t="str">
            <v>FOOD SERVICE</v>
          </cell>
          <cell r="J3899" t="str">
            <v>GUILHERME NASCIMENTO</v>
          </cell>
          <cell r="K3899" t="str">
            <v>ITAMBÉ</v>
          </cell>
          <cell r="L3899" t="str">
            <v>RODRIGO</v>
          </cell>
          <cell r="M3899" t="str">
            <v>ALEXANDRO</v>
          </cell>
        </row>
        <row r="3900">
          <cell r="B3900">
            <v>5107152</v>
          </cell>
          <cell r="C3900" t="str">
            <v>CALIFORNIA COM DE SORVETES LTDA</v>
          </cell>
          <cell r="D3900" t="str">
            <v>3001</v>
          </cell>
          <cell r="E3900" t="str">
            <v>0028</v>
          </cell>
          <cell r="F3900" t="str">
            <v>C1</v>
          </cell>
          <cell r="G3900" t="str">
            <v>RJ</v>
          </cell>
          <cell r="H3900" t="str">
            <v>QSR</v>
          </cell>
          <cell r="I3900" t="str">
            <v>FOOD SERVICE</v>
          </cell>
          <cell r="J3900" t="str">
            <v>NUTRI</v>
          </cell>
          <cell r="K3900" t="str">
            <v>ITAMBÉ</v>
          </cell>
          <cell r="L3900" t="str">
            <v>PEDRO</v>
          </cell>
          <cell r="M3900" t="str">
            <v>VAGO QSR</v>
          </cell>
        </row>
        <row r="3901">
          <cell r="B3901">
            <v>5110662</v>
          </cell>
          <cell r="C3901" t="str">
            <v>CANELA E CIA RESTAURANTE LTDA</v>
          </cell>
          <cell r="D3901" t="str">
            <v>3001</v>
          </cell>
          <cell r="E3901" t="str">
            <v>0127</v>
          </cell>
          <cell r="F3901" t="str">
            <v>C1</v>
          </cell>
          <cell r="G3901" t="str">
            <v>BA</v>
          </cell>
          <cell r="H3901" t="str">
            <v>DISTRIBUIÇÃO</v>
          </cell>
          <cell r="I3901" t="str">
            <v>FOOD SERVICE</v>
          </cell>
          <cell r="J3901" t="str">
            <v>CLAUDIO JORGE/LUIZ</v>
          </cell>
          <cell r="K3901" t="str">
            <v>ITAMBÉ</v>
          </cell>
          <cell r="L3901" t="str">
            <v>RODRIGO</v>
          </cell>
          <cell r="M3901" t="str">
            <v>MARIA LOURDES</v>
          </cell>
        </row>
        <row r="3902">
          <cell r="B3902">
            <v>5115814</v>
          </cell>
          <cell r="C3902" t="str">
            <v>HAND BAKER DIST DE PROD P PANIF EIR</v>
          </cell>
          <cell r="D3902" t="str">
            <v>3001</v>
          </cell>
          <cell r="E3902" t="str">
            <v>0169</v>
          </cell>
          <cell r="F3902" t="str">
            <v>C1</v>
          </cell>
          <cell r="G3902" t="str">
            <v>RJ</v>
          </cell>
          <cell r="H3902" t="str">
            <v>DISTRIBUIÇÃO</v>
          </cell>
          <cell r="I3902" t="str">
            <v>FOOD SERVICE</v>
          </cell>
          <cell r="J3902" t="str">
            <v>JULIANA CORDEIRO</v>
          </cell>
          <cell r="K3902" t="str">
            <v>ITAMBÉ</v>
          </cell>
          <cell r="L3902" t="str">
            <v>RODRIGO</v>
          </cell>
          <cell r="M3902" t="str">
            <v>JESSICA</v>
          </cell>
        </row>
        <row r="3903">
          <cell r="B3903">
            <v>5127549</v>
          </cell>
          <cell r="C3903" t="str">
            <v>SECOMANDI IND E COM DE SORVETES LTD</v>
          </cell>
          <cell r="D3903" t="str">
            <v>3001</v>
          </cell>
          <cell r="E3903" t="str">
            <v>0028</v>
          </cell>
          <cell r="F3903" t="str">
            <v>C1</v>
          </cell>
          <cell r="G3903" t="str">
            <v>ES</v>
          </cell>
          <cell r="H3903" t="str">
            <v>INGREDIENTS</v>
          </cell>
          <cell r="I3903" t="str">
            <v>INGREDIENTS</v>
          </cell>
          <cell r="J3903" t="str">
            <v>HENRIQUE FERREIRA</v>
          </cell>
          <cell r="K3903" t="str">
            <v>ITAMBÉ</v>
          </cell>
          <cell r="L3903" t="str">
            <v>MAURICIO</v>
          </cell>
          <cell r="M3903" t="str">
            <v>JOEL</v>
          </cell>
        </row>
        <row r="3904">
          <cell r="B3904">
            <v>5130343</v>
          </cell>
          <cell r="C3904" t="str">
            <v>CDI BARRA PROD IMP E EXPORTACAO LTD</v>
          </cell>
          <cell r="D3904" t="str">
            <v>7001</v>
          </cell>
          <cell r="E3904" t="str">
            <v>0749</v>
          </cell>
          <cell r="F3904" t="str">
            <v>C5</v>
          </cell>
          <cell r="G3904" t="str">
            <v>SP</v>
          </cell>
          <cell r="H3904" t="str">
            <v>DISTRIBUIÇÃO</v>
          </cell>
          <cell r="I3904" t="str">
            <v>FOOD SERVICE</v>
          </cell>
          <cell r="J3904" t="str">
            <v>SP ITB FS FLAC REP.E COMERCIO</v>
          </cell>
          <cell r="K3904" t="str">
            <v>LACTALIS</v>
          </cell>
          <cell r="L3904" t="str">
            <v>RODRIGO</v>
          </cell>
          <cell r="M3904" t="str">
            <v>RAQUEL BARBOSA</v>
          </cell>
        </row>
        <row r="3905">
          <cell r="B3905">
            <v>5150495</v>
          </cell>
          <cell r="C3905" t="str">
            <v>CASA DE BOLOS DIST LTDA EPP</v>
          </cell>
          <cell r="D3905" t="str">
            <v>3001</v>
          </cell>
          <cell r="E3905" t="str">
            <v>0125</v>
          </cell>
          <cell r="F3905" t="str">
            <v>C1</v>
          </cell>
          <cell r="G3905" t="str">
            <v>SP</v>
          </cell>
          <cell r="H3905" t="str">
            <v>DISTRIBUIÇÃO</v>
          </cell>
          <cell r="I3905" t="str">
            <v>FOOD SERVICE</v>
          </cell>
          <cell r="J3905" t="str">
            <v>GUILHERME NASCIMENTO</v>
          </cell>
          <cell r="K3905" t="str">
            <v>ITAMBÉ</v>
          </cell>
          <cell r="L3905" t="str">
            <v>RODRIGO</v>
          </cell>
          <cell r="M3905" t="str">
            <v>ALEXANDRO</v>
          </cell>
        </row>
        <row r="3906">
          <cell r="B3906">
            <v>5163884</v>
          </cell>
          <cell r="C3906" t="str">
            <v>SORVEMIX COMERCIO DE ALIM LTDA</v>
          </cell>
          <cell r="D3906" t="str">
            <v>3001</v>
          </cell>
          <cell r="E3906" t="str">
            <v>0028</v>
          </cell>
          <cell r="F3906" t="str">
            <v>C1</v>
          </cell>
          <cell r="G3906" t="str">
            <v>SP</v>
          </cell>
          <cell r="H3906" t="str">
            <v>INGREDIENTS</v>
          </cell>
          <cell r="I3906" t="str">
            <v>INGREDIENTS</v>
          </cell>
          <cell r="J3906" t="str">
            <v>MARCELO RODRIGUES</v>
          </cell>
          <cell r="K3906" t="str">
            <v>ITAMBÉ</v>
          </cell>
          <cell r="L3906" t="str">
            <v>MAURICIO</v>
          </cell>
          <cell r="M3906" t="str">
            <v>MARCELO</v>
          </cell>
        </row>
        <row r="3907">
          <cell r="B3907">
            <v>5165710</v>
          </cell>
          <cell r="C3907" t="str">
            <v>EMBALACENTER COM REP DE EMB PAPEL</v>
          </cell>
          <cell r="D3907" t="str">
            <v>3001</v>
          </cell>
          <cell r="E3907" t="str">
            <v>0028</v>
          </cell>
          <cell r="F3907" t="str">
            <v>C1</v>
          </cell>
          <cell r="G3907" t="str">
            <v>SE</v>
          </cell>
          <cell r="H3907" t="str">
            <v>INGREDIENTS</v>
          </cell>
          <cell r="I3907" t="str">
            <v>INGREDIENTS</v>
          </cell>
          <cell r="J3907" t="str">
            <v>BA ITB FS L B REPRES LTDA</v>
          </cell>
          <cell r="K3907" t="str">
            <v>ITAMBÉ</v>
          </cell>
          <cell r="L3907" t="str">
            <v>MAURICIO</v>
          </cell>
          <cell r="M3907" t="str">
            <v>JOEL</v>
          </cell>
        </row>
        <row r="3908">
          <cell r="B3908">
            <v>5166366</v>
          </cell>
          <cell r="C3908" t="str">
            <v>A CONFITERIA IND E COM DE ALIM LTDA</v>
          </cell>
          <cell r="D3908" t="str">
            <v>3001</v>
          </cell>
          <cell r="E3908" t="str">
            <v>0125</v>
          </cell>
          <cell r="F3908" t="str">
            <v>C1</v>
          </cell>
          <cell r="G3908" t="str">
            <v>SP</v>
          </cell>
          <cell r="H3908" t="str">
            <v>DISTRIBUIÇÃO</v>
          </cell>
          <cell r="I3908" t="str">
            <v>FOOD SERVICE</v>
          </cell>
          <cell r="J3908" t="str">
            <v>FLAC 6</v>
          </cell>
          <cell r="K3908" t="str">
            <v>ITAMBÉ</v>
          </cell>
          <cell r="L3908" t="str">
            <v>RODRIGO</v>
          </cell>
          <cell r="M3908" t="str">
            <v>RAQUEL BARBOSA</v>
          </cell>
        </row>
        <row r="3909">
          <cell r="B3909">
            <v>5166529</v>
          </cell>
          <cell r="C3909" t="str">
            <v>BONJARDIM PAULISTA COM DE ALIM LTDA</v>
          </cell>
          <cell r="D3909" t="str">
            <v>3001</v>
          </cell>
          <cell r="E3909" t="str">
            <v>0125</v>
          </cell>
          <cell r="F3909" t="str">
            <v>C1</v>
          </cell>
          <cell r="G3909" t="str">
            <v>SP</v>
          </cell>
          <cell r="H3909" t="str">
            <v>DISTRIBUIÇÃO</v>
          </cell>
          <cell r="I3909" t="str">
            <v>FOOD SERVICE</v>
          </cell>
          <cell r="J3909" t="str">
            <v>FLAC 2</v>
          </cell>
          <cell r="K3909" t="str">
            <v>ITAMBÉ</v>
          </cell>
          <cell r="L3909" t="str">
            <v>RODRIGO</v>
          </cell>
          <cell r="M3909" t="str">
            <v>RAQUEL BARBOSA</v>
          </cell>
        </row>
        <row r="3910">
          <cell r="B3910">
            <v>5168877</v>
          </cell>
          <cell r="C3910" t="str">
            <v>GILSON PIMENTEL DA SILVA SORVETERIA</v>
          </cell>
          <cell r="D3910" t="str">
            <v>3001</v>
          </cell>
          <cell r="E3910" t="str">
            <v>0028</v>
          </cell>
          <cell r="F3910" t="str">
            <v>C1</v>
          </cell>
          <cell r="G3910" t="str">
            <v>RJ</v>
          </cell>
          <cell r="H3910" t="str">
            <v>INGREDIENTS</v>
          </cell>
          <cell r="I3910" t="str">
            <v>INGREDIENTS</v>
          </cell>
          <cell r="J3910" t="str">
            <v>RJ ITB FS L T MARTINS</v>
          </cell>
          <cell r="K3910" t="str">
            <v>ITAMBÉ</v>
          </cell>
          <cell r="L3910" t="str">
            <v>MAURICIO</v>
          </cell>
          <cell r="M3910" t="str">
            <v>TATIANA NITTA</v>
          </cell>
        </row>
        <row r="3911">
          <cell r="B3911">
            <v>5170377</v>
          </cell>
          <cell r="C3911" t="str">
            <v>NUTRIBOM SORVETES EILRELI ME</v>
          </cell>
          <cell r="D3911" t="str">
            <v>3001</v>
          </cell>
          <cell r="E3911" t="str">
            <v>0028</v>
          </cell>
          <cell r="F3911" t="str">
            <v>C1</v>
          </cell>
          <cell r="G3911" t="str">
            <v>RJ</v>
          </cell>
          <cell r="H3911" t="str">
            <v>INGREDIENTS</v>
          </cell>
          <cell r="I3911" t="str">
            <v>INGREDIENTS</v>
          </cell>
          <cell r="J3911" t="str">
            <v>RJ ITB FS L T MARTINS</v>
          </cell>
          <cell r="K3911" t="str">
            <v>ITAMBÉ</v>
          </cell>
          <cell r="L3911" t="str">
            <v>MAURICIO</v>
          </cell>
          <cell r="M3911" t="str">
            <v>TATIANA NITTA</v>
          </cell>
        </row>
        <row r="3912">
          <cell r="B3912">
            <v>5171558</v>
          </cell>
          <cell r="C3912" t="str">
            <v>CASCA E BOLA SORVETERIA LTDA</v>
          </cell>
          <cell r="D3912" t="str">
            <v>3001</v>
          </cell>
          <cell r="E3912" t="str">
            <v>0028</v>
          </cell>
          <cell r="F3912" t="str">
            <v>C1</v>
          </cell>
          <cell r="G3912" t="str">
            <v>RJ</v>
          </cell>
          <cell r="H3912" t="str">
            <v>INGREDIENTS</v>
          </cell>
          <cell r="I3912" t="str">
            <v>INGREDIENTS</v>
          </cell>
          <cell r="J3912" t="str">
            <v>RJ ITB FS CDR REPRESENTAÇÕES</v>
          </cell>
          <cell r="K3912" t="str">
            <v>ITAMBÉ</v>
          </cell>
          <cell r="L3912" t="str">
            <v>MAURICIO</v>
          </cell>
          <cell r="M3912" t="str">
            <v>TATIANA NITTA</v>
          </cell>
        </row>
        <row r="3913">
          <cell r="B3913">
            <v>5173983</v>
          </cell>
          <cell r="C3913" t="str">
            <v>SANTOS FESTAS E EMBALAGENS LTDA</v>
          </cell>
          <cell r="D3913" t="str">
            <v>3001</v>
          </cell>
          <cell r="E3913" t="str">
            <v>0169</v>
          </cell>
          <cell r="F3913" t="str">
            <v>C1</v>
          </cell>
          <cell r="G3913" t="str">
            <v>ES</v>
          </cell>
          <cell r="H3913" t="str">
            <v>DISTRIBUIÇÃO</v>
          </cell>
          <cell r="I3913" t="str">
            <v>FOOD SERVICE</v>
          </cell>
          <cell r="J3913" t="str">
            <v>MARCELO DUARTE</v>
          </cell>
          <cell r="K3913" t="str">
            <v>ITAMBÉ</v>
          </cell>
          <cell r="L3913" t="str">
            <v>RODRIGO</v>
          </cell>
          <cell r="M3913" t="str">
            <v>JESSICA</v>
          </cell>
        </row>
        <row r="3914">
          <cell r="B3914">
            <v>5182718</v>
          </cell>
          <cell r="C3914" t="str">
            <v>BARAO DO ACAI COMERCIAL LTDA ME</v>
          </cell>
          <cell r="D3914" t="str">
            <v>3001</v>
          </cell>
          <cell r="E3914" t="str">
            <v>0169</v>
          </cell>
          <cell r="F3914" t="str">
            <v>C1</v>
          </cell>
          <cell r="G3914" t="str">
            <v>ES</v>
          </cell>
          <cell r="H3914" t="str">
            <v>DISTRIBUIÇÃO</v>
          </cell>
          <cell r="I3914" t="str">
            <v>FOOD SERVICE</v>
          </cell>
          <cell r="J3914" t="str">
            <v>MARCELO DUARTE</v>
          </cell>
          <cell r="K3914" t="str">
            <v>ITAMBÉ</v>
          </cell>
          <cell r="L3914" t="str">
            <v>RODRIGO</v>
          </cell>
          <cell r="M3914" t="str">
            <v>JESSICA</v>
          </cell>
        </row>
        <row r="3915">
          <cell r="B3915">
            <v>5184851</v>
          </cell>
          <cell r="C3915" t="str">
            <v>ALLPAN COM DE PROD ALIMENTICIOS LTD</v>
          </cell>
          <cell r="D3915" t="str">
            <v>3001</v>
          </cell>
          <cell r="E3915" t="str">
            <v>0125</v>
          </cell>
          <cell r="F3915" t="str">
            <v>C1</v>
          </cell>
          <cell r="G3915" t="str">
            <v>SP</v>
          </cell>
          <cell r="H3915" t="str">
            <v>DISTRIBUIÇÃO</v>
          </cell>
          <cell r="I3915" t="str">
            <v>FOOD SERVICE</v>
          </cell>
          <cell r="J3915" t="str">
            <v>ALEXANDRE BONANI</v>
          </cell>
          <cell r="K3915" t="str">
            <v>ITAMBÉ</v>
          </cell>
          <cell r="L3915" t="str">
            <v>RODRIGO</v>
          </cell>
          <cell r="M3915" t="str">
            <v>ALEXANDRE BONANI</v>
          </cell>
        </row>
        <row r="3916">
          <cell r="B3916">
            <v>5184917</v>
          </cell>
          <cell r="C3916" t="str">
            <v>BARONIN IND E COM DE SORVETES LTDA</v>
          </cell>
          <cell r="D3916" t="str">
            <v>3001</v>
          </cell>
          <cell r="E3916" t="str">
            <v>0028</v>
          </cell>
          <cell r="F3916" t="str">
            <v>C1</v>
          </cell>
          <cell r="G3916" t="str">
            <v>SP</v>
          </cell>
          <cell r="H3916" t="str">
            <v>INGREDIENTS</v>
          </cell>
          <cell r="I3916" t="str">
            <v>INGREDIENTS</v>
          </cell>
          <cell r="J3916" t="str">
            <v>DUAS RODAS</v>
          </cell>
          <cell r="K3916" t="str">
            <v>ITAMBÉ</v>
          </cell>
          <cell r="L3916" t="str">
            <v>MAURICIO</v>
          </cell>
          <cell r="M3916" t="str">
            <v>MARCELO</v>
          </cell>
        </row>
        <row r="3917">
          <cell r="B3917">
            <v>5185642</v>
          </cell>
          <cell r="C3917" t="str">
            <v>CASA DO PADEIRO COM DE PROD ALIM LT</v>
          </cell>
          <cell r="D3917" t="str">
            <v>3001</v>
          </cell>
          <cell r="E3917" t="str">
            <v>0125</v>
          </cell>
          <cell r="F3917" t="str">
            <v>C1</v>
          </cell>
          <cell r="G3917" t="str">
            <v>SP</v>
          </cell>
          <cell r="H3917" t="str">
            <v>DISTRIBUIÇÃO</v>
          </cell>
          <cell r="I3917" t="str">
            <v>FOOD SERVICE</v>
          </cell>
          <cell r="J3917" t="str">
            <v>VAGO SP</v>
          </cell>
          <cell r="K3917" t="str">
            <v>ITAMBÉ</v>
          </cell>
          <cell r="L3917" t="str">
            <v>RODRIGO</v>
          </cell>
          <cell r="M3917" t="str">
            <v>RAQUEL BARBOSA</v>
          </cell>
        </row>
        <row r="3918">
          <cell r="B3918">
            <v>5188918</v>
          </cell>
          <cell r="C3918" t="str">
            <v>H D HAMASAKI ARTIG PARA PANIF E CON</v>
          </cell>
          <cell r="D3918" t="str">
            <v>3001</v>
          </cell>
          <cell r="E3918" t="str">
            <v>0125</v>
          </cell>
          <cell r="F3918" t="str">
            <v>C1</v>
          </cell>
          <cell r="G3918" t="str">
            <v>SP</v>
          </cell>
          <cell r="H3918" t="str">
            <v>DISTRIBUIÇÃO</v>
          </cell>
          <cell r="I3918" t="str">
            <v>FOOD SERVICE</v>
          </cell>
          <cell r="J3918" t="str">
            <v>GUILHERME NASCIMENTO</v>
          </cell>
          <cell r="K3918" t="str">
            <v>ITAMBÉ</v>
          </cell>
          <cell r="L3918" t="str">
            <v>RODRIGO</v>
          </cell>
          <cell r="M3918" t="str">
            <v>ALEXANDRO</v>
          </cell>
        </row>
        <row r="3919">
          <cell r="B3919">
            <v>5190845</v>
          </cell>
          <cell r="C3919" t="str">
            <v>DENGO CHOCOLATES SA</v>
          </cell>
          <cell r="D3919" t="str">
            <v>3001</v>
          </cell>
          <cell r="E3919" t="str">
            <v>0125</v>
          </cell>
          <cell r="F3919" t="str">
            <v>C1</v>
          </cell>
          <cell r="G3919" t="str">
            <v>SP</v>
          </cell>
          <cell r="H3919" t="str">
            <v>INGREDIENTS</v>
          </cell>
          <cell r="I3919" t="str">
            <v>INGREDIENTS</v>
          </cell>
          <cell r="J3919" t="str">
            <v>HENRIQUE FERREIRA</v>
          </cell>
          <cell r="K3919" t="str">
            <v>ITAMBÉ</v>
          </cell>
          <cell r="L3919" t="str">
            <v>MAURICIO</v>
          </cell>
          <cell r="M3919" t="str">
            <v>JOEL</v>
          </cell>
        </row>
        <row r="3920">
          <cell r="B3920">
            <v>5194644</v>
          </cell>
          <cell r="C3920" t="str">
            <v>L F S COM E IMP DE ALIM LTDA</v>
          </cell>
          <cell r="D3920" t="str">
            <v>3001</v>
          </cell>
          <cell r="E3920" t="str">
            <v>0127</v>
          </cell>
          <cell r="F3920" t="str">
            <v>C1</v>
          </cell>
          <cell r="G3920" t="str">
            <v>CE</v>
          </cell>
          <cell r="H3920" t="str">
            <v>QSR</v>
          </cell>
          <cell r="I3920" t="str">
            <v>FOOD SERVICE</v>
          </cell>
          <cell r="J3920" t="str">
            <v>NUTRI</v>
          </cell>
          <cell r="K3920" t="str">
            <v>ITAMBÉ</v>
          </cell>
          <cell r="L3920" t="str">
            <v>PEDRO</v>
          </cell>
          <cell r="M3920" t="str">
            <v>VAGO QSR</v>
          </cell>
        </row>
        <row r="3921">
          <cell r="B3921">
            <v>5196867</v>
          </cell>
          <cell r="C3921" t="str">
            <v>DEPOSITO DE DOCES MALU LTDA</v>
          </cell>
          <cell r="D3921" t="str">
            <v>3001</v>
          </cell>
          <cell r="E3921" t="str">
            <v>0125</v>
          </cell>
          <cell r="F3921" t="str">
            <v>C1</v>
          </cell>
          <cell r="G3921" t="str">
            <v>SP</v>
          </cell>
          <cell r="H3921" t="str">
            <v>DISTRIBUIÇÃO</v>
          </cell>
          <cell r="I3921" t="str">
            <v>FOOD SERVICE</v>
          </cell>
          <cell r="J3921" t="str">
            <v>SP ITB FS FLAC REP.E COMERCIO</v>
          </cell>
          <cell r="K3921" t="str">
            <v>ITAMBÉ</v>
          </cell>
          <cell r="L3921" t="str">
            <v>RODRIGO</v>
          </cell>
          <cell r="M3921" t="str">
            <v>RAQUEL BARBOSA</v>
          </cell>
        </row>
        <row r="3922">
          <cell r="B3922">
            <v>5196998</v>
          </cell>
          <cell r="C3922" t="str">
            <v>CROISSANT IND E COM DE SALGADOS LTD</v>
          </cell>
          <cell r="D3922" t="str">
            <v>3001</v>
          </cell>
          <cell r="E3922" t="str">
            <v>0028</v>
          </cell>
          <cell r="F3922" t="str">
            <v>C1</v>
          </cell>
          <cell r="G3922" t="str">
            <v>SP</v>
          </cell>
          <cell r="H3922" t="str">
            <v>INGREDIENTS</v>
          </cell>
          <cell r="I3922" t="str">
            <v>INGREDIENTS</v>
          </cell>
          <cell r="J3922" t="str">
            <v>HENRIQUE FERREIRA</v>
          </cell>
          <cell r="K3922" t="str">
            <v>ITAMBÉ</v>
          </cell>
          <cell r="L3922" t="str">
            <v>MAURICIO</v>
          </cell>
          <cell r="M3922" t="str">
            <v>JOEL</v>
          </cell>
        </row>
        <row r="3923">
          <cell r="B3923">
            <v>5198276</v>
          </cell>
          <cell r="C3923" t="str">
            <v>GABRIEL SECCHIM DA SILVA SORV E DIS</v>
          </cell>
          <cell r="D3923" t="str">
            <v>3001</v>
          </cell>
          <cell r="E3923" t="str">
            <v>0169</v>
          </cell>
          <cell r="F3923" t="str">
            <v>C1</v>
          </cell>
          <cell r="G3923" t="str">
            <v>ES</v>
          </cell>
          <cell r="H3923" t="str">
            <v>DISTRIBUIÇÃO</v>
          </cell>
          <cell r="I3923" t="str">
            <v>FOOD SERVICE</v>
          </cell>
          <cell r="J3923" t="str">
            <v>MARCELO DUARTE</v>
          </cell>
          <cell r="K3923" t="str">
            <v>ITAMBÉ</v>
          </cell>
          <cell r="L3923" t="str">
            <v>RODRIGO</v>
          </cell>
          <cell r="M3923" t="str">
            <v>JESSICA</v>
          </cell>
        </row>
        <row r="3924">
          <cell r="B3924">
            <v>5198698</v>
          </cell>
          <cell r="C3924" t="str">
            <v>PANDURATA ALIMENTOS LTDA</v>
          </cell>
          <cell r="D3924" t="str">
            <v>3001</v>
          </cell>
          <cell r="E3924" t="str">
            <v>0028</v>
          </cell>
          <cell r="F3924" t="str">
            <v>C1</v>
          </cell>
          <cell r="G3924" t="str">
            <v>SP</v>
          </cell>
          <cell r="H3924" t="str">
            <v>INGREDIENTS</v>
          </cell>
          <cell r="I3924" t="str">
            <v>INGREDIENTS</v>
          </cell>
          <cell r="J3924" t="str">
            <v>JOEL ELEOTÉRIO</v>
          </cell>
          <cell r="K3924" t="str">
            <v>ITAMBÉ</v>
          </cell>
          <cell r="L3924" t="str">
            <v>MAURICIO</v>
          </cell>
          <cell r="M3924" t="str">
            <v>JOEL</v>
          </cell>
        </row>
        <row r="3925">
          <cell r="B3925">
            <v>5204235</v>
          </cell>
          <cell r="C3925" t="str">
            <v>NUTRIALIMENTAR INDUSTRIA LTDA</v>
          </cell>
          <cell r="D3925" t="str">
            <v>3001</v>
          </cell>
          <cell r="E3925" t="str">
            <v>0125</v>
          </cell>
          <cell r="F3925" t="str">
            <v>C1</v>
          </cell>
          <cell r="G3925" t="str">
            <v>SP</v>
          </cell>
          <cell r="H3925" t="str">
            <v>INGREDIENTS</v>
          </cell>
          <cell r="I3925" t="str">
            <v>INGREDIENTS</v>
          </cell>
          <cell r="J3925" t="str">
            <v>TATIANA NITTA</v>
          </cell>
          <cell r="K3925" t="str">
            <v>ITAMBÉ</v>
          </cell>
          <cell r="L3925" t="str">
            <v>MAURICIO</v>
          </cell>
          <cell r="M3925" t="str">
            <v>TATIANA NITTA</v>
          </cell>
        </row>
        <row r="3926">
          <cell r="B3926">
            <v>5205457</v>
          </cell>
          <cell r="C3926" t="str">
            <v>ACAI COM CHANTILLY E SORVETERIA</v>
          </cell>
          <cell r="D3926" t="str">
            <v>3001</v>
          </cell>
          <cell r="E3926" t="str">
            <v>0169</v>
          </cell>
          <cell r="F3926" t="str">
            <v>C1</v>
          </cell>
          <cell r="G3926" t="str">
            <v>RJ</v>
          </cell>
          <cell r="H3926" t="str">
            <v>DISTRIBUIÇÃO</v>
          </cell>
          <cell r="I3926" t="str">
            <v>FOOD SERVICE</v>
          </cell>
          <cell r="J3926" t="str">
            <v>JULIANA CORDEIRO</v>
          </cell>
          <cell r="K3926" t="str">
            <v>ITAMBÉ</v>
          </cell>
          <cell r="L3926" t="str">
            <v>RODRIGO</v>
          </cell>
          <cell r="M3926" t="str">
            <v>JESSICA</v>
          </cell>
        </row>
        <row r="3927">
          <cell r="B3927">
            <v>5220189</v>
          </cell>
          <cell r="C3927" t="str">
            <v>SORVETES CORONADO LTDA</v>
          </cell>
          <cell r="D3927" t="str">
            <v>3001</v>
          </cell>
          <cell r="E3927" t="str">
            <v>0127</v>
          </cell>
          <cell r="F3927" t="str">
            <v>C1</v>
          </cell>
          <cell r="G3927" t="str">
            <v>BA</v>
          </cell>
          <cell r="H3927" t="str">
            <v>DISTRIBUIÇÃO</v>
          </cell>
          <cell r="I3927" t="str">
            <v>FOOD SERVICE</v>
          </cell>
          <cell r="J3927" t="str">
            <v>CLAUDIO JORGE/LUIZ</v>
          </cell>
          <cell r="K3927" t="str">
            <v>ITAMBÉ</v>
          </cell>
          <cell r="L3927" t="str">
            <v>RODRIGO</v>
          </cell>
          <cell r="M3927" t="str">
            <v>MARIA LOURDES</v>
          </cell>
        </row>
        <row r="3928">
          <cell r="B3928">
            <v>5221699</v>
          </cell>
          <cell r="C3928" t="str">
            <v>TEXAS COMERCIO DE SORVETES LTDA</v>
          </cell>
          <cell r="D3928" t="str">
            <v>3001</v>
          </cell>
          <cell r="E3928" t="str">
            <v>0169</v>
          </cell>
          <cell r="F3928" t="str">
            <v>C1</v>
          </cell>
          <cell r="G3928" t="str">
            <v>RJ</v>
          </cell>
          <cell r="H3928" t="str">
            <v>QSR</v>
          </cell>
          <cell r="I3928" t="str">
            <v>FOOD SERVICE</v>
          </cell>
          <cell r="J3928" t="str">
            <v>NUTRI</v>
          </cell>
          <cell r="K3928" t="str">
            <v>ITAMBÉ</v>
          </cell>
          <cell r="L3928" t="str">
            <v>PEDRO</v>
          </cell>
          <cell r="M3928" t="str">
            <v>VAGO QSR</v>
          </cell>
        </row>
        <row r="3929">
          <cell r="B3929">
            <v>5223996</v>
          </cell>
          <cell r="C3929" t="str">
            <v>PLASTIC DISTRIBUIDORA LTDA</v>
          </cell>
          <cell r="D3929" t="str">
            <v>3001</v>
          </cell>
          <cell r="E3929" t="str">
            <v>0169</v>
          </cell>
          <cell r="F3929" t="str">
            <v>C1</v>
          </cell>
          <cell r="G3929" t="str">
            <v>ES</v>
          </cell>
          <cell r="H3929" t="str">
            <v>INGREDIENTS</v>
          </cell>
          <cell r="I3929" t="str">
            <v>INGREDIENTS</v>
          </cell>
          <cell r="J3929" t="str">
            <v>DUAS RODAS</v>
          </cell>
          <cell r="K3929" t="str">
            <v>ITAMBÉ</v>
          </cell>
          <cell r="L3929" t="str">
            <v>MAURICIO</v>
          </cell>
          <cell r="M3929" t="str">
            <v>JOEL</v>
          </cell>
        </row>
        <row r="3930">
          <cell r="B3930">
            <v>5226499</v>
          </cell>
          <cell r="C3930" t="str">
            <v>NEWREST BR SERV AUX AO TRANS AEREO</v>
          </cell>
          <cell r="D3930" t="str">
            <v>3001</v>
          </cell>
          <cell r="E3930" t="str">
            <v>0125</v>
          </cell>
          <cell r="F3930" t="str">
            <v>C1</v>
          </cell>
          <cell r="G3930" t="str">
            <v>SP</v>
          </cell>
          <cell r="H3930" t="str">
            <v>QSR</v>
          </cell>
          <cell r="I3930" t="str">
            <v>FOOD SERVICE</v>
          </cell>
          <cell r="J3930" t="str">
            <v>ANA MENIQUETE</v>
          </cell>
          <cell r="K3930" t="str">
            <v>ITAMBÉ</v>
          </cell>
          <cell r="L3930" t="str">
            <v>PEDRO</v>
          </cell>
          <cell r="M3930" t="str">
            <v>ANA MENIQUETE</v>
          </cell>
        </row>
        <row r="3931">
          <cell r="B3931">
            <v>5227156</v>
          </cell>
          <cell r="C3931" t="str">
            <v>GELARTE ACAI MIX IND E COM DE S LTD</v>
          </cell>
          <cell r="D3931" t="str">
            <v>3001</v>
          </cell>
          <cell r="E3931" t="str">
            <v>0028</v>
          </cell>
          <cell r="F3931" t="str">
            <v>C1</v>
          </cell>
          <cell r="G3931" t="str">
            <v>RJ</v>
          </cell>
          <cell r="H3931" t="str">
            <v>INGREDIENTS</v>
          </cell>
          <cell r="I3931" t="str">
            <v>INGREDIENTS</v>
          </cell>
          <cell r="J3931" t="str">
            <v>RJ ITB FS CDR REPRESENTAÇÕES</v>
          </cell>
          <cell r="K3931" t="str">
            <v>ITAMBÉ</v>
          </cell>
          <cell r="L3931" t="str">
            <v>MAURICIO</v>
          </cell>
          <cell r="M3931" t="str">
            <v>TATIANA NITTA</v>
          </cell>
        </row>
        <row r="3932">
          <cell r="B3932">
            <v>5307722</v>
          </cell>
          <cell r="C3932" t="str">
            <v>SELECTO CACAU IND E COM PR ALIM</v>
          </cell>
          <cell r="D3932" t="str">
            <v>3001</v>
          </cell>
          <cell r="E3932" t="str">
            <v>0028</v>
          </cell>
          <cell r="F3932" t="str">
            <v>C1</v>
          </cell>
          <cell r="G3932" t="str">
            <v>SP</v>
          </cell>
          <cell r="H3932" t="str">
            <v>INGREDIENTS</v>
          </cell>
          <cell r="I3932" t="str">
            <v>INGREDIENTS</v>
          </cell>
          <cell r="J3932" t="str">
            <v>TATIANA NITTA</v>
          </cell>
          <cell r="K3932" t="str">
            <v>ITAMBÉ</v>
          </cell>
          <cell r="L3932" t="str">
            <v>MAURICIO</v>
          </cell>
          <cell r="M3932" t="str">
            <v>TATIANA NITTA</v>
          </cell>
        </row>
        <row r="3933">
          <cell r="B3933">
            <v>5316223</v>
          </cell>
          <cell r="C3933" t="str">
            <v>DM MERCADO LTDA</v>
          </cell>
          <cell r="D3933" t="str">
            <v>3001</v>
          </cell>
          <cell r="E3933" t="str">
            <v>0125</v>
          </cell>
          <cell r="F3933" t="str">
            <v>C1</v>
          </cell>
          <cell r="G3933" t="str">
            <v>SP</v>
          </cell>
          <cell r="H3933" t="str">
            <v>DISTRIBUIÇÃO</v>
          </cell>
          <cell r="I3933" t="str">
            <v>FOOD SERVICE</v>
          </cell>
          <cell r="J3933" t="str">
            <v>SP ITB FS FLAC REP.E COMERCIO</v>
          </cell>
          <cell r="K3933" t="str">
            <v>ITAMBÉ</v>
          </cell>
          <cell r="L3933" t="str">
            <v>RODRIGO</v>
          </cell>
          <cell r="M3933" t="str">
            <v>RAQUEL BARBOSA</v>
          </cell>
        </row>
        <row r="3934">
          <cell r="B3934">
            <v>5320070</v>
          </cell>
          <cell r="C3934" t="str">
            <v>MON CHOU COM IMPORTACAO E EXPOR</v>
          </cell>
          <cell r="D3934" t="str">
            <v>3001</v>
          </cell>
          <cell r="E3934" t="str">
            <v>0169</v>
          </cell>
          <cell r="F3934" t="str">
            <v>C1</v>
          </cell>
          <cell r="G3934" t="str">
            <v>RJ</v>
          </cell>
          <cell r="H3934" t="str">
            <v>DISTRIBUIÇÃO</v>
          </cell>
          <cell r="I3934" t="str">
            <v>FOOD SERVICE</v>
          </cell>
          <cell r="J3934" t="str">
            <v>LUCIANA MARTINS</v>
          </cell>
          <cell r="K3934" t="str">
            <v>ITAMBÉ</v>
          </cell>
          <cell r="L3934" t="str">
            <v>RODRIGO</v>
          </cell>
          <cell r="M3934" t="str">
            <v>JESSICA</v>
          </cell>
        </row>
        <row r="3935">
          <cell r="B3935">
            <v>5324461</v>
          </cell>
          <cell r="C3935" t="str">
            <v>RODOLUKI COMERCIO LOGISTICA</v>
          </cell>
          <cell r="D3935" t="str">
            <v>3001</v>
          </cell>
          <cell r="E3935" t="str">
            <v>0125</v>
          </cell>
          <cell r="F3935" t="str">
            <v>C1</v>
          </cell>
          <cell r="G3935" t="str">
            <v>SP</v>
          </cell>
          <cell r="H3935" t="str">
            <v>QSR</v>
          </cell>
          <cell r="I3935" t="str">
            <v>FOOD SERVICE</v>
          </cell>
          <cell r="J3935" t="str">
            <v>ANA MENIQUETE</v>
          </cell>
          <cell r="K3935" t="str">
            <v>ITAMBÉ</v>
          </cell>
          <cell r="L3935" t="str">
            <v>PEDRO</v>
          </cell>
          <cell r="M3935" t="str">
            <v>ANA MENIQUETE</v>
          </cell>
        </row>
        <row r="3936">
          <cell r="B3936">
            <v>5336831</v>
          </cell>
          <cell r="C3936" t="str">
            <v>COMERCIO VAREJISTA DE SORVETES</v>
          </cell>
          <cell r="D3936" t="str">
            <v>3001</v>
          </cell>
          <cell r="E3936" t="str">
            <v>0125</v>
          </cell>
          <cell r="F3936" t="str">
            <v>C1</v>
          </cell>
          <cell r="G3936" t="str">
            <v>SP</v>
          </cell>
          <cell r="H3936" t="str">
            <v>QSR</v>
          </cell>
          <cell r="I3936" t="str">
            <v>FOOD SERVICE</v>
          </cell>
          <cell r="J3936" t="str">
            <v>NUTRI</v>
          </cell>
          <cell r="K3936" t="str">
            <v>ITAMBÉ</v>
          </cell>
          <cell r="L3936" t="str">
            <v>PEDRO</v>
          </cell>
          <cell r="M3936" t="str">
            <v>VAGO QSR</v>
          </cell>
        </row>
        <row r="3937">
          <cell r="B3937">
            <v>5336832</v>
          </cell>
          <cell r="C3937" t="str">
            <v>COLORADO COMERCIO DE SORVETES LTDA</v>
          </cell>
          <cell r="D3937" t="str">
            <v>3001</v>
          </cell>
          <cell r="E3937" t="str">
            <v>0125</v>
          </cell>
          <cell r="F3937" t="str">
            <v>C1</v>
          </cell>
          <cell r="G3937" t="str">
            <v>SP</v>
          </cell>
          <cell r="H3937" t="str">
            <v>QSR</v>
          </cell>
          <cell r="I3937" t="str">
            <v>FOOD SERVICE</v>
          </cell>
          <cell r="J3937" t="str">
            <v>NUTRI</v>
          </cell>
          <cell r="K3937" t="str">
            <v>ITAMBÉ</v>
          </cell>
          <cell r="L3937" t="str">
            <v>PEDRO</v>
          </cell>
          <cell r="M3937" t="str">
            <v>VAGO QSR</v>
          </cell>
        </row>
        <row r="3938">
          <cell r="B3938">
            <v>5336848</v>
          </cell>
          <cell r="C3938" t="str">
            <v>MORUMBI COMERCIO DE SORVETES LTDA</v>
          </cell>
          <cell r="D3938" t="str">
            <v>3001</v>
          </cell>
          <cell r="E3938" t="str">
            <v>0125</v>
          </cell>
          <cell r="F3938" t="str">
            <v>C1</v>
          </cell>
          <cell r="G3938" t="str">
            <v>SP</v>
          </cell>
          <cell r="H3938" t="str">
            <v>QSR</v>
          </cell>
          <cell r="I3938" t="str">
            <v>FOOD SERVICE</v>
          </cell>
          <cell r="J3938" t="str">
            <v>NUTRI</v>
          </cell>
          <cell r="K3938" t="str">
            <v>ITAMBÉ</v>
          </cell>
          <cell r="L3938" t="str">
            <v>PEDRO</v>
          </cell>
          <cell r="M3938" t="str">
            <v>VAGO QSR</v>
          </cell>
        </row>
        <row r="3939">
          <cell r="B3939">
            <v>5336849</v>
          </cell>
          <cell r="C3939" t="str">
            <v>ARIZONA COMERCIO DE SORVETES LTDA</v>
          </cell>
          <cell r="D3939" t="str">
            <v>3001</v>
          </cell>
          <cell r="E3939" t="str">
            <v>0125</v>
          </cell>
          <cell r="F3939" t="str">
            <v>C1</v>
          </cell>
          <cell r="G3939" t="str">
            <v>SP</v>
          </cell>
          <cell r="H3939" t="str">
            <v>QSR</v>
          </cell>
          <cell r="I3939" t="str">
            <v>FOOD SERVICE</v>
          </cell>
          <cell r="J3939" t="str">
            <v>NUTRI</v>
          </cell>
          <cell r="K3939" t="str">
            <v>ITAMBÉ</v>
          </cell>
          <cell r="L3939" t="str">
            <v>PEDRO</v>
          </cell>
          <cell r="M3939" t="str">
            <v>VAGO QSR</v>
          </cell>
        </row>
        <row r="3940">
          <cell r="B3940">
            <v>5338214</v>
          </cell>
          <cell r="C3940" t="str">
            <v>GAPEIXOTO DIST DE PROD ALIM LTD</v>
          </cell>
          <cell r="D3940" t="str">
            <v>3001</v>
          </cell>
          <cell r="E3940" t="str">
            <v>0125</v>
          </cell>
          <cell r="F3940" t="str">
            <v>C1</v>
          </cell>
          <cell r="G3940" t="str">
            <v>SP</v>
          </cell>
          <cell r="H3940" t="str">
            <v>DISTRIBUIÇÃO</v>
          </cell>
          <cell r="I3940" t="str">
            <v>FOOD SERVICE</v>
          </cell>
          <cell r="J3940" t="str">
            <v>VAGO SP</v>
          </cell>
          <cell r="K3940" t="str">
            <v>ITAMBÉ</v>
          </cell>
          <cell r="L3940" t="str">
            <v>RODRIGO</v>
          </cell>
          <cell r="M3940" t="str">
            <v>RAQUEL BARBOSA</v>
          </cell>
        </row>
        <row r="3941">
          <cell r="B3941">
            <v>5347237</v>
          </cell>
          <cell r="C3941" t="str">
            <v>MEXICALETTA SORVETES LTDA</v>
          </cell>
          <cell r="D3941" t="str">
            <v>3001</v>
          </cell>
          <cell r="E3941" t="str">
            <v>0028</v>
          </cell>
          <cell r="F3941" t="str">
            <v>C1</v>
          </cell>
          <cell r="G3941" t="str">
            <v>SP</v>
          </cell>
          <cell r="H3941" t="str">
            <v>INGREDIENTS</v>
          </cell>
          <cell r="I3941" t="str">
            <v>INGREDIENTS</v>
          </cell>
          <cell r="J3941" t="str">
            <v>SP ITB FS LUIZ PEREIRA</v>
          </cell>
          <cell r="K3941" t="str">
            <v>ITAMBÉ</v>
          </cell>
          <cell r="L3941" t="str">
            <v>MAURICIO</v>
          </cell>
          <cell r="M3941" t="str">
            <v>TATIANA NITTA</v>
          </cell>
        </row>
        <row r="3942">
          <cell r="B3942">
            <v>5348824</v>
          </cell>
          <cell r="C3942" t="str">
            <v>MAJ COMERCIO DE ALIMENTOS E GELADOS LTDA</v>
          </cell>
          <cell r="D3942" t="str">
            <v>3001</v>
          </cell>
          <cell r="E3942" t="str">
            <v>0125</v>
          </cell>
          <cell r="F3942" t="str">
            <v>C1</v>
          </cell>
          <cell r="G3942" t="str">
            <v>SP</v>
          </cell>
          <cell r="H3942" t="str">
            <v>QSR</v>
          </cell>
          <cell r="I3942" t="str">
            <v>FOOD SERVICE</v>
          </cell>
          <cell r="J3942" t="str">
            <v>NUTRI</v>
          </cell>
          <cell r="K3942" t="str">
            <v>ITAMBÉ</v>
          </cell>
          <cell r="L3942" t="str">
            <v>PEDRO</v>
          </cell>
          <cell r="M3942" t="str">
            <v>VAGO QSR</v>
          </cell>
        </row>
        <row r="3943">
          <cell r="B3943">
            <v>5349074</v>
          </cell>
          <cell r="C3943" t="str">
            <v>FUNCHAL IND E COM DE PAPEIS LTD</v>
          </cell>
          <cell r="D3943" t="str">
            <v>3001</v>
          </cell>
          <cell r="E3943" t="str">
            <v>0125</v>
          </cell>
          <cell r="F3943" t="str">
            <v>C1</v>
          </cell>
          <cell r="G3943" t="str">
            <v>SP</v>
          </cell>
          <cell r="H3943" t="str">
            <v>DISTRIBUIÇÃO</v>
          </cell>
          <cell r="I3943" t="str">
            <v>FOOD SERVICE</v>
          </cell>
          <cell r="J3943" t="str">
            <v>VAGO SP</v>
          </cell>
          <cell r="K3943" t="str">
            <v>ITAMBÉ</v>
          </cell>
          <cell r="L3943" t="str">
            <v>RODRIGO</v>
          </cell>
          <cell r="M3943" t="str">
            <v>RAQUEL BARBOSA</v>
          </cell>
        </row>
        <row r="3944">
          <cell r="B3944">
            <v>5350810</v>
          </cell>
          <cell r="C3944" t="str">
            <v>COMERCIO DE ALIM NOVA PITOKO LT</v>
          </cell>
          <cell r="D3944" t="str">
            <v>3001</v>
          </cell>
          <cell r="E3944" t="str">
            <v>0169</v>
          </cell>
          <cell r="F3944" t="str">
            <v>C1</v>
          </cell>
          <cell r="G3944" t="str">
            <v>RJ</v>
          </cell>
          <cell r="H3944" t="str">
            <v>DISTRIBUIÇÃO</v>
          </cell>
          <cell r="I3944" t="str">
            <v>FOOD SERVICE</v>
          </cell>
          <cell r="J3944" t="str">
            <v>JULIANA CORDEIRO</v>
          </cell>
          <cell r="K3944" t="str">
            <v>ITAMBÉ</v>
          </cell>
          <cell r="L3944" t="str">
            <v>RODRIGO</v>
          </cell>
          <cell r="M3944" t="str">
            <v>JESSICA</v>
          </cell>
        </row>
        <row r="3945">
          <cell r="B3945">
            <v>5350815</v>
          </cell>
          <cell r="C3945" t="str">
            <v>SORVETOP COMERCIO LTDA</v>
          </cell>
          <cell r="D3945" t="str">
            <v>3001</v>
          </cell>
          <cell r="E3945" t="str">
            <v>0169</v>
          </cell>
          <cell r="F3945" t="str">
            <v>C1</v>
          </cell>
          <cell r="G3945" t="str">
            <v>ES</v>
          </cell>
          <cell r="H3945" t="str">
            <v>DISTRIBUIÇÃO</v>
          </cell>
          <cell r="I3945" t="str">
            <v>FOOD SERVICE</v>
          </cell>
          <cell r="J3945" t="str">
            <v>MARCELO DUARTE</v>
          </cell>
          <cell r="K3945" t="str">
            <v>ITAMBÉ</v>
          </cell>
          <cell r="L3945" t="str">
            <v>RODRIGO</v>
          </cell>
          <cell r="M3945" t="str">
            <v>JESSICA</v>
          </cell>
        </row>
        <row r="3946">
          <cell r="B3946">
            <v>5351261</v>
          </cell>
          <cell r="C3946" t="str">
            <v>NOVAMIX F SERVICE COM DE AL L</v>
          </cell>
          <cell r="D3946" t="str">
            <v>3001</v>
          </cell>
          <cell r="E3946" t="str">
            <v>0169</v>
          </cell>
          <cell r="F3946" t="str">
            <v>C1</v>
          </cell>
          <cell r="G3946" t="str">
            <v>RJ</v>
          </cell>
          <cell r="H3946" t="str">
            <v>DISTRIBUIÇÃO</v>
          </cell>
          <cell r="I3946" t="str">
            <v>FOOD SERVICE</v>
          </cell>
          <cell r="J3946" t="str">
            <v>JULIANA CORDEIRO</v>
          </cell>
          <cell r="K3946" t="str">
            <v>ITAMBÉ</v>
          </cell>
          <cell r="L3946" t="str">
            <v>RODRIGO</v>
          </cell>
          <cell r="M3946" t="str">
            <v>JESSICA</v>
          </cell>
        </row>
        <row r="3947">
          <cell r="B3947">
            <v>5352113</v>
          </cell>
          <cell r="C3947" t="str">
            <v>VUPI ALIMENTOS LTDA</v>
          </cell>
          <cell r="D3947" t="str">
            <v>3001</v>
          </cell>
          <cell r="E3947" t="str">
            <v>0125</v>
          </cell>
          <cell r="F3947" t="str">
            <v>C1</v>
          </cell>
          <cell r="G3947" t="str">
            <v>SP</v>
          </cell>
          <cell r="H3947" t="str">
            <v>DISTRIBUIÇÃO</v>
          </cell>
          <cell r="I3947" t="str">
            <v>FOOD SERVICE</v>
          </cell>
          <cell r="J3947" t="str">
            <v>VAGO SP</v>
          </cell>
          <cell r="K3947" t="str">
            <v>ITAMBÉ</v>
          </cell>
          <cell r="L3947" t="str">
            <v>RODRIGO</v>
          </cell>
          <cell r="M3947" t="str">
            <v>RAQUEL BARBOSA</v>
          </cell>
        </row>
        <row r="3948">
          <cell r="B3948">
            <v>5353685</v>
          </cell>
          <cell r="C3948" t="str">
            <v>GANTE COMERCIO DE DOCES LTDA</v>
          </cell>
          <cell r="D3948" t="str">
            <v>3001</v>
          </cell>
          <cell r="E3948" t="str">
            <v>0028</v>
          </cell>
          <cell r="F3948" t="str">
            <v>C1</v>
          </cell>
          <cell r="G3948" t="str">
            <v>SP</v>
          </cell>
          <cell r="H3948" t="str">
            <v>INGREDIENTS</v>
          </cell>
          <cell r="I3948" t="str">
            <v>INGREDIENTS</v>
          </cell>
          <cell r="J3948" t="str">
            <v>HENRIQUE FERREIRA</v>
          </cell>
          <cell r="K3948" t="str">
            <v>ITAMBÉ</v>
          </cell>
          <cell r="L3948" t="str">
            <v>MAURICIO</v>
          </cell>
          <cell r="M3948" t="str">
            <v>JOEL</v>
          </cell>
        </row>
        <row r="3949">
          <cell r="B3949">
            <v>5355986</v>
          </cell>
          <cell r="C3949" t="str">
            <v>FUNCHAL IND E COM DE PAPEIS LTD</v>
          </cell>
          <cell r="D3949" t="str">
            <v>3001</v>
          </cell>
          <cell r="E3949" t="str">
            <v>0125</v>
          </cell>
          <cell r="F3949" t="str">
            <v>C1</v>
          </cell>
          <cell r="G3949" t="str">
            <v>SP</v>
          </cell>
          <cell r="H3949" t="str">
            <v>DISTRIBUIÇÃO</v>
          </cell>
          <cell r="I3949" t="str">
            <v>FOOD SERVICE</v>
          </cell>
          <cell r="J3949" t="str">
            <v>VAGO SP</v>
          </cell>
          <cell r="K3949" t="str">
            <v>ITAMBÉ</v>
          </cell>
          <cell r="L3949" t="str">
            <v>RODRIGO</v>
          </cell>
          <cell r="M3949" t="str">
            <v>RAQUEL BARBOSA</v>
          </cell>
        </row>
        <row r="3950">
          <cell r="B3950">
            <v>5358195</v>
          </cell>
          <cell r="C3950" t="str">
            <v>BELLA COMERCIO DE EMBALAGENS LT</v>
          </cell>
          <cell r="D3950" t="str">
            <v>3001</v>
          </cell>
          <cell r="E3950" t="str">
            <v>0169</v>
          </cell>
          <cell r="F3950" t="str">
            <v>C1</v>
          </cell>
          <cell r="G3950" t="str">
            <v>ES</v>
          </cell>
          <cell r="H3950" t="str">
            <v>DISTRIBUIÇÃO</v>
          </cell>
          <cell r="I3950" t="str">
            <v>FOOD SERVICE</v>
          </cell>
          <cell r="J3950" t="str">
            <v>MARCELO DUARTE</v>
          </cell>
          <cell r="K3950" t="str">
            <v>ITAMBÉ</v>
          </cell>
          <cell r="L3950" t="str">
            <v>RODRIGO</v>
          </cell>
          <cell r="M3950" t="str">
            <v>JESSICA</v>
          </cell>
        </row>
        <row r="3951">
          <cell r="B3951">
            <v>5359869</v>
          </cell>
          <cell r="C3951" t="str">
            <v>BIG CHURROS KENNEDY LTDA</v>
          </cell>
          <cell r="D3951" t="str">
            <v>3001</v>
          </cell>
          <cell r="E3951" t="str">
            <v>0028</v>
          </cell>
          <cell r="F3951" t="str">
            <v>C1</v>
          </cell>
          <cell r="G3951" t="str">
            <v>SP</v>
          </cell>
          <cell r="H3951" t="str">
            <v>INGREDIENTS</v>
          </cell>
          <cell r="I3951" t="str">
            <v>INGREDIENTS</v>
          </cell>
          <cell r="J3951" t="str">
            <v>HENRIQUE FERREIRA</v>
          </cell>
          <cell r="K3951" t="str">
            <v>ITAMBÉ</v>
          </cell>
          <cell r="L3951" t="str">
            <v>MAURICIO</v>
          </cell>
          <cell r="M3951" t="str">
            <v>JOEL</v>
          </cell>
        </row>
        <row r="3952">
          <cell r="B3952">
            <v>5361020</v>
          </cell>
          <cell r="C3952" t="str">
            <v>CASA DO SORVETEIRO LTDA</v>
          </cell>
          <cell r="D3952" t="str">
            <v>3001</v>
          </cell>
          <cell r="E3952" t="str">
            <v>0169</v>
          </cell>
          <cell r="F3952" t="str">
            <v>C1</v>
          </cell>
          <cell r="G3952" t="str">
            <v>ES</v>
          </cell>
          <cell r="H3952" t="str">
            <v>DISTRIBUIÇÃO</v>
          </cell>
          <cell r="I3952" t="str">
            <v>FOOD SERVICE</v>
          </cell>
          <cell r="J3952" t="str">
            <v>MARCELO DUARTE</v>
          </cell>
          <cell r="K3952" t="str">
            <v>ITAMBÉ</v>
          </cell>
          <cell r="L3952" t="str">
            <v>RODRIGO</v>
          </cell>
          <cell r="M3952" t="str">
            <v>JESSICA</v>
          </cell>
        </row>
        <row r="3953">
          <cell r="B3953">
            <v>5361710</v>
          </cell>
          <cell r="C3953" t="str">
            <v>RAFAELA SORVETES LTDA</v>
          </cell>
          <cell r="D3953" t="str">
            <v>7001</v>
          </cell>
          <cell r="E3953" t="str">
            <v>0722</v>
          </cell>
          <cell r="F3953" t="str">
            <v>C1</v>
          </cell>
          <cell r="G3953" t="str">
            <v>SP</v>
          </cell>
          <cell r="H3953" t="str">
            <v>QSR</v>
          </cell>
          <cell r="I3953" t="str">
            <v>FOOD SERVICE</v>
          </cell>
          <cell r="J3953" t="str">
            <v>ANA MENIQUETE</v>
          </cell>
          <cell r="K3953" t="str">
            <v>LACTALIS</v>
          </cell>
          <cell r="L3953" t="str">
            <v>PEDRO</v>
          </cell>
          <cell r="M3953" t="str">
            <v>ANA MENIQUETE</v>
          </cell>
        </row>
        <row r="3954">
          <cell r="B3954">
            <v>5363009</v>
          </cell>
          <cell r="C3954" t="str">
            <v>BETTERPB COMER VAREJ DE PRODUT</v>
          </cell>
          <cell r="D3954" t="str">
            <v>3001</v>
          </cell>
          <cell r="E3954" t="str">
            <v>0028</v>
          </cell>
          <cell r="F3954" t="str">
            <v>C1</v>
          </cell>
          <cell r="G3954" t="str">
            <v>SP</v>
          </cell>
          <cell r="H3954" t="str">
            <v>INGREDIENTS</v>
          </cell>
          <cell r="I3954" t="str">
            <v>INGREDIENTS</v>
          </cell>
          <cell r="J3954" t="str">
            <v>JOEL ELEOTÉRIO</v>
          </cell>
          <cell r="K3954" t="str">
            <v>ITAMBÉ</v>
          </cell>
          <cell r="L3954" t="str">
            <v>MAURICIO</v>
          </cell>
          <cell r="M3954" t="str">
            <v>JOEL</v>
          </cell>
        </row>
        <row r="3955">
          <cell r="B3955">
            <v>5363950</v>
          </cell>
          <cell r="C3955" t="str">
            <v>FUNCHAL INDUSTRIA E COMERCIO DE PAP</v>
          </cell>
          <cell r="D3955" t="str">
            <v>3001</v>
          </cell>
          <cell r="E3955" t="str">
            <v>0125</v>
          </cell>
          <cell r="F3955" t="str">
            <v>C1</v>
          </cell>
          <cell r="G3955" t="str">
            <v>SP</v>
          </cell>
          <cell r="H3955" t="str">
            <v>DISTRIBUIÇÃO</v>
          </cell>
          <cell r="I3955" t="str">
            <v>FOOD SERVICE</v>
          </cell>
          <cell r="J3955" t="str">
            <v>VAGO SP</v>
          </cell>
          <cell r="K3955" t="str">
            <v>ITAMBÉ</v>
          </cell>
          <cell r="L3955" t="str">
            <v>RODRIGO</v>
          </cell>
          <cell r="M3955" t="str">
            <v>RAQUEL BARBOSA</v>
          </cell>
        </row>
        <row r="3956">
          <cell r="B3956">
            <v>5364495</v>
          </cell>
          <cell r="C3956" t="str">
            <v>3D SALGADOS LTDA</v>
          </cell>
          <cell r="D3956" t="str">
            <v>3001</v>
          </cell>
          <cell r="E3956" t="str">
            <v>0028</v>
          </cell>
          <cell r="F3956" t="str">
            <v>C1</v>
          </cell>
          <cell r="G3956" t="str">
            <v>RJ</v>
          </cell>
          <cell r="H3956" t="str">
            <v>INGREDIENTS</v>
          </cell>
          <cell r="I3956" t="str">
            <v>INGREDIENTS</v>
          </cell>
          <cell r="J3956" t="str">
            <v>RJ ITB FS L T MARTINS</v>
          </cell>
          <cell r="K3956" t="str">
            <v>ITAMBÉ</v>
          </cell>
          <cell r="L3956" t="str">
            <v>MAURICIO</v>
          </cell>
          <cell r="M3956" t="str">
            <v>TATIANA NITTA</v>
          </cell>
        </row>
        <row r="3957">
          <cell r="B3957">
            <v>5364496</v>
          </cell>
          <cell r="C3957" t="str">
            <v>CONVENIENCIA DABELA DE COELH DA</v>
          </cell>
          <cell r="D3957" t="str">
            <v>3001</v>
          </cell>
          <cell r="E3957" t="str">
            <v>0028</v>
          </cell>
          <cell r="F3957" t="str">
            <v>C1</v>
          </cell>
          <cell r="G3957" t="str">
            <v>RJ</v>
          </cell>
          <cell r="H3957" t="str">
            <v>INGREDIENTS</v>
          </cell>
          <cell r="I3957" t="str">
            <v>INGREDIENTS</v>
          </cell>
          <cell r="J3957" t="str">
            <v>RJ ITB FS L T MARTINS</v>
          </cell>
          <cell r="K3957" t="str">
            <v>ITAMBÉ</v>
          </cell>
          <cell r="L3957" t="str">
            <v>MAURICIO</v>
          </cell>
          <cell r="M3957" t="str">
            <v>TATIANA NITTA</v>
          </cell>
        </row>
        <row r="3958">
          <cell r="B3958">
            <v>5364697</v>
          </cell>
          <cell r="C3958" t="str">
            <v>REI DOS GELADOS LTDA</v>
          </cell>
          <cell r="D3958" t="str">
            <v>3001</v>
          </cell>
          <cell r="E3958" t="str">
            <v>0028</v>
          </cell>
          <cell r="F3958" t="str">
            <v>C1</v>
          </cell>
          <cell r="G3958" t="str">
            <v>RJ</v>
          </cell>
          <cell r="H3958" t="str">
            <v>INGREDIENTS</v>
          </cell>
          <cell r="I3958" t="str">
            <v>INGREDIENTS</v>
          </cell>
          <cell r="J3958" t="str">
            <v>RJ ITB FS L T MARTINS</v>
          </cell>
          <cell r="K3958" t="str">
            <v>ITAMBÉ</v>
          </cell>
          <cell r="L3958" t="str">
            <v>MAURICIO</v>
          </cell>
          <cell r="M3958" t="str">
            <v>TATIANA NITTA</v>
          </cell>
        </row>
        <row r="3959">
          <cell r="B3959">
            <v>5365317</v>
          </cell>
          <cell r="C3959" t="str">
            <v>QUEBRA NOZES IND E COM DE AL LT</v>
          </cell>
          <cell r="D3959" t="str">
            <v>3001</v>
          </cell>
          <cell r="E3959" t="str">
            <v>0028</v>
          </cell>
          <cell r="F3959" t="str">
            <v>C1</v>
          </cell>
          <cell r="G3959" t="str">
            <v>RJ</v>
          </cell>
          <cell r="H3959" t="str">
            <v>INGREDIENTS</v>
          </cell>
          <cell r="I3959" t="str">
            <v>INGREDIENTS</v>
          </cell>
          <cell r="J3959" t="str">
            <v>TATIANA NITTA</v>
          </cell>
          <cell r="K3959" t="str">
            <v>ITAMBÉ</v>
          </cell>
          <cell r="L3959" t="str">
            <v>MAURICIO</v>
          </cell>
          <cell r="M3959" t="str">
            <v>TATIANA NITTA</v>
          </cell>
        </row>
        <row r="3960">
          <cell r="B3960">
            <v>5365775</v>
          </cell>
          <cell r="C3960" t="str">
            <v>SORVETERIA NEVASKA LTDA</v>
          </cell>
          <cell r="D3960" t="str">
            <v>3001</v>
          </cell>
          <cell r="E3960" t="str">
            <v>0028</v>
          </cell>
          <cell r="F3960" t="str">
            <v>C1</v>
          </cell>
          <cell r="G3960" t="str">
            <v>MS</v>
          </cell>
          <cell r="H3960" t="str">
            <v>INGREDIENTS</v>
          </cell>
          <cell r="I3960" t="str">
            <v>INGREDIENTS</v>
          </cell>
          <cell r="J3960" t="str">
            <v>MS ITB FS MAWIL REPRESENTAÇÕES</v>
          </cell>
          <cell r="K3960" t="str">
            <v>ITAMBÉ</v>
          </cell>
          <cell r="L3960" t="str">
            <v>MAURICIO</v>
          </cell>
          <cell r="M3960" t="str">
            <v>MARCELO</v>
          </cell>
        </row>
        <row r="3961">
          <cell r="B3961">
            <v>5366154</v>
          </cell>
          <cell r="C3961" t="str">
            <v>MONTEIRO RUFINO GELATOS LTDA</v>
          </cell>
          <cell r="D3961" t="str">
            <v>3001</v>
          </cell>
          <cell r="E3961" t="str">
            <v>0028</v>
          </cell>
          <cell r="F3961" t="str">
            <v>C1</v>
          </cell>
          <cell r="G3961" t="str">
            <v>RJ</v>
          </cell>
          <cell r="H3961" t="str">
            <v>INGREDIENTS</v>
          </cell>
          <cell r="I3961" t="str">
            <v>INGREDIENTS</v>
          </cell>
          <cell r="J3961" t="str">
            <v>RJ ITB FS L T MARTINS</v>
          </cell>
          <cell r="K3961" t="str">
            <v>ITAMBÉ</v>
          </cell>
          <cell r="L3961" t="str">
            <v>MAURICIO</v>
          </cell>
          <cell r="M3961" t="str">
            <v>TATIANA NITTA</v>
          </cell>
        </row>
        <row r="3962">
          <cell r="B3962">
            <v>5366894</v>
          </cell>
          <cell r="C3962" t="str">
            <v>SORVETES BAMBINO S IND E C DE G</v>
          </cell>
          <cell r="D3962" t="str">
            <v>3001</v>
          </cell>
          <cell r="E3962" t="str">
            <v>0028</v>
          </cell>
          <cell r="F3962" t="str">
            <v>C1</v>
          </cell>
          <cell r="G3962" t="str">
            <v>SP</v>
          </cell>
          <cell r="H3962" t="str">
            <v>INGREDIENTS</v>
          </cell>
          <cell r="I3962" t="str">
            <v>INGREDIENTS</v>
          </cell>
          <cell r="J3962" t="str">
            <v>SP ITB FS RVM SOLUTTI</v>
          </cell>
          <cell r="K3962" t="str">
            <v>ITAMBÉ</v>
          </cell>
          <cell r="L3962" t="str">
            <v>MAURICIO</v>
          </cell>
          <cell r="M3962" t="str">
            <v>TATIANA NITTA</v>
          </cell>
        </row>
        <row r="3963">
          <cell r="B3963">
            <v>5367402</v>
          </cell>
          <cell r="C3963" t="str">
            <v>FAQUIR BROTHERS JIU JITSU LTDA</v>
          </cell>
          <cell r="D3963" t="str">
            <v>3001</v>
          </cell>
          <cell r="E3963" t="str">
            <v>0169</v>
          </cell>
          <cell r="F3963" t="str">
            <v>C1</v>
          </cell>
          <cell r="G3963" t="str">
            <v>RJ</v>
          </cell>
          <cell r="H3963" t="str">
            <v>DISTRIBUIÇÃO</v>
          </cell>
          <cell r="I3963" t="str">
            <v>FOOD SERVICE</v>
          </cell>
          <cell r="J3963" t="str">
            <v>LUCIANA MARTINS</v>
          </cell>
          <cell r="K3963" t="str">
            <v>ITAMBÉ</v>
          </cell>
          <cell r="L3963" t="str">
            <v>RODRIGO</v>
          </cell>
          <cell r="M3963" t="str">
            <v>JESSICA</v>
          </cell>
        </row>
        <row r="3964">
          <cell r="B3964">
            <v>5367626</v>
          </cell>
          <cell r="C3964" t="str">
            <v>J M SOUSA LTDA</v>
          </cell>
          <cell r="D3964" t="str">
            <v>3001</v>
          </cell>
          <cell r="E3964" t="str">
            <v>0127</v>
          </cell>
          <cell r="F3964" t="str">
            <v>C1</v>
          </cell>
          <cell r="G3964" t="str">
            <v>CE</v>
          </cell>
          <cell r="H3964" t="str">
            <v>INGREDIENTS</v>
          </cell>
          <cell r="I3964" t="str">
            <v>INGREDIENTS</v>
          </cell>
          <cell r="J3964" t="str">
            <v>CE ITB FS SOUZA FELIX REP</v>
          </cell>
          <cell r="K3964" t="str">
            <v>ITAMBÉ</v>
          </cell>
          <cell r="L3964" t="str">
            <v>MAURICIO</v>
          </cell>
          <cell r="M3964" t="str">
            <v>JOEL</v>
          </cell>
        </row>
        <row r="3965">
          <cell r="B3965">
            <v>5367720</v>
          </cell>
          <cell r="C3965" t="str">
            <v>CENTRAL DO ACAI COM CHANTILLY LTDA</v>
          </cell>
          <cell r="D3965" t="str">
            <v>3001</v>
          </cell>
          <cell r="E3965" t="str">
            <v>0169</v>
          </cell>
          <cell r="F3965" t="str">
            <v>C1</v>
          </cell>
          <cell r="G3965" t="str">
            <v>RJ</v>
          </cell>
          <cell r="H3965" t="str">
            <v>DISTRIBUIÇÃO</v>
          </cell>
          <cell r="I3965" t="str">
            <v>FOOD SERVICE</v>
          </cell>
          <cell r="J3965" t="str">
            <v>JULIANA CORDEIRO</v>
          </cell>
          <cell r="K3965" t="str">
            <v>ITAMBÉ</v>
          </cell>
          <cell r="L3965" t="str">
            <v>RODRIGO</v>
          </cell>
          <cell r="M3965" t="str">
            <v>JESSICA</v>
          </cell>
        </row>
        <row r="3966">
          <cell r="B3966">
            <v>5367756</v>
          </cell>
          <cell r="C3966" t="str">
            <v>ICEPAM COMERCIO E DISTRIB LTDA</v>
          </cell>
          <cell r="D3966" t="str">
            <v>3001</v>
          </cell>
          <cell r="E3966" t="str">
            <v>0028</v>
          </cell>
          <cell r="F3966" t="str">
            <v>C1</v>
          </cell>
          <cell r="G3966" t="str">
            <v>RJ</v>
          </cell>
          <cell r="H3966" t="str">
            <v>INGREDIENTS</v>
          </cell>
          <cell r="I3966" t="str">
            <v>INGREDIENTS</v>
          </cell>
          <cell r="J3966" t="str">
            <v>RJ ITB FS L T MARTINS</v>
          </cell>
          <cell r="K3966" t="str">
            <v>ITAMBÉ</v>
          </cell>
          <cell r="L3966" t="str">
            <v>MAURICIO</v>
          </cell>
          <cell r="M3966" t="str">
            <v>TATIANA NITTA</v>
          </cell>
        </row>
        <row r="3967">
          <cell r="B3967">
            <v>5371107</v>
          </cell>
          <cell r="C3967" t="str">
            <v>MIXUE BR LTDA</v>
          </cell>
          <cell r="D3967" t="str">
            <v>3001</v>
          </cell>
          <cell r="E3967" t="str">
            <v>0125</v>
          </cell>
          <cell r="F3967" t="str">
            <v>C1</v>
          </cell>
          <cell r="G3967" t="str">
            <v>SP</v>
          </cell>
          <cell r="H3967" t="str">
            <v>QSR</v>
          </cell>
          <cell r="I3967" t="str">
            <v>FOOD SERVICE</v>
          </cell>
          <cell r="J3967" t="str">
            <v>ANA MENIQUETE</v>
          </cell>
          <cell r="K3967" t="str">
            <v>ITAMBÉ</v>
          </cell>
          <cell r="L3967" t="str">
            <v>PEDRO</v>
          </cell>
          <cell r="M3967" t="str">
            <v>ANA MENIQUETE</v>
          </cell>
        </row>
        <row r="3968">
          <cell r="B3968">
            <v>5372615</v>
          </cell>
          <cell r="C3968" t="str">
            <v>POLENGHI INDUSTRIAS ALIMENTICIA</v>
          </cell>
          <cell r="D3968" t="str">
            <v>4001</v>
          </cell>
          <cell r="E3968" t="str">
            <v>0445</v>
          </cell>
          <cell r="F3968" t="str">
            <v>C7</v>
          </cell>
          <cell r="G3968" t="str">
            <v>SP</v>
          </cell>
          <cell r="H3968" t="str">
            <v>INGREDIENTS</v>
          </cell>
          <cell r="I3968" t="str">
            <v>INGREDIENTS</v>
          </cell>
          <cell r="J3968" t="str">
            <v>TATIANA NITTA</v>
          </cell>
          <cell r="K3968" t="str">
            <v>LACTALIS</v>
          </cell>
          <cell r="L3968" t="str">
            <v>MAURICIO</v>
          </cell>
          <cell r="M3968" t="str">
            <v>TATIANA NITTA</v>
          </cell>
        </row>
        <row r="3969">
          <cell r="B3969">
            <v>5167826</v>
          </cell>
          <cell r="C3969" t="str">
            <v>VILLEFRIOS COMERCIO DE FRIOS LATICI</v>
          </cell>
          <cell r="D3969" t="str">
            <v>7001</v>
          </cell>
          <cell r="E3969" t="str">
            <v>0755</v>
          </cell>
          <cell r="F3969" t="str">
            <v>C1</v>
          </cell>
          <cell r="G3969" t="str">
            <v>PR</v>
          </cell>
          <cell r="H3969" t="str">
            <v>DISTRIBUIÇÃO</v>
          </cell>
          <cell r="I3969" t="str">
            <v>FOOD SERVICE</v>
          </cell>
          <cell r="J3969" t="str">
            <v>ANGELICA BATISTELA</v>
          </cell>
          <cell r="K3969" t="str">
            <v>LACTALIS</v>
          </cell>
          <cell r="L3969" t="str">
            <v>RODRIGO</v>
          </cell>
          <cell r="M3969" t="str">
            <v>ANGELICA BATISTELA</v>
          </cell>
        </row>
        <row r="3970">
          <cell r="B3970">
            <v>5175418</v>
          </cell>
          <cell r="C3970" t="str">
            <v>C M NAKAMURA ALIMENTACAO</v>
          </cell>
          <cell r="D3970" t="str">
            <v>7001</v>
          </cell>
          <cell r="E3970" t="str">
            <v>0749</v>
          </cell>
          <cell r="F3970" t="str">
            <v>C5</v>
          </cell>
          <cell r="G3970" t="str">
            <v>SP</v>
          </cell>
          <cell r="H3970" t="str">
            <v>DISTRIBUIÇÃO</v>
          </cell>
          <cell r="I3970" t="str">
            <v>FOOD SERVICE</v>
          </cell>
          <cell r="J3970" t="str">
            <v>FLAC 4</v>
          </cell>
          <cell r="K3970" t="str">
            <v>LACTALIS</v>
          </cell>
          <cell r="L3970" t="str">
            <v>RODRIGO</v>
          </cell>
          <cell r="M3970" t="str">
            <v>RAQUEL BARBOSA</v>
          </cell>
        </row>
        <row r="3971">
          <cell r="B3971">
            <v>5182797</v>
          </cell>
          <cell r="C3971" t="str">
            <v>VALMIR CAVALCANTE DANTAS</v>
          </cell>
          <cell r="D3971" t="str">
            <v>3001</v>
          </cell>
          <cell r="E3971" t="str">
            <v>0028</v>
          </cell>
          <cell r="F3971" t="str">
            <v>C1</v>
          </cell>
          <cell r="G3971" t="str">
            <v>PB</v>
          </cell>
          <cell r="H3971" t="str">
            <v>INGREDIENTS</v>
          </cell>
          <cell r="I3971" t="str">
            <v>INGREDIENTS</v>
          </cell>
          <cell r="J3971" t="str">
            <v>PB ITB FS W S REP</v>
          </cell>
          <cell r="K3971" t="str">
            <v>ITAMBÉ</v>
          </cell>
          <cell r="L3971" t="str">
            <v>MAURICIO</v>
          </cell>
          <cell r="M3971" t="str">
            <v>JOEL</v>
          </cell>
        </row>
        <row r="3972">
          <cell r="B3972">
            <v>5185627</v>
          </cell>
          <cell r="C3972" t="str">
            <v>BOLOS DA DINDA LTDA</v>
          </cell>
          <cell r="D3972" t="str">
            <v>3001</v>
          </cell>
          <cell r="E3972" t="str">
            <v>0028</v>
          </cell>
          <cell r="F3972" t="str">
            <v>C1</v>
          </cell>
          <cell r="G3972" t="str">
            <v>SP</v>
          </cell>
          <cell r="H3972" t="str">
            <v>INGREDIENTS</v>
          </cell>
          <cell r="I3972" t="str">
            <v>INGREDIENTS</v>
          </cell>
          <cell r="J3972" t="str">
            <v>HENRIQUE FERREIRA</v>
          </cell>
          <cell r="K3972" t="str">
            <v>ITAMBÉ</v>
          </cell>
          <cell r="L3972" t="str">
            <v>MAURICIO</v>
          </cell>
          <cell r="M3972" t="str">
            <v>JOEL</v>
          </cell>
        </row>
        <row r="3973">
          <cell r="B3973">
            <v>5369249</v>
          </cell>
          <cell r="C3973" t="str">
            <v>BRUXELAS DOCES LTDA</v>
          </cell>
          <cell r="D3973" t="str">
            <v>3001</v>
          </cell>
          <cell r="E3973" t="str">
            <v>0028</v>
          </cell>
          <cell r="F3973" t="str">
            <v>C1</v>
          </cell>
          <cell r="G3973" t="str">
            <v>SP</v>
          </cell>
          <cell r="H3973" t="str">
            <v>INGREDIENTS</v>
          </cell>
          <cell r="I3973" t="str">
            <v>INGREDIENTS</v>
          </cell>
          <cell r="J3973" t="str">
            <v>HENRIQUE FERREIRA</v>
          </cell>
          <cell r="K3973" t="str">
            <v>ITAMBÉ</v>
          </cell>
          <cell r="L3973" t="str">
            <v>MAURICIO</v>
          </cell>
          <cell r="M3973" t="str">
            <v>JOEL</v>
          </cell>
        </row>
        <row r="3974">
          <cell r="B3974">
            <v>5372149</v>
          </cell>
          <cell r="C3974" t="str">
            <v>ALLPREMIUM INDUSTRIA E COMERCIO</v>
          </cell>
          <cell r="D3974" t="str">
            <v>3001</v>
          </cell>
          <cell r="E3974" t="str">
            <v>0125</v>
          </cell>
          <cell r="F3974" t="str">
            <v>C1</v>
          </cell>
          <cell r="G3974" t="str">
            <v>SP</v>
          </cell>
          <cell r="H3974" t="str">
            <v>INGREDIENTS</v>
          </cell>
          <cell r="I3974" t="str">
            <v>INGREDIENTS</v>
          </cell>
          <cell r="J3974" t="str">
            <v>TATIANA NITTA</v>
          </cell>
          <cell r="K3974" t="str">
            <v>ITAMBÉ</v>
          </cell>
          <cell r="L3974" t="str">
            <v>MAURICIO</v>
          </cell>
          <cell r="M3974" t="str">
            <v>TATIANA NITTA</v>
          </cell>
        </row>
        <row r="3975">
          <cell r="B3975">
            <v>5372516</v>
          </cell>
          <cell r="C3975" t="str">
            <v>DEBORA COM DE ALI BUF S E EVENT</v>
          </cell>
          <cell r="D3975" t="str">
            <v>7001</v>
          </cell>
          <cell r="E3975" t="str">
            <v>0749</v>
          </cell>
          <cell r="F3975" t="str">
            <v>C5</v>
          </cell>
          <cell r="G3975" t="str">
            <v>SP</v>
          </cell>
          <cell r="H3975" t="str">
            <v>DISTRIBUIÇÃO</v>
          </cell>
          <cell r="I3975" t="str">
            <v>FOOD SERVICE</v>
          </cell>
          <cell r="J3975" t="str">
            <v>FLAC 7</v>
          </cell>
          <cell r="K3975" t="str">
            <v>LACTALIS</v>
          </cell>
          <cell r="L3975" t="str">
            <v>RODRIGO</v>
          </cell>
          <cell r="M3975" t="str">
            <v>RAQUEL BARBOSA</v>
          </cell>
        </row>
        <row r="3976">
          <cell r="B3976">
            <v>5372556</v>
          </cell>
          <cell r="C3976" t="str">
            <v>ICE PROTEIN LTDA</v>
          </cell>
          <cell r="D3976" t="str">
            <v>3001</v>
          </cell>
          <cell r="E3976" t="str">
            <v>0028</v>
          </cell>
          <cell r="F3976" t="str">
            <v>C1</v>
          </cell>
          <cell r="G3976" t="str">
            <v>MG</v>
          </cell>
          <cell r="H3976" t="str">
            <v>INGREDIENTS</v>
          </cell>
          <cell r="I3976" t="str">
            <v>INGREDIENTS</v>
          </cell>
          <cell r="J3976" t="str">
            <v>HENRIQUE FERREIRA</v>
          </cell>
          <cell r="K3976" t="str">
            <v>ITAMBÉ</v>
          </cell>
          <cell r="L3976" t="str">
            <v>MAURICIO</v>
          </cell>
          <cell r="M3976" t="str">
            <v>JOEL</v>
          </cell>
        </row>
        <row r="3977">
          <cell r="B3977">
            <v>5372616</v>
          </cell>
          <cell r="C3977" t="str">
            <v>PARATI INDUSTRIA DE SORVETES LT</v>
          </cell>
          <cell r="D3977" t="str">
            <v>3001</v>
          </cell>
          <cell r="E3977" t="str">
            <v>0028</v>
          </cell>
          <cell r="F3977" t="str">
            <v>C1</v>
          </cell>
          <cell r="G3977" t="str">
            <v>SE</v>
          </cell>
          <cell r="H3977" t="str">
            <v>INGREDIENTS</v>
          </cell>
          <cell r="I3977" t="str">
            <v>INGREDIENTS</v>
          </cell>
          <cell r="J3977" t="str">
            <v>BA ITB FS L B REPRES LTDA</v>
          </cell>
          <cell r="K3977" t="str">
            <v>ITAMBÉ</v>
          </cell>
          <cell r="L3977" t="str">
            <v>MAURICIO</v>
          </cell>
          <cell r="M3977" t="str">
            <v>JOEL</v>
          </cell>
        </row>
        <row r="3978">
          <cell r="B3978">
            <v>5372617</v>
          </cell>
          <cell r="C3978" t="str">
            <v>INDUSTRIA ALIM DOCE CAMPO VERDE</v>
          </cell>
          <cell r="D3978" t="str">
            <v>3001</v>
          </cell>
          <cell r="E3978" t="str">
            <v>0028</v>
          </cell>
          <cell r="F3978" t="str">
            <v>C1</v>
          </cell>
          <cell r="G3978" t="str">
            <v>AL</v>
          </cell>
          <cell r="H3978" t="str">
            <v>INGREDIENTS</v>
          </cell>
          <cell r="I3978" t="str">
            <v>INGREDIENTS</v>
          </cell>
          <cell r="J3978" t="str">
            <v>PE ITB FS L B REP</v>
          </cell>
          <cell r="K3978" t="str">
            <v>ITAMBÉ</v>
          </cell>
          <cell r="L3978" t="str">
            <v>MAURICIO</v>
          </cell>
          <cell r="M3978" t="str">
            <v>JOEL</v>
          </cell>
        </row>
        <row r="3979">
          <cell r="B3979">
            <v>5058881</v>
          </cell>
          <cell r="C3979" t="str">
            <v>GR SERVICOS E ALIMENTACAO LTDA</v>
          </cell>
          <cell r="D3979" t="str">
            <v>7001</v>
          </cell>
          <cell r="E3979" t="str">
            <v>0722</v>
          </cell>
          <cell r="F3979" t="str">
            <v>C1</v>
          </cell>
          <cell r="G3979" t="str">
            <v>SP</v>
          </cell>
          <cell r="H3979" t="str">
            <v>QSR</v>
          </cell>
          <cell r="I3979" t="str">
            <v>FOOD SERVICE</v>
          </cell>
          <cell r="J3979" t="str">
            <v>NUTRI</v>
          </cell>
          <cell r="K3979" t="str">
            <v>LACTALIS</v>
          </cell>
          <cell r="L3979" t="str">
            <v>PEDRO</v>
          </cell>
          <cell r="M3979" t="str">
            <v>VAGO QSR</v>
          </cell>
        </row>
        <row r="3980">
          <cell r="B3980">
            <v>5121755</v>
          </cell>
          <cell r="C3980" t="str">
            <v>ESTACAO DA CULTURA SOBR E CAFE</v>
          </cell>
          <cell r="D3980" t="str">
            <v>3001</v>
          </cell>
          <cell r="E3980" t="str">
            <v>0125</v>
          </cell>
          <cell r="F3980" t="str">
            <v>C1</v>
          </cell>
          <cell r="G3980" t="str">
            <v>SP</v>
          </cell>
          <cell r="H3980" t="str">
            <v>DISTRIBUIÇÃO</v>
          </cell>
          <cell r="I3980" t="str">
            <v>FOOD SERVICE</v>
          </cell>
          <cell r="J3980" t="str">
            <v>SP ITB FS FLAC REP.E COMERCIO</v>
          </cell>
          <cell r="K3980" t="str">
            <v>ITAMBÉ</v>
          </cell>
          <cell r="L3980" t="str">
            <v>RODRIGO</v>
          </cell>
          <cell r="M3980" t="str">
            <v>RAQUEL BARBOSA</v>
          </cell>
        </row>
        <row r="3981">
          <cell r="B3981">
            <v>5192611</v>
          </cell>
          <cell r="C3981" t="str">
            <v>VALENTE E CASTRO DIST DE ALIMEN</v>
          </cell>
          <cell r="D3981" t="str">
            <v>7001</v>
          </cell>
          <cell r="E3981" t="str">
            <v>0739</v>
          </cell>
          <cell r="F3981" t="str">
            <v>C1</v>
          </cell>
          <cell r="G3981" t="str">
            <v>RJ</v>
          </cell>
          <cell r="H3981" t="str">
            <v>DISTRIBUIÇÃO</v>
          </cell>
          <cell r="I3981" t="str">
            <v>FOOD SERVICE</v>
          </cell>
          <cell r="J3981" t="str">
            <v>JULIANA CORDEIRO</v>
          </cell>
          <cell r="K3981" t="str">
            <v>LACTALIS</v>
          </cell>
          <cell r="L3981" t="str">
            <v>RODRIGO</v>
          </cell>
          <cell r="M3981" t="str">
            <v>JESSICA</v>
          </cell>
        </row>
        <row r="3982">
          <cell r="B3982">
            <v>5347568</v>
          </cell>
          <cell r="C3982" t="str">
            <v>VEP ALIMENTOS LTDA</v>
          </cell>
          <cell r="D3982" t="str">
            <v>3001</v>
          </cell>
          <cell r="E3982" t="str">
            <v>0028</v>
          </cell>
          <cell r="F3982" t="str">
            <v>C1</v>
          </cell>
          <cell r="G3982" t="str">
            <v>SP</v>
          </cell>
          <cell r="H3982" t="str">
            <v>INGREDIENTS</v>
          </cell>
          <cell r="I3982" t="str">
            <v>INGREDIENTS</v>
          </cell>
          <cell r="J3982" t="str">
            <v>TATIANA NITTA</v>
          </cell>
          <cell r="K3982" t="str">
            <v>ITAMBÉ</v>
          </cell>
          <cell r="L3982" t="str">
            <v>MAURICIO</v>
          </cell>
          <cell r="M3982" t="str">
            <v>TATIANA NITTA</v>
          </cell>
        </row>
        <row r="3983">
          <cell r="B3983">
            <v>5371203</v>
          </cell>
          <cell r="C3983" t="str">
            <v>ALL PROTEIN IND E COM DE ALIM L</v>
          </cell>
          <cell r="D3983" t="str">
            <v>3001</v>
          </cell>
          <cell r="E3983" t="str">
            <v>0028</v>
          </cell>
          <cell r="F3983" t="str">
            <v>C1</v>
          </cell>
          <cell r="G3983" t="str">
            <v>RS</v>
          </cell>
          <cell r="H3983" t="str">
            <v>INGREDIENTS</v>
          </cell>
          <cell r="I3983" t="str">
            <v>INGREDIENTS</v>
          </cell>
          <cell r="J3983" t="str">
            <v>JOEL ELEOTÉRIO</v>
          </cell>
          <cell r="K3983" t="str">
            <v>ITAMBÉ</v>
          </cell>
          <cell r="L3983" t="str">
            <v>MAURICIO</v>
          </cell>
          <cell r="M3983" t="str">
            <v>JOEL</v>
          </cell>
        </row>
        <row r="3984">
          <cell r="B3984">
            <v>5372247</v>
          </cell>
          <cell r="C3984" t="str">
            <v>65177620 CARMELA RIENZI FINOCCH</v>
          </cell>
          <cell r="D3984" t="str">
            <v>7001</v>
          </cell>
          <cell r="E3984" t="str">
            <v>0749</v>
          </cell>
          <cell r="F3984" t="str">
            <v>C5</v>
          </cell>
          <cell r="G3984" t="str">
            <v>SP</v>
          </cell>
          <cell r="H3984" t="str">
            <v>DISTRIBUIÇÃO</v>
          </cell>
          <cell r="I3984" t="str">
            <v>FOOD SERVICE</v>
          </cell>
          <cell r="J3984" t="str">
            <v>FLAC 2</v>
          </cell>
          <cell r="K3984" t="str">
            <v>LACTALIS</v>
          </cell>
          <cell r="L3984" t="str">
            <v>RODRIGO</v>
          </cell>
          <cell r="M3984" t="str">
            <v>RAQUEL BARBOSA</v>
          </cell>
        </row>
        <row r="3985">
          <cell r="B3985">
            <v>5372295</v>
          </cell>
          <cell r="C3985" t="str">
            <v>65820697 LUCAS BARROSO DA SILVA</v>
          </cell>
          <cell r="D3985" t="str">
            <v>7001</v>
          </cell>
          <cell r="E3985" t="str">
            <v>0749</v>
          </cell>
          <cell r="F3985" t="str">
            <v>C5</v>
          </cell>
          <cell r="G3985" t="str">
            <v>SP</v>
          </cell>
          <cell r="H3985" t="str">
            <v>DISTRIBUIÇÃO</v>
          </cell>
          <cell r="I3985" t="str">
            <v>FOOD SERVICE</v>
          </cell>
          <cell r="J3985" t="str">
            <v>FLAC 10</v>
          </cell>
          <cell r="K3985" t="str">
            <v>LACTALIS</v>
          </cell>
          <cell r="L3985" t="str">
            <v>RODRIGO</v>
          </cell>
          <cell r="M3985" t="str">
            <v>RAQUEL BARBOSA</v>
          </cell>
        </row>
        <row r="3986">
          <cell r="B3986">
            <v>5032480</v>
          </cell>
          <cell r="C3986" t="str">
            <v>ATACADO E DISTRIBUIDORA MARITERRA L</v>
          </cell>
          <cell r="D3986" t="str">
            <v>3001</v>
          </cell>
          <cell r="E3986" t="str">
            <v>0169</v>
          </cell>
          <cell r="F3986" t="str">
            <v>C1</v>
          </cell>
          <cell r="G3986" t="str">
            <v>ES</v>
          </cell>
          <cell r="H3986" t="str">
            <v>DISTRIBUIÇÃO</v>
          </cell>
          <cell r="I3986" t="str">
            <v>FOOD SERVICE</v>
          </cell>
          <cell r="J3986" t="str">
            <v>MARCELO DUARTE</v>
          </cell>
          <cell r="K3986" t="str">
            <v>ITAMBÉ</v>
          </cell>
          <cell r="L3986" t="str">
            <v>RODRIGO</v>
          </cell>
          <cell r="M3986" t="str">
            <v>JESSICA</v>
          </cell>
        </row>
        <row r="3987">
          <cell r="B3987">
            <v>5182829</v>
          </cell>
          <cell r="C3987" t="str">
            <v>CREMONE IND E COM DE SORVETES LTDA</v>
          </cell>
          <cell r="D3987" t="str">
            <v>3001</v>
          </cell>
          <cell r="E3987" t="str">
            <v>0126</v>
          </cell>
          <cell r="F3987" t="str">
            <v>C1</v>
          </cell>
          <cell r="G3987" t="str">
            <v>PR</v>
          </cell>
          <cell r="H3987" t="str">
            <v>QSR</v>
          </cell>
          <cell r="I3987" t="str">
            <v>FOOD SERVICE</v>
          </cell>
          <cell r="J3987" t="str">
            <v>VAGO QSR</v>
          </cell>
          <cell r="K3987" t="str">
            <v>ITAMBÉ</v>
          </cell>
          <cell r="L3987" t="str">
            <v>PEDRO</v>
          </cell>
          <cell r="M3987" t="str">
            <v>VAGO QSR</v>
          </cell>
        </row>
        <row r="3988">
          <cell r="B3988">
            <v>5260920</v>
          </cell>
          <cell r="C3988" t="str">
            <v>INDUSTRIA DE ALIMENTOS ESTRELA</v>
          </cell>
          <cell r="D3988" t="str">
            <v>4001</v>
          </cell>
          <cell r="E3988" t="str">
            <v>0546</v>
          </cell>
          <cell r="F3988" t="str">
            <v>C1</v>
          </cell>
          <cell r="G3988" t="str">
            <v>RS</v>
          </cell>
          <cell r="H3988" t="str">
            <v>INGREDIENTS</v>
          </cell>
          <cell r="I3988" t="str">
            <v>INGREDIENTS</v>
          </cell>
          <cell r="J3988" t="str">
            <v>JOEL ELEOTÉRIO</v>
          </cell>
          <cell r="K3988" t="str">
            <v>LACTALIS</v>
          </cell>
          <cell r="L3988" t="str">
            <v>MAURICIO</v>
          </cell>
          <cell r="M3988" t="str">
            <v>JOEL</v>
          </cell>
        </row>
        <row r="3989">
          <cell r="B3989">
            <v>5292313</v>
          </cell>
          <cell r="C3989" t="str">
            <v>L GUEIROS LOMEU LATICINIOS LTDA</v>
          </cell>
          <cell r="D3989" t="str">
            <v>4001</v>
          </cell>
          <cell r="E3989" t="str">
            <v>0458</v>
          </cell>
          <cell r="F3989" t="str">
            <v>C1</v>
          </cell>
          <cell r="G3989" t="str">
            <v>MG</v>
          </cell>
          <cell r="H3989" t="str">
            <v>INGREDIENTS</v>
          </cell>
          <cell r="I3989" t="str">
            <v>INGREDIENTS</v>
          </cell>
          <cell r="J3989" t="str">
            <v>HENRIQUE FERREIRA</v>
          </cell>
          <cell r="K3989" t="str">
            <v>LACTALIS</v>
          </cell>
          <cell r="L3989" t="str">
            <v>MAURICIO</v>
          </cell>
          <cell r="M3989" t="str">
            <v>JOEL</v>
          </cell>
        </row>
        <row r="3990">
          <cell r="B3990">
            <v>5013236</v>
          </cell>
          <cell r="C3990" t="str">
            <v>CLUBE DO CONFEITEIRO LTDA</v>
          </cell>
          <cell r="D3990" t="str">
            <v>3001</v>
          </cell>
          <cell r="E3990" t="str">
            <v>0125</v>
          </cell>
          <cell r="F3990" t="str">
            <v>C1</v>
          </cell>
          <cell r="G3990" t="str">
            <v>SP</v>
          </cell>
          <cell r="H3990" t="str">
            <v>DISTRIBUIÇÃO</v>
          </cell>
          <cell r="I3990" t="str">
            <v>FOOD SERVICE</v>
          </cell>
          <cell r="J3990" t="str">
            <v>SP ITB FS FLAC REP.E COMERCIO</v>
          </cell>
          <cell r="K3990" t="str">
            <v>ITAMBÉ</v>
          </cell>
          <cell r="L3990" t="str">
            <v>RODRIGO</v>
          </cell>
          <cell r="M3990" t="str">
            <v>RAQUEL BARBOSA</v>
          </cell>
        </row>
        <row r="3991">
          <cell r="B3991">
            <v>5026768</v>
          </cell>
          <cell r="C3991" t="str">
            <v>FORTALI DIST DE ALIMENTOS LTDA</v>
          </cell>
          <cell r="D3991" t="str">
            <v>7001</v>
          </cell>
          <cell r="E3991" t="str">
            <v>0559</v>
          </cell>
          <cell r="F3991" t="str">
            <v>C5</v>
          </cell>
          <cell r="G3991" t="str">
            <v>CE</v>
          </cell>
          <cell r="H3991" t="str">
            <v>DISTRIBUIÇÃO</v>
          </cell>
          <cell r="I3991" t="str">
            <v>FOOD SERVICE</v>
          </cell>
          <cell r="J3991" t="str">
            <v>CLAUDIO JORGE</v>
          </cell>
          <cell r="K3991" t="str">
            <v>LACTALIS</v>
          </cell>
          <cell r="L3991" t="str">
            <v>RODRIGO</v>
          </cell>
          <cell r="M3991" t="str">
            <v>MARIA LOURDES</v>
          </cell>
        </row>
        <row r="3992">
          <cell r="B3992">
            <v>5304786</v>
          </cell>
          <cell r="C3992" t="str">
            <v>PADOCA DO MANI ALIMENTOS LTDA</v>
          </cell>
          <cell r="D3992" t="str">
            <v>7001</v>
          </cell>
          <cell r="E3992" t="str">
            <v>0749</v>
          </cell>
          <cell r="F3992" t="str">
            <v>C5</v>
          </cell>
          <cell r="G3992" t="str">
            <v>SP</v>
          </cell>
          <cell r="H3992" t="str">
            <v>DISTRIBUIÇÃO</v>
          </cell>
          <cell r="I3992" t="str">
            <v>FOOD SERVICE</v>
          </cell>
          <cell r="J3992" t="str">
            <v>FLAC 3</v>
          </cell>
          <cell r="K3992" t="str">
            <v>LACTALIS</v>
          </cell>
          <cell r="L3992" t="str">
            <v>RODRIGO</v>
          </cell>
          <cell r="M3992" t="str">
            <v>RAQUEL BARBOSA</v>
          </cell>
        </row>
        <row r="3993">
          <cell r="B3993">
            <v>5369106</v>
          </cell>
          <cell r="C3993" t="str">
            <v>ABC1 RESTAURANTE E EVENTOS LTDA</v>
          </cell>
          <cell r="D3993" t="str">
            <v>7001</v>
          </cell>
          <cell r="E3993" t="str">
            <v>0749</v>
          </cell>
          <cell r="F3993" t="str">
            <v>C5</v>
          </cell>
          <cell r="G3993" t="str">
            <v>SP</v>
          </cell>
          <cell r="H3993" t="str">
            <v>DISTRIBUIÇÃO</v>
          </cell>
          <cell r="I3993" t="str">
            <v>FOOD SERVICE</v>
          </cell>
          <cell r="J3993" t="str">
            <v>FLAC 5</v>
          </cell>
          <cell r="K3993" t="str">
            <v>LACTALIS</v>
          </cell>
          <cell r="L3993" t="str">
            <v>RODRIGO</v>
          </cell>
          <cell r="M3993" t="str">
            <v>RAQUEL BARBOSA</v>
          </cell>
        </row>
        <row r="3994">
          <cell r="B3994">
            <v>5372578</v>
          </cell>
          <cell r="C3994" t="str">
            <v>SHAIENE SARA ZERMIANI COMERCIO</v>
          </cell>
          <cell r="D3994" t="str">
            <v>3001</v>
          </cell>
          <cell r="E3994" t="str">
            <v>0028</v>
          </cell>
          <cell r="F3994" t="str">
            <v>C1</v>
          </cell>
          <cell r="G3994" t="str">
            <v>SC</v>
          </cell>
          <cell r="H3994" t="str">
            <v>INGREDIENTS</v>
          </cell>
          <cell r="I3994" t="str">
            <v>INGREDIENTS</v>
          </cell>
          <cell r="J3994" t="str">
            <v>SC ITB FD PAES REPRE COM LTDA</v>
          </cell>
          <cell r="K3994" t="str">
            <v>ITAMBÉ</v>
          </cell>
          <cell r="L3994" t="str">
            <v>MAURICIO</v>
          </cell>
          <cell r="M3994" t="str">
            <v>MARCELO</v>
          </cell>
        </row>
        <row r="3995">
          <cell r="B3995">
            <v>5176585</v>
          </cell>
          <cell r="C3995" t="str">
            <v>MOCOCA SA PRODS ALIMENTICIOS</v>
          </cell>
          <cell r="D3995" t="str">
            <v>4001</v>
          </cell>
          <cell r="E3995" t="str">
            <v>0437</v>
          </cell>
          <cell r="F3995" t="str">
            <v>C1</v>
          </cell>
          <cell r="G3995" t="str">
            <v>SP</v>
          </cell>
          <cell r="H3995" t="str">
            <v>INGREDIENTS</v>
          </cell>
          <cell r="I3995" t="str">
            <v>INGREDIENTS</v>
          </cell>
          <cell r="J3995" t="str">
            <v>MARCELO RODRIGUES</v>
          </cell>
          <cell r="K3995" t="str">
            <v>LACTALIS</v>
          </cell>
          <cell r="L3995" t="str">
            <v>MAURICIO</v>
          </cell>
          <cell r="M3995" t="str">
            <v>MARCELO</v>
          </cell>
        </row>
        <row r="3996">
          <cell r="B3996">
            <v>5218947</v>
          </cell>
          <cell r="C3996" t="str">
            <v>CONDE COMERCIAL DE ALIMENTOS LT</v>
          </cell>
          <cell r="D3996" t="str">
            <v>3001</v>
          </cell>
          <cell r="E3996" t="str">
            <v>0009</v>
          </cell>
          <cell r="F3996" t="str">
            <v>C1</v>
          </cell>
          <cell r="G3996" t="str">
            <v>BA</v>
          </cell>
          <cell r="H3996" t="str">
            <v>DISTRIBUIÇÃO</v>
          </cell>
          <cell r="I3996" t="str">
            <v>FOOD SERVICE</v>
          </cell>
          <cell r="J3996" t="str">
            <v>CLAUDIO JORGE/LUIZ</v>
          </cell>
          <cell r="K3996" t="str">
            <v>ITAMBÉ</v>
          </cell>
          <cell r="L3996" t="str">
            <v>RODRIGO</v>
          </cell>
          <cell r="M3996" t="str">
            <v>MARIA LOURDES</v>
          </cell>
        </row>
        <row r="3997">
          <cell r="B3997">
            <v>5372456</v>
          </cell>
          <cell r="C3997" t="str">
            <v>DUEMIX DISTRIBUIDORA LTDA</v>
          </cell>
          <cell r="D3997" t="str">
            <v>3001</v>
          </cell>
          <cell r="E3997" t="str">
            <v>0028</v>
          </cell>
          <cell r="F3997" t="str">
            <v>C1</v>
          </cell>
          <cell r="G3997" t="str">
            <v>PR</v>
          </cell>
          <cell r="H3997" t="str">
            <v>INGREDIENTS</v>
          </cell>
          <cell r="I3997" t="str">
            <v>INGREDIENTS</v>
          </cell>
          <cell r="J3997" t="str">
            <v>PR ITB FS DONIZETH REPRES</v>
          </cell>
          <cell r="K3997" t="str">
            <v>ITAMBÉ</v>
          </cell>
          <cell r="L3997" t="str">
            <v>MAURICIO</v>
          </cell>
          <cell r="M3997" t="str">
            <v>MARCELO</v>
          </cell>
        </row>
        <row r="3998">
          <cell r="B3998">
            <v>5333873</v>
          </cell>
          <cell r="C3998" t="str">
            <v>FJN ACAIS E SORVETES LTDA</v>
          </cell>
          <cell r="D3998" t="str">
            <v>7001</v>
          </cell>
          <cell r="E3998" t="str">
            <v>0737</v>
          </cell>
          <cell r="F3998" t="str">
            <v>C1</v>
          </cell>
          <cell r="G3998" t="str">
            <v>SP</v>
          </cell>
          <cell r="H3998" t="str">
            <v>INGREDIENTS</v>
          </cell>
          <cell r="I3998" t="str">
            <v>INGREDIENTS</v>
          </cell>
          <cell r="J3998" t="str">
            <v>TATIANA NITTA</v>
          </cell>
          <cell r="K3998" t="str">
            <v>LACTALIS</v>
          </cell>
          <cell r="L3998" t="str">
            <v>MAURICIO</v>
          </cell>
          <cell r="M3998" t="str">
            <v>TATIANA NITTA</v>
          </cell>
        </row>
        <row r="3999">
          <cell r="B3999">
            <v>5022847</v>
          </cell>
          <cell r="C3999" t="str">
            <v>CHOCOLIDER COM EMBALAGENS LTDA</v>
          </cell>
          <cell r="D3999" t="str">
            <v>3001</v>
          </cell>
          <cell r="E3999" t="str">
            <v>0125</v>
          </cell>
          <cell r="F3999" t="str">
            <v>C1</v>
          </cell>
          <cell r="G3999" t="str">
            <v>SP</v>
          </cell>
          <cell r="H3999" t="str">
            <v>DISTRIBUIÇÃO</v>
          </cell>
          <cell r="I3999" t="str">
            <v>FOOD SERVICE</v>
          </cell>
          <cell r="J3999" t="str">
            <v>SP ITB FS FLAC REP.E COMERCIO</v>
          </cell>
          <cell r="K3999" t="str">
            <v>ITAMBÉ</v>
          </cell>
          <cell r="L3999" t="str">
            <v>RODRIGO</v>
          </cell>
          <cell r="M3999" t="str">
            <v>RAQUEL BARBOSA</v>
          </cell>
        </row>
        <row r="4000">
          <cell r="B4000">
            <v>5158588</v>
          </cell>
          <cell r="C4000" t="str">
            <v>LUZA INDUSTRIA E COM DE ALIMENT</v>
          </cell>
          <cell r="D4000" t="str">
            <v>4001</v>
          </cell>
          <cell r="E4000" t="str">
            <v>0437</v>
          </cell>
          <cell r="F4000" t="str">
            <v>C1</v>
          </cell>
          <cell r="G4000" t="str">
            <v>MG</v>
          </cell>
          <cell r="H4000" t="str">
            <v>INGREDIENTS</v>
          </cell>
          <cell r="I4000" t="str">
            <v>INGREDIENTS</v>
          </cell>
          <cell r="J4000" t="str">
            <v>MARCELO RODRIGUES</v>
          </cell>
          <cell r="K4000" t="str">
            <v>LACTALIS</v>
          </cell>
          <cell r="L4000" t="str">
            <v>MAURICIO</v>
          </cell>
          <cell r="M4000" t="str">
            <v>MARCELO</v>
          </cell>
        </row>
        <row r="4001">
          <cell r="B4001">
            <v>5363127</v>
          </cell>
          <cell r="C4001" t="str">
            <v>FORTE COMERCIO E DISTRIBUIÇÃO</v>
          </cell>
          <cell r="D4001" t="str">
            <v>3001</v>
          </cell>
          <cell r="E4001" t="str">
            <v>0127</v>
          </cell>
          <cell r="F4001" t="str">
            <v>C1</v>
          </cell>
          <cell r="G4001" t="str">
            <v>BA</v>
          </cell>
          <cell r="H4001" t="str">
            <v>DISTRIBUIÇÃO</v>
          </cell>
          <cell r="I4001" t="str">
            <v>FOOD SERVICE</v>
          </cell>
          <cell r="J4001" t="str">
            <v>CLAUDIO JORGE/LUIZ</v>
          </cell>
          <cell r="K4001" t="str">
            <v>ITAMBÉ</v>
          </cell>
          <cell r="L4001" t="str">
            <v>RODRIGO</v>
          </cell>
          <cell r="M4001" t="str">
            <v>MARIA LOURDES</v>
          </cell>
        </row>
        <row r="4002">
          <cell r="B4002">
            <v>5161553</v>
          </cell>
          <cell r="C4002" t="str">
            <v>SAPORE SA</v>
          </cell>
          <cell r="D4002" t="str">
            <v>7001</v>
          </cell>
          <cell r="E4002" t="str">
            <v>0752</v>
          </cell>
          <cell r="F4002" t="str">
            <v>C5</v>
          </cell>
          <cell r="G4002" t="str">
            <v>PR</v>
          </cell>
          <cell r="H4002" t="str">
            <v>QSR</v>
          </cell>
          <cell r="I4002" t="str">
            <v>FOOD SERVICE</v>
          </cell>
          <cell r="J4002" t="str">
            <v>NUTRI</v>
          </cell>
          <cell r="K4002" t="str">
            <v>LACTALIS</v>
          </cell>
          <cell r="L4002" t="str">
            <v>PEDRO</v>
          </cell>
          <cell r="M4002" t="str">
            <v>VAGO QSR</v>
          </cell>
        </row>
        <row r="4003">
          <cell r="B4003">
            <v>5369793</v>
          </cell>
          <cell r="C4003" t="str">
            <v>ALLERGO BELLI C DE BOL E SALG L</v>
          </cell>
          <cell r="D4003" t="str">
            <v>7001</v>
          </cell>
          <cell r="E4003" t="str">
            <v>0749</v>
          </cell>
          <cell r="F4003" t="str">
            <v>C5</v>
          </cell>
          <cell r="G4003" t="str">
            <v>SP</v>
          </cell>
          <cell r="H4003" t="str">
            <v>DISTRIBUIÇÃO</v>
          </cell>
          <cell r="I4003" t="str">
            <v>FOOD SERVICE</v>
          </cell>
          <cell r="J4003" t="str">
            <v>FLAC 2</v>
          </cell>
          <cell r="K4003" t="str">
            <v>LACTALIS</v>
          </cell>
          <cell r="L4003" t="str">
            <v>RODRIGO</v>
          </cell>
          <cell r="M4003" t="str">
            <v>RAQUEL BARBOSA</v>
          </cell>
        </row>
        <row r="4004">
          <cell r="B4004">
            <v>5372593</v>
          </cell>
          <cell r="C4004" t="str">
            <v>CLAUDIA PETRATI MARCONDES</v>
          </cell>
          <cell r="D4004" t="str">
            <v>7001</v>
          </cell>
          <cell r="E4004" t="str">
            <v>0749</v>
          </cell>
          <cell r="F4004" t="str">
            <v>C5</v>
          </cell>
          <cell r="G4004" t="str">
            <v>SP</v>
          </cell>
          <cell r="H4004" t="str">
            <v>DISTRIBUIÇÃO</v>
          </cell>
          <cell r="I4004" t="str">
            <v>FOOD SERVICE</v>
          </cell>
          <cell r="J4004" t="str">
            <v>FLAC 2</v>
          </cell>
          <cell r="K4004" t="str">
            <v>LACTALIS</v>
          </cell>
          <cell r="L4004" t="str">
            <v>RODRIGO</v>
          </cell>
          <cell r="M4004" t="str">
            <v>RAQUEL BARBOSA</v>
          </cell>
        </row>
        <row r="4005">
          <cell r="B4005">
            <v>5009911</v>
          </cell>
          <cell r="C4005" t="str">
            <v>DOMICILI IND COM DE ALIMENTOS LTDA</v>
          </cell>
          <cell r="D4005" t="str">
            <v>3001</v>
          </cell>
          <cell r="E4005" t="str">
            <v>0125</v>
          </cell>
          <cell r="F4005" t="str">
            <v>C1</v>
          </cell>
          <cell r="G4005" t="str">
            <v>SP</v>
          </cell>
          <cell r="H4005" t="str">
            <v>DISTRIBUIÇÃO</v>
          </cell>
          <cell r="I4005" t="str">
            <v>FOOD SERVICE</v>
          </cell>
          <cell r="J4005" t="str">
            <v>SP ITB FS FLAC REP.E COMERCIO</v>
          </cell>
          <cell r="K4005" t="str">
            <v>ITAMBÉ</v>
          </cell>
          <cell r="L4005" t="str">
            <v>RODRIGO</v>
          </cell>
          <cell r="M4005" t="str">
            <v>RAQUEL BARBOSA</v>
          </cell>
        </row>
        <row r="4006">
          <cell r="B4006">
            <v>5373204</v>
          </cell>
          <cell r="C4006" t="str">
            <v>MB GELADOS COMESTIVEIS LTDA</v>
          </cell>
          <cell r="D4006" t="str">
            <v>3001</v>
          </cell>
          <cell r="E4006" t="str">
            <v>0169</v>
          </cell>
          <cell r="F4006" t="str">
            <v>C1</v>
          </cell>
          <cell r="G4006" t="str">
            <v>RJ</v>
          </cell>
          <cell r="H4006" t="str">
            <v>INGREDIENTS</v>
          </cell>
          <cell r="I4006" t="str">
            <v>INGREDIENTS</v>
          </cell>
          <cell r="J4006" t="str">
            <v>RJ ITB FS L T MARTINS</v>
          </cell>
          <cell r="K4006" t="str">
            <v>ITAMBÉ</v>
          </cell>
          <cell r="L4006" t="str">
            <v>MAURICIO</v>
          </cell>
          <cell r="M4006" t="str">
            <v>TATIANA NITTA</v>
          </cell>
        </row>
        <row r="4007">
          <cell r="B4007">
            <v>5373205</v>
          </cell>
          <cell r="C4007" t="str">
            <v>F S FREITAS COMERCIO DE SORVETE</v>
          </cell>
          <cell r="D4007" t="str">
            <v>3001</v>
          </cell>
          <cell r="E4007" t="str">
            <v>0169</v>
          </cell>
          <cell r="F4007" t="str">
            <v>C1</v>
          </cell>
          <cell r="G4007" t="str">
            <v>RJ</v>
          </cell>
          <cell r="H4007" t="str">
            <v>INGREDIENTS</v>
          </cell>
          <cell r="I4007" t="str">
            <v>INGREDIENTS</v>
          </cell>
          <cell r="J4007" t="str">
            <v>RJ ITB FS L T MARTINS</v>
          </cell>
          <cell r="K4007" t="str">
            <v>ITAMBÉ</v>
          </cell>
          <cell r="L4007" t="str">
            <v>MAURICIO</v>
          </cell>
          <cell r="M4007" t="str">
            <v>TATIANA NITTA</v>
          </cell>
        </row>
        <row r="4008">
          <cell r="B4008">
            <v>5373207</v>
          </cell>
          <cell r="C4008" t="str">
            <v>MARCOS CASTRO DOS SANTOS SORVET</v>
          </cell>
          <cell r="D4008" t="str">
            <v>3001</v>
          </cell>
          <cell r="E4008" t="str">
            <v>0028</v>
          </cell>
          <cell r="F4008" t="str">
            <v>C1</v>
          </cell>
          <cell r="G4008" t="str">
            <v>SP</v>
          </cell>
          <cell r="H4008" t="str">
            <v>INGREDIENTS</v>
          </cell>
          <cell r="I4008" t="str">
            <v>INGREDIENTS</v>
          </cell>
          <cell r="J4008" t="str">
            <v>SP ITB FS IKM REPRESENTACOES</v>
          </cell>
          <cell r="K4008" t="str">
            <v>ITAMBÉ</v>
          </cell>
          <cell r="L4008" t="str">
            <v>MAURICIO</v>
          </cell>
          <cell r="M4008" t="str">
            <v>TATIANA NITTA</v>
          </cell>
        </row>
        <row r="4009">
          <cell r="B4009">
            <v>5069172</v>
          </cell>
          <cell r="C4009" t="str">
            <v>SANNA COMERCIO DE ALIMENTOS LTD</v>
          </cell>
          <cell r="D4009" t="str">
            <v>7001</v>
          </cell>
          <cell r="E4009" t="str">
            <v>0723</v>
          </cell>
          <cell r="F4009" t="str">
            <v>C5</v>
          </cell>
          <cell r="G4009" t="str">
            <v>SP</v>
          </cell>
          <cell r="H4009" t="str">
            <v>DISTRIBUIÇÃO</v>
          </cell>
          <cell r="I4009" t="str">
            <v>FOOD SERVICE</v>
          </cell>
          <cell r="J4009" t="str">
            <v>ALEXANDRE BONANI</v>
          </cell>
          <cell r="K4009" t="str">
            <v>LACTALIS</v>
          </cell>
          <cell r="L4009" t="str">
            <v>RODRIGO</v>
          </cell>
          <cell r="M4009" t="str">
            <v>ALEXANDRE BONANI</v>
          </cell>
        </row>
        <row r="4010">
          <cell r="B4010">
            <v>5148084</v>
          </cell>
          <cell r="C4010" t="str">
            <v>SAPORE SA</v>
          </cell>
          <cell r="D4010" t="str">
            <v>3001</v>
          </cell>
          <cell r="E4010" t="str">
            <v>0028</v>
          </cell>
          <cell r="F4010" t="str">
            <v>C1</v>
          </cell>
          <cell r="G4010" t="str">
            <v>BA</v>
          </cell>
          <cell r="H4010" t="str">
            <v>QSR</v>
          </cell>
          <cell r="I4010" t="str">
            <v>FOOD SERVICE</v>
          </cell>
          <cell r="J4010" t="str">
            <v>NUTRI</v>
          </cell>
          <cell r="K4010" t="str">
            <v>ITAMBÉ</v>
          </cell>
          <cell r="L4010" t="str">
            <v>PEDRO</v>
          </cell>
          <cell r="M4010" t="str">
            <v>VAGO QSR</v>
          </cell>
        </row>
        <row r="4011">
          <cell r="B4011">
            <v>5312739</v>
          </cell>
          <cell r="C4011" t="str">
            <v>AEROMATE 1 LANCHES LTDA</v>
          </cell>
          <cell r="D4011" t="str">
            <v>7001</v>
          </cell>
          <cell r="E4011" t="str">
            <v>0749</v>
          </cell>
          <cell r="F4011" t="str">
            <v>C5</v>
          </cell>
          <cell r="G4011" t="str">
            <v>SP</v>
          </cell>
          <cell r="H4011" t="str">
            <v>DISTRIBUIÇÃO</v>
          </cell>
          <cell r="I4011" t="str">
            <v>FOOD SERVICE</v>
          </cell>
          <cell r="J4011" t="str">
            <v>FLAC 3</v>
          </cell>
          <cell r="K4011" t="str">
            <v>LACTALIS</v>
          </cell>
          <cell r="L4011" t="str">
            <v>RODRIGO</v>
          </cell>
          <cell r="M4011" t="str">
            <v>RAQUEL BARBOSA</v>
          </cell>
        </row>
        <row r="4012">
          <cell r="B4012">
            <v>5340377</v>
          </cell>
          <cell r="C4012" t="str">
            <v>ROST GUIMARAES DIST E TRANSPORT</v>
          </cell>
          <cell r="D4012" t="str">
            <v>7001</v>
          </cell>
          <cell r="E4012" t="str">
            <v>0723</v>
          </cell>
          <cell r="F4012" t="str">
            <v>C5</v>
          </cell>
          <cell r="G4012" t="str">
            <v>SP</v>
          </cell>
          <cell r="H4012" t="str">
            <v>DISTRIBUIÇÃO</v>
          </cell>
          <cell r="I4012" t="str">
            <v>FOOD SERVICE</v>
          </cell>
          <cell r="J4012" t="str">
            <v>ALEXANDRE BONANI</v>
          </cell>
          <cell r="K4012" t="str">
            <v>LACTALIS</v>
          </cell>
          <cell r="L4012" t="str">
            <v>RODRIGO</v>
          </cell>
          <cell r="M4012" t="str">
            <v>ALEXANDRE BONANI</v>
          </cell>
        </row>
        <row r="4013">
          <cell r="B4013">
            <v>5350825</v>
          </cell>
          <cell r="C4013" t="str">
            <v>HOTEL GP CAMBUI LTDA</v>
          </cell>
          <cell r="D4013" t="str">
            <v>7001</v>
          </cell>
          <cell r="E4013" t="str">
            <v>0749</v>
          </cell>
          <cell r="F4013" t="str">
            <v>C5</v>
          </cell>
          <cell r="G4013" t="str">
            <v>SP</v>
          </cell>
          <cell r="H4013" t="str">
            <v>DISTRIBUIÇÃO</v>
          </cell>
          <cell r="I4013" t="str">
            <v>FOOD SERVICE</v>
          </cell>
          <cell r="J4013" t="str">
            <v>FLAC 7</v>
          </cell>
          <cell r="K4013" t="str">
            <v>LACTALIS</v>
          </cell>
          <cell r="L4013" t="str">
            <v>RODRIGO</v>
          </cell>
          <cell r="M4013" t="str">
            <v>RAQUEL BARBOSA</v>
          </cell>
        </row>
        <row r="4014">
          <cell r="B4014">
            <v>5372652</v>
          </cell>
          <cell r="C4014" t="str">
            <v>PORTINHA 183 LTDA</v>
          </cell>
          <cell r="D4014" t="str">
            <v>7001</v>
          </cell>
          <cell r="E4014" t="str">
            <v>0749</v>
          </cell>
          <cell r="F4014" t="str">
            <v>C5</v>
          </cell>
          <cell r="G4014" t="str">
            <v>SP</v>
          </cell>
          <cell r="H4014" t="str">
            <v>DISTRIBUIÇÃO</v>
          </cell>
          <cell r="I4014" t="str">
            <v>FOOD SERVICE</v>
          </cell>
          <cell r="J4014" t="str">
            <v>FLAC 3</v>
          </cell>
          <cell r="K4014" t="str">
            <v>LACTALIS</v>
          </cell>
          <cell r="L4014" t="str">
            <v>RODRIGO</v>
          </cell>
          <cell r="M4014" t="str">
            <v>RAQUEL BARBOSA</v>
          </cell>
        </row>
        <row r="4015">
          <cell r="B4015">
            <v>5137090</v>
          </cell>
          <cell r="C4015" t="str">
            <v>KARIS REPRESENTACOES LTDA</v>
          </cell>
          <cell r="D4015" t="str">
            <v>3001</v>
          </cell>
          <cell r="E4015" t="str">
            <v>0009</v>
          </cell>
          <cell r="F4015" t="str">
            <v>C1</v>
          </cell>
          <cell r="G4015" t="str">
            <v>BA</v>
          </cell>
          <cell r="H4015" t="str">
            <v>DISTRIBUIÇÃO</v>
          </cell>
          <cell r="I4015" t="str">
            <v>FOOD SERVICE</v>
          </cell>
          <cell r="J4015" t="str">
            <v>CLAUDIO JORGE/LUIZ</v>
          </cell>
          <cell r="K4015" t="str">
            <v>ITAMBÉ</v>
          </cell>
          <cell r="L4015" t="str">
            <v>RODRIGO</v>
          </cell>
          <cell r="M4015" t="str">
            <v>MARIA LOURDES</v>
          </cell>
        </row>
        <row r="4016">
          <cell r="B4016">
            <v>5372859</v>
          </cell>
          <cell r="C4016" t="str">
            <v>51582461 ANNA RUBRIA GONCALVES</v>
          </cell>
          <cell r="D4016" t="str">
            <v>3001</v>
          </cell>
          <cell r="E4016" t="str">
            <v>0125</v>
          </cell>
          <cell r="F4016" t="str">
            <v>C1</v>
          </cell>
          <cell r="G4016" t="str">
            <v>SP</v>
          </cell>
          <cell r="H4016" t="str">
            <v>DISTRIBUIÇÃO</v>
          </cell>
          <cell r="I4016" t="str">
            <v>FOOD SERVICE</v>
          </cell>
          <cell r="J4016" t="str">
            <v>SP ITB FS FLAC REP.E COMERCIO</v>
          </cell>
          <cell r="K4016" t="str">
            <v>ITAMBÉ</v>
          </cell>
          <cell r="L4016" t="str">
            <v>RODRIGO</v>
          </cell>
          <cell r="M4016" t="str">
            <v>RAQUEL BARBOSA</v>
          </cell>
        </row>
        <row r="4017">
          <cell r="B4017">
            <v>5372874</v>
          </cell>
          <cell r="C4017" t="str">
            <v>PARK TOWER HOTEL E CONVENCOES L</v>
          </cell>
          <cell r="D4017" t="str">
            <v>7001</v>
          </cell>
          <cell r="E4017" t="str">
            <v>0749</v>
          </cell>
          <cell r="F4017" t="str">
            <v>C5</v>
          </cell>
          <cell r="G4017" t="str">
            <v>SP</v>
          </cell>
          <cell r="H4017" t="str">
            <v>DISTRIBUIÇÃO</v>
          </cell>
          <cell r="I4017" t="str">
            <v>FOOD SERVICE</v>
          </cell>
          <cell r="J4017" t="str">
            <v>FLAC 7</v>
          </cell>
          <cell r="K4017" t="str">
            <v>LACTALIS</v>
          </cell>
          <cell r="L4017" t="str">
            <v>RODRIGO</v>
          </cell>
          <cell r="M4017" t="str">
            <v>RAQUEL BARBOSA</v>
          </cell>
        </row>
        <row r="4018">
          <cell r="B4018">
            <v>5372913</v>
          </cell>
          <cell r="C4018" t="str">
            <v>GOOLD GOOLD BAR E RESTAURANTE L</v>
          </cell>
          <cell r="D4018" t="str">
            <v>7001</v>
          </cell>
          <cell r="E4018" t="str">
            <v>0749</v>
          </cell>
          <cell r="F4018" t="str">
            <v>C5</v>
          </cell>
          <cell r="G4018" t="str">
            <v>SP</v>
          </cell>
          <cell r="H4018" t="str">
            <v>DISTRIBUIÇÃO</v>
          </cell>
          <cell r="I4018" t="str">
            <v>FOOD SERVICE</v>
          </cell>
          <cell r="J4018" t="str">
            <v>FLAC 10</v>
          </cell>
          <cell r="K4018" t="str">
            <v>LACTALIS</v>
          </cell>
          <cell r="L4018" t="str">
            <v>RODRIGO</v>
          </cell>
          <cell r="M4018" t="str">
            <v>RAQUEL BARBOSA</v>
          </cell>
        </row>
        <row r="4019">
          <cell r="B4019">
            <v>5051159</v>
          </cell>
          <cell r="C4019" t="str">
            <v>CHALE REFEICOES LTDA</v>
          </cell>
          <cell r="D4019" t="str">
            <v>3001</v>
          </cell>
          <cell r="E4019" t="str">
            <v>0127</v>
          </cell>
          <cell r="F4019" t="str">
            <v>C1</v>
          </cell>
          <cell r="G4019" t="str">
            <v>BA</v>
          </cell>
          <cell r="H4019" t="str">
            <v>DISTRIBUIÇÃO</v>
          </cell>
          <cell r="I4019" t="str">
            <v>FOOD SERVICE</v>
          </cell>
          <cell r="J4019" t="str">
            <v>CLAUDIO JORGE/LUIZ</v>
          </cell>
          <cell r="K4019" t="str">
            <v>ITAMBÉ</v>
          </cell>
          <cell r="L4019" t="str">
            <v>RODRIGO</v>
          </cell>
          <cell r="M4019" t="str">
            <v>MARIA LOURDES</v>
          </cell>
        </row>
        <row r="4020">
          <cell r="B4020">
            <v>5182512</v>
          </cell>
          <cell r="C4020" t="str">
            <v>DOCA COMERCIO DE PROD ALIM LTDA</v>
          </cell>
          <cell r="D4020" t="str">
            <v>3001</v>
          </cell>
          <cell r="E4020" t="str">
            <v>0075</v>
          </cell>
          <cell r="F4020" t="str">
            <v>C1</v>
          </cell>
          <cell r="G4020" t="str">
            <v>CE</v>
          </cell>
          <cell r="H4020" t="str">
            <v>DISTRIBUIÇÃO</v>
          </cell>
          <cell r="I4020" t="str">
            <v>FOOD SERVICE</v>
          </cell>
          <cell r="J4020" t="str">
            <v>WH FOOD SERVICE CE</v>
          </cell>
          <cell r="K4020" t="str">
            <v>ITAMBÉ</v>
          </cell>
          <cell r="L4020" t="str">
            <v>RODRIGO</v>
          </cell>
          <cell r="M4020" t="str">
            <v>MARIA LOURDES</v>
          </cell>
        </row>
        <row r="4021">
          <cell r="B4021">
            <v>5185956</v>
          </cell>
          <cell r="C4021" t="str">
            <v>ASSOCIACAO CULT NOSSA SENHORA D</v>
          </cell>
          <cell r="D4021" t="str">
            <v>7001</v>
          </cell>
          <cell r="E4021" t="str">
            <v>0749</v>
          </cell>
          <cell r="F4021" t="str">
            <v>C5</v>
          </cell>
          <cell r="G4021" t="str">
            <v>SP</v>
          </cell>
          <cell r="H4021" t="str">
            <v>DISTRIBUIÇÃO</v>
          </cell>
          <cell r="I4021" t="str">
            <v>FOOD SERVICE</v>
          </cell>
          <cell r="J4021" t="str">
            <v>FLAC 2</v>
          </cell>
          <cell r="K4021" t="str">
            <v>LACTALIS</v>
          </cell>
          <cell r="L4021" t="str">
            <v>RODRIGO</v>
          </cell>
          <cell r="M4021" t="str">
            <v>RAQUEL BARBOSA</v>
          </cell>
        </row>
        <row r="4022">
          <cell r="B4022">
            <v>5372246</v>
          </cell>
          <cell r="C4022" t="str">
            <v>64051523 FILIPE LOPES</v>
          </cell>
          <cell r="D4022" t="str">
            <v>3001</v>
          </cell>
          <cell r="E4022" t="str">
            <v>0125</v>
          </cell>
          <cell r="F4022" t="str">
            <v>C1</v>
          </cell>
          <cell r="G4022" t="str">
            <v>SP</v>
          </cell>
          <cell r="H4022" t="str">
            <v>DISTRIBUIÇÃO</v>
          </cell>
          <cell r="I4022" t="str">
            <v>FOOD SERVICE</v>
          </cell>
          <cell r="J4022" t="str">
            <v>SP ITB FS FLAC REP.E COMERCIO</v>
          </cell>
          <cell r="K4022" t="str">
            <v>ITAMBÉ</v>
          </cell>
          <cell r="L4022" t="str">
            <v>RODRIGO</v>
          </cell>
          <cell r="M4022" t="str">
            <v>RAQUEL BARBOSA</v>
          </cell>
        </row>
        <row r="4023">
          <cell r="B4023">
            <v>5373064</v>
          </cell>
          <cell r="C4023" t="str">
            <v>MCAKE COMERCIO VAREJISTA DE BOL</v>
          </cell>
          <cell r="D4023" t="str">
            <v>7001</v>
          </cell>
          <cell r="E4023" t="str">
            <v>0755</v>
          </cell>
          <cell r="F4023" t="str">
            <v>C1</v>
          </cell>
          <cell r="G4023" t="str">
            <v>PR</v>
          </cell>
          <cell r="H4023" t="str">
            <v>DISTRIBUIÇÃO</v>
          </cell>
          <cell r="I4023" t="str">
            <v>FOOD SERVICE</v>
          </cell>
          <cell r="J4023" t="str">
            <v>ANGELICA BATISTELA</v>
          </cell>
          <cell r="K4023" t="str">
            <v>LACTALIS</v>
          </cell>
          <cell r="L4023" t="str">
            <v>RODRIGO</v>
          </cell>
          <cell r="M4023" t="str">
            <v>ANGELICA BATISTELA</v>
          </cell>
        </row>
        <row r="4024">
          <cell r="B4024">
            <v>5009122</v>
          </cell>
          <cell r="C4024" t="str">
            <v>ROTTA DISTRI DE ALIMENTOS LTDA</v>
          </cell>
          <cell r="D4024" t="str">
            <v>7001</v>
          </cell>
          <cell r="E4024" t="str">
            <v>0755</v>
          </cell>
          <cell r="F4024" t="str">
            <v>C1</v>
          </cell>
          <cell r="G4024" t="str">
            <v>PR</v>
          </cell>
          <cell r="H4024" t="str">
            <v>DISTRIBUIÇÃO</v>
          </cell>
          <cell r="I4024" t="str">
            <v>FOOD SERVICE</v>
          </cell>
          <cell r="J4024" t="str">
            <v>ANGELICA BATISTELA</v>
          </cell>
          <cell r="K4024" t="str">
            <v>LACTALIS</v>
          </cell>
          <cell r="L4024" t="str">
            <v>RODRIGO</v>
          </cell>
          <cell r="M4024" t="str">
            <v>ANGELICA BATISTELA</v>
          </cell>
        </row>
        <row r="4025">
          <cell r="B4025">
            <v>5195605</v>
          </cell>
          <cell r="C4025" t="str">
            <v>PLANETA DOCES E ALIMENTICIOS LT</v>
          </cell>
          <cell r="D4025" t="str">
            <v>3001</v>
          </cell>
          <cell r="E4025" t="str">
            <v>0125</v>
          </cell>
          <cell r="F4025" t="str">
            <v>C1</v>
          </cell>
          <cell r="G4025" t="str">
            <v>SP</v>
          </cell>
          <cell r="H4025" t="str">
            <v>DISTRIBUIÇÃO</v>
          </cell>
          <cell r="I4025" t="str">
            <v>FOOD SERVICE</v>
          </cell>
          <cell r="J4025" t="str">
            <v>SP ITB FS FLAC REP.E COMERCIO</v>
          </cell>
          <cell r="K4025" t="str">
            <v>ITAMBÉ</v>
          </cell>
          <cell r="L4025" t="str">
            <v>RODRIGO</v>
          </cell>
          <cell r="M4025" t="str">
            <v>RAQUEL BARBOSA</v>
          </cell>
        </row>
        <row r="4026">
          <cell r="B4026">
            <v>5268680</v>
          </cell>
          <cell r="C4026" t="str">
            <v>RENATO CHABOLI LTDA</v>
          </cell>
          <cell r="D4026" t="str">
            <v>3001</v>
          </cell>
          <cell r="E4026" t="str">
            <v>0125</v>
          </cell>
          <cell r="F4026" t="str">
            <v>C1</v>
          </cell>
          <cell r="G4026" t="str">
            <v>SP</v>
          </cell>
          <cell r="H4026" t="str">
            <v>INGREDIENTS</v>
          </cell>
          <cell r="I4026" t="str">
            <v>INGREDIENTS</v>
          </cell>
          <cell r="J4026" t="str">
            <v>TATIANA NITTA</v>
          </cell>
          <cell r="K4026" t="str">
            <v>ITAMBÉ</v>
          </cell>
          <cell r="L4026" t="str">
            <v>MAURICIO</v>
          </cell>
          <cell r="M4026" t="str">
            <v>TATIANA NITTA</v>
          </cell>
        </row>
        <row r="4027">
          <cell r="B4027">
            <v>5344366</v>
          </cell>
          <cell r="C4027" t="str">
            <v>AKS ALIMENTOS LTDA ME</v>
          </cell>
          <cell r="D4027" t="str">
            <v>7001</v>
          </cell>
          <cell r="E4027" t="str">
            <v>0755</v>
          </cell>
          <cell r="F4027" t="str">
            <v>C1</v>
          </cell>
          <cell r="G4027" t="str">
            <v>PR</v>
          </cell>
          <cell r="H4027" t="str">
            <v>DISTRIBUIÇÃO</v>
          </cell>
          <cell r="I4027" t="str">
            <v>FOOD SERVICE</v>
          </cell>
          <cell r="J4027" t="str">
            <v>ANGELICA BATISTELA</v>
          </cell>
          <cell r="K4027" t="str">
            <v>LACTALIS</v>
          </cell>
          <cell r="L4027" t="str">
            <v>RODRIGO</v>
          </cell>
          <cell r="M4027" t="str">
            <v>ANGELICA BATISTELA</v>
          </cell>
        </row>
        <row r="4028">
          <cell r="B4028">
            <v>5373353</v>
          </cell>
          <cell r="C4028" t="str">
            <v>SORVETERIA SODEL LTDA</v>
          </cell>
          <cell r="D4028" t="str">
            <v>3001</v>
          </cell>
          <cell r="E4028" t="str">
            <v>0169</v>
          </cell>
          <cell r="F4028" t="str">
            <v>C1</v>
          </cell>
          <cell r="G4028" t="str">
            <v>RJ</v>
          </cell>
          <cell r="H4028" t="str">
            <v>INGREDIENTS</v>
          </cell>
          <cell r="I4028" t="str">
            <v>INGREDIENTS</v>
          </cell>
          <cell r="J4028" t="str">
            <v>RJ ITB FS L T MARTINS</v>
          </cell>
          <cell r="K4028" t="str">
            <v>ITAMBÉ</v>
          </cell>
          <cell r="L4028" t="str">
            <v>MAURICIO</v>
          </cell>
          <cell r="M4028" t="str">
            <v>TATIANA NITTA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RENTE"/>
      <sheetName val="COORDENAÇÃO"/>
      <sheetName val="FORECAST + PREVISÃO MARGEM"/>
      <sheetName val="FORECAST"/>
      <sheetName val="BASE MC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topLeftCell="G1" zoomScaleNormal="100" workbookViewId="0">
      <selection activeCell="B10" sqref="B10:B4118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0</v>
      </c>
      <c r="R2" s="14">
        <v>0</v>
      </c>
      <c r="S2" s="14">
        <v>0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370</v>
      </c>
      <c r="R3" s="14">
        <v>0</v>
      </c>
      <c r="S3" s="14">
        <v>370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7357</v>
      </c>
      <c r="R6" s="14">
        <v>0</v>
      </c>
      <c r="S6" s="14">
        <v>0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15000</v>
      </c>
      <c r="R8" s="14">
        <v>0</v>
      </c>
      <c r="S8" s="14">
        <v>0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0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0</v>
      </c>
      <c r="R14" s="14">
        <v>0</v>
      </c>
      <c r="S14" s="14">
        <v>0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25000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0</v>
      </c>
      <c r="R16" s="14">
        <v>0</v>
      </c>
      <c r="S16" s="14">
        <v>2000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0</v>
      </c>
      <c r="R17" s="14">
        <v>0</v>
      </c>
      <c r="S17" s="14">
        <v>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89600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>
        <v>0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24000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48000</v>
      </c>
      <c r="R26" s="14">
        <v>0</v>
      </c>
      <c r="S26" s="14">
        <v>48000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618.12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980</v>
      </c>
      <c r="R28" s="14">
        <v>0</v>
      </c>
      <c r="S28" s="14">
        <v>7255</v>
      </c>
      <c r="T28" s="13">
        <v>0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50000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0</v>
      </c>
      <c r="R30" s="14">
        <v>0</v>
      </c>
      <c r="S30" s="14">
        <v>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1500</v>
      </c>
      <c r="R32" s="14">
        <v>0</v>
      </c>
      <c r="S32" s="14">
        <v>7925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3000</v>
      </c>
      <c r="R33" s="14">
        <v>0</v>
      </c>
      <c r="S33" s="14">
        <v>0</v>
      </c>
      <c r="T33" s="13">
        <v>0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0</v>
      </c>
      <c r="R40" s="14">
        <v>0</v>
      </c>
      <c r="S40" s="14">
        <v>0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0</v>
      </c>
      <c r="R45" s="14">
        <v>0</v>
      </c>
      <c r="S45" s="14">
        <v>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>
        <v>0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0</v>
      </c>
      <c r="R48" s="14">
        <v>0</v>
      </c>
      <c r="S48" s="14">
        <v>0</v>
      </c>
      <c r="T48" s="13">
        <v>0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0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27000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0</v>
      </c>
      <c r="R54" s="14">
        <v>0</v>
      </c>
      <c r="S54" s="14">
        <v>0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0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400</v>
      </c>
      <c r="R57" s="14">
        <v>0</v>
      </c>
      <c r="S57" s="14">
        <v>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0</v>
      </c>
      <c r="R61" s="14">
        <v>0</v>
      </c>
      <c r="S61" s="14">
        <v>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0</v>
      </c>
      <c r="R62" s="14">
        <v>0</v>
      </c>
      <c r="S62" s="14">
        <v>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1200</v>
      </c>
      <c r="R63" s="14">
        <v>0</v>
      </c>
      <c r="S63" s="14">
        <v>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0</v>
      </c>
      <c r="R64" s="14">
        <v>0</v>
      </c>
      <c r="S64" s="14">
        <v>363.6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0</v>
      </c>
      <c r="R65" s="14">
        <v>0</v>
      </c>
      <c r="S65" s="14">
        <v>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23903.345000000001</v>
      </c>
      <c r="R66" s="14">
        <v>0</v>
      </c>
      <c r="S66" s="14">
        <v>128000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660</v>
      </c>
      <c r="R67" s="14">
        <v>0</v>
      </c>
      <c r="S67" s="14">
        <v>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25000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1500</v>
      </c>
      <c r="R73" s="14">
        <v>0</v>
      </c>
      <c r="S73" s="14">
        <v>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2300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0</v>
      </c>
      <c r="T83" s="13">
        <v>0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25000</v>
      </c>
      <c r="R92" s="14">
        <v>0</v>
      </c>
      <c r="S92" s="14">
        <v>25000</v>
      </c>
      <c r="T92" s="13">
        <v>0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0</v>
      </c>
      <c r="R94" s="14">
        <v>0</v>
      </c>
      <c r="S94" s="14">
        <v>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316000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0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0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10325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3900</v>
      </c>
      <c r="R120" s="14">
        <v>0</v>
      </c>
      <c r="S120" s="14">
        <v>0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16000</v>
      </c>
      <c r="R121" s="14">
        <v>0</v>
      </c>
      <c r="S121" s="14">
        <v>16000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0</v>
      </c>
      <c r="R122" s="14">
        <v>0</v>
      </c>
      <c r="S122" s="14">
        <v>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1250</v>
      </c>
      <c r="R125" s="14">
        <v>0</v>
      </c>
      <c r="S125" s="14">
        <v>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23000</v>
      </c>
      <c r="R135" s="14">
        <v>0</v>
      </c>
      <c r="S135" s="14">
        <v>23000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48960</v>
      </c>
      <c r="R136" s="14">
        <v>0</v>
      </c>
      <c r="S136" s="14">
        <v>48960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474400</v>
      </c>
      <c r="R137" s="14">
        <v>0</v>
      </c>
      <c r="S137" s="14">
        <v>948416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840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300000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237600</v>
      </c>
      <c r="R142" s="14">
        <v>0</v>
      </c>
      <c r="S142" s="14">
        <v>140939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3000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>
        <v>0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0</v>
      </c>
      <c r="R146" s="14">
        <v>0</v>
      </c>
      <c r="S146" s="14">
        <v>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0</v>
      </c>
      <c r="R151" s="14">
        <v>0</v>
      </c>
      <c r="S151" s="14">
        <v>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4200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1000</v>
      </c>
      <c r="T155" s="13">
        <v>0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0</v>
      </c>
      <c r="R156" s="14">
        <v>0</v>
      </c>
      <c r="S156" s="14">
        <v>0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0</v>
      </c>
      <c r="R158" s="14">
        <v>0</v>
      </c>
      <c r="S158" s="14">
        <v>0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0</v>
      </c>
      <c r="R163" s="14">
        <v>0</v>
      </c>
      <c r="S163" s="14">
        <v>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0</v>
      </c>
      <c r="R164" s="14">
        <v>0</v>
      </c>
      <c r="S164" s="14">
        <v>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>
        <v>0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381.84</v>
      </c>
      <c r="R167" s="14">
        <v>0</v>
      </c>
      <c r="S167" s="14">
        <v>381.84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>
        <v>0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1500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0</v>
      </c>
      <c r="R184" s="14">
        <v>0</v>
      </c>
      <c r="S184" s="14">
        <v>1078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0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400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12240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810</v>
      </c>
      <c r="R188" s="14">
        <v>0</v>
      </c>
      <c r="S188" s="14">
        <v>3000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0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2000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0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520.20000000000005</v>
      </c>
      <c r="R200" s="14">
        <v>0</v>
      </c>
      <c r="S200" s="14">
        <v>1500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50</v>
      </c>
      <c r="R201" s="14">
        <v>0</v>
      </c>
      <c r="S201" s="14">
        <v>386</v>
      </c>
      <c r="T201" s="13">
        <v>0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0</v>
      </c>
      <c r="R208" s="14">
        <v>0</v>
      </c>
      <c r="S208" s="14">
        <v>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600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3640</v>
      </c>
      <c r="R211" s="14">
        <v>0</v>
      </c>
      <c r="S211" s="14">
        <v>6200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150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775.68</v>
      </c>
      <c r="R213" s="14">
        <v>0</v>
      </c>
      <c r="S213" s="14">
        <v>1400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800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0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242.4</v>
      </c>
      <c r="R225" s="14">
        <v>0</v>
      </c>
      <c r="S225" s="14">
        <v>350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400</v>
      </c>
      <c r="R226" s="14">
        <v>0</v>
      </c>
      <c r="S226" s="14">
        <v>450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300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0</v>
      </c>
      <c r="R231" s="14">
        <v>0</v>
      </c>
      <c r="S231" s="14">
        <v>60</v>
      </c>
      <c r="T231" s="13">
        <v>0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>
        <v>0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0</v>
      </c>
      <c r="R234" s="14">
        <v>0</v>
      </c>
      <c r="S234" s="14">
        <v>0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3">
        <v>0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310.08</v>
      </c>
      <c r="R246" s="14">
        <v>0</v>
      </c>
      <c r="S246" s="14">
        <v>600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0</v>
      </c>
      <c r="R247" s="14">
        <v>0</v>
      </c>
      <c r="S247" s="14">
        <v>0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70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0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120</v>
      </c>
      <c r="R250" s="14">
        <v>0</v>
      </c>
      <c r="S250" s="14">
        <v>120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14.4</v>
      </c>
      <c r="R251" s="14">
        <v>0</v>
      </c>
      <c r="S251" s="14">
        <v>100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75</v>
      </c>
      <c r="R254" s="14">
        <v>0</v>
      </c>
      <c r="S254" s="14">
        <v>86</v>
      </c>
      <c r="T254" s="13">
        <v>0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734.4</v>
      </c>
      <c r="R255" s="14">
        <v>0</v>
      </c>
      <c r="S255" s="14">
        <v>734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0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1500</v>
      </c>
      <c r="T257" s="13">
        <v>0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345.6</v>
      </c>
      <c r="R259" s="14">
        <v>0</v>
      </c>
      <c r="S259" s="14">
        <v>346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291720</v>
      </c>
      <c r="R260" s="14">
        <v>0</v>
      </c>
      <c r="S260" s="14">
        <v>291720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864</v>
      </c>
      <c r="R262" s="14">
        <v>0</v>
      </c>
      <c r="S262" s="14">
        <v>0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0</v>
      </c>
      <c r="R263" s="14">
        <v>0</v>
      </c>
      <c r="S263" s="14">
        <v>30</v>
      </c>
      <c r="T263" s="13">
        <v>0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0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60</v>
      </c>
      <c r="R265" s="14">
        <v>0</v>
      </c>
      <c r="S265" s="14">
        <v>60</v>
      </c>
      <c r="T265" s="13">
        <v>0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60</v>
      </c>
      <c r="R266" s="14">
        <v>0</v>
      </c>
      <c r="S266" s="14">
        <v>60</v>
      </c>
      <c r="T266" s="13">
        <v>0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0</v>
      </c>
      <c r="R267" s="14">
        <v>0</v>
      </c>
      <c r="S267" s="14">
        <v>40</v>
      </c>
      <c r="T267" s="13">
        <v>0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>
        <v>0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0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>
        <v>0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>
        <v>0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0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60</v>
      </c>
      <c r="R273" s="14">
        <v>0</v>
      </c>
      <c r="S273" s="14">
        <v>60</v>
      </c>
      <c r="T273" s="13">
        <v>0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0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0</v>
      </c>
      <c r="R275" s="14">
        <v>0</v>
      </c>
      <c r="S275" s="14">
        <v>70</v>
      </c>
      <c r="T275" s="13">
        <v>0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0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0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>
        <v>0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0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0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0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0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0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0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>
        <v>0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241.92</v>
      </c>
      <c r="R301" s="14">
        <v>0</v>
      </c>
      <c r="S301" s="14">
        <v>542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590.4</v>
      </c>
      <c r="R302" s="14">
        <v>0</v>
      </c>
      <c r="S302" s="14">
        <v>1800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1800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2056.3200000000002</v>
      </c>
      <c r="R304" s="14">
        <v>0</v>
      </c>
      <c r="S304" s="14">
        <v>3500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652.79999999999995</v>
      </c>
      <c r="R305" s="14">
        <v>0</v>
      </c>
      <c r="S305" s="14">
        <v>1300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500</v>
      </c>
      <c r="R306" s="14">
        <v>0</v>
      </c>
      <c r="S306" s="14">
        <v>1000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0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0</v>
      </c>
      <c r="R309" s="14">
        <v>0</v>
      </c>
      <c r="S309" s="14">
        <v>0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1000</v>
      </c>
      <c r="R310" s="14">
        <v>0</v>
      </c>
      <c r="S310" s="14">
        <v>1500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1200</v>
      </c>
      <c r="R311" s="14">
        <v>0</v>
      </c>
      <c r="S311" s="14">
        <v>3000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1200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4569.24</v>
      </c>
      <c r="R314" s="14">
        <v>0</v>
      </c>
      <c r="S314" s="14">
        <v>4569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0</v>
      </c>
      <c r="R316" s="14">
        <v>0</v>
      </c>
      <c r="S316" s="14">
        <v>2000</v>
      </c>
      <c r="T316" s="13">
        <v>0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4200</v>
      </c>
      <c r="R317" s="14">
        <v>0</v>
      </c>
      <c r="S317" s="14">
        <v>4200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192</v>
      </c>
      <c r="R323" s="14">
        <v>0</v>
      </c>
      <c r="S323" s="14">
        <v>670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432</v>
      </c>
      <c r="R324" s="14">
        <v>0</v>
      </c>
      <c r="S324" s="14">
        <v>832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86.4</v>
      </c>
      <c r="R325" s="14">
        <v>0</v>
      </c>
      <c r="S325" s="14">
        <v>400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48960</v>
      </c>
      <c r="R327" s="14">
        <v>0</v>
      </c>
      <c r="S327" s="14">
        <v>24480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288</v>
      </c>
      <c r="R328" s="14">
        <v>0</v>
      </c>
      <c r="S328" s="14">
        <v>850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295.91999999999996</v>
      </c>
      <c r="R329" s="14">
        <v>0</v>
      </c>
      <c r="S329" s="14">
        <v>600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1300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24480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0</v>
      </c>
      <c r="R334" s="14">
        <v>0</v>
      </c>
      <c r="S334" s="14">
        <v>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>
        <v>0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0</v>
      </c>
      <c r="R336" s="14">
        <v>0</v>
      </c>
      <c r="S336" s="14">
        <v>24480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>
        <v>0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3024</v>
      </c>
      <c r="R344" s="14">
        <v>0</v>
      </c>
      <c r="S344" s="14">
        <v>7024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>
        <v>0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1725.3600000000001</v>
      </c>
      <c r="R346" s="14">
        <v>0</v>
      </c>
      <c r="S346" s="14">
        <v>1725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53400</v>
      </c>
      <c r="R347" s="14">
        <v>0</v>
      </c>
      <c r="S347" s="14">
        <v>26700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0</v>
      </c>
      <c r="R348" s="14">
        <v>0</v>
      </c>
      <c r="S348" s="14">
        <v>6.6966666666666672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0</v>
      </c>
      <c r="R349" s="14">
        <v>0</v>
      </c>
      <c r="S349" s="14">
        <v>26880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76440</v>
      </c>
      <c r="R350" s="14">
        <v>0</v>
      </c>
      <c r="S350" s="14">
        <v>76440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0</v>
      </c>
      <c r="R351" s="14">
        <v>0</v>
      </c>
      <c r="S351" s="14">
        <v>26108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700</v>
      </c>
      <c r="R352" s="14">
        <v>0</v>
      </c>
      <c r="S352" s="14">
        <v>2000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16370</v>
      </c>
      <c r="R353" s="14">
        <v>0</v>
      </c>
      <c r="S353" s="14">
        <v>16370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18.293333333333333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6185.68</v>
      </c>
      <c r="R356" s="14">
        <v>0</v>
      </c>
      <c r="S356" s="14">
        <v>25700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0</v>
      </c>
      <c r="R357" s="14">
        <v>0</v>
      </c>
      <c r="S357" s="14">
        <v>11450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480</v>
      </c>
      <c r="R359" s="14">
        <v>0</v>
      </c>
      <c r="S359" s="14">
        <v>255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22.566666666666666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4294.8</v>
      </c>
      <c r="R361" s="14">
        <v>0</v>
      </c>
      <c r="S361" s="14">
        <v>9000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5885.8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2258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2000</v>
      </c>
      <c r="R364" s="14">
        <v>0</v>
      </c>
      <c r="S364" s="14">
        <v>1000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0</v>
      </c>
      <c r="R365" s="14">
        <v>0</v>
      </c>
      <c r="S365" s="14">
        <v>7900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0</v>
      </c>
      <c r="R366" s="14">
        <v>0</v>
      </c>
      <c r="S366" s="14">
        <v>5988.0589999999993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9718.2000000000007</v>
      </c>
      <c r="R367" s="14">
        <v>0</v>
      </c>
      <c r="S367" s="14">
        <v>10400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0</v>
      </c>
      <c r="R368" s="14">
        <v>0</v>
      </c>
      <c r="S368" s="14">
        <v>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700</v>
      </c>
      <c r="R369" s="14">
        <v>0</v>
      </c>
      <c r="S369" s="14">
        <v>700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1820</v>
      </c>
      <c r="R370" s="14">
        <v>0</v>
      </c>
      <c r="S370" s="14">
        <v>18738.094499999996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3600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0</v>
      </c>
      <c r="R373" s="14">
        <v>0</v>
      </c>
      <c r="S373" s="14">
        <v>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0</v>
      </c>
      <c r="R374" s="14">
        <v>0</v>
      </c>
      <c r="S374" s="14">
        <v>31.25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0</v>
      </c>
      <c r="R376" s="14">
        <v>0</v>
      </c>
      <c r="S376" s="14">
        <v>12.45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0</v>
      </c>
      <c r="R380" s="14">
        <v>0</v>
      </c>
      <c r="S380" s="14">
        <v>4141</v>
      </c>
      <c r="T380" s="13">
        <v>0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6.666666666666667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0</v>
      </c>
      <c r="R383" s="14">
        <v>0</v>
      </c>
      <c r="S383" s="14">
        <v>1820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2.9333333333333336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300</v>
      </c>
      <c r="R385" s="14">
        <v>0</v>
      </c>
      <c r="S385" s="14">
        <v>240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8.8666666666666671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0</v>
      </c>
      <c r="R389" s="14">
        <v>0</v>
      </c>
      <c r="S389" s="14">
        <v>740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0</v>
      </c>
      <c r="R390" s="14">
        <v>0</v>
      </c>
      <c r="S390" s="14">
        <v>12000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0</v>
      </c>
      <c r="R391" s="14">
        <v>0</v>
      </c>
      <c r="S391" s="14">
        <v>298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1344</v>
      </c>
      <c r="R393" s="14">
        <v>0</v>
      </c>
      <c r="S393" s="14">
        <v>1500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4120.8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96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429.25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500</v>
      </c>
      <c r="R397" s="14">
        <v>0</v>
      </c>
      <c r="S397" s="14">
        <v>500</v>
      </c>
      <c r="T397" s="13">
        <v>0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14.4</v>
      </c>
      <c r="R398" s="14">
        <v>0</v>
      </c>
      <c r="S398" s="14">
        <v>14.4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975</v>
      </c>
      <c r="R399" s="14">
        <v>0</v>
      </c>
      <c r="S399" s="14">
        <v>4000</v>
      </c>
      <c r="T399" s="13">
        <v>0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0</v>
      </c>
      <c r="R400" s="14">
        <v>0</v>
      </c>
      <c r="S400" s="14">
        <v>2663.154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44.8</v>
      </c>
      <c r="R401" s="14">
        <v>0</v>
      </c>
      <c r="S401" s="14">
        <v>44.8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0</v>
      </c>
      <c r="R403" s="14">
        <v>0</v>
      </c>
      <c r="S403" s="14">
        <v>960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0</v>
      </c>
      <c r="R404" s="14">
        <v>0</v>
      </c>
      <c r="S404" s="14">
        <v>3.75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1450</v>
      </c>
      <c r="R405" s="14">
        <v>0</v>
      </c>
      <c r="S405" s="14">
        <v>640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26.6</v>
      </c>
      <c r="R406" s="14">
        <v>0</v>
      </c>
      <c r="S406" s="14">
        <v>23.6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0</v>
      </c>
      <c r="R407" s="14">
        <v>0</v>
      </c>
      <c r="S407" s="14">
        <v>884.77300000000002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0</v>
      </c>
      <c r="R408" s="14">
        <v>0</v>
      </c>
      <c r="S408" s="14">
        <v>300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2100</v>
      </c>
      <c r="R409" s="14">
        <v>0</v>
      </c>
      <c r="S409" s="14">
        <v>6610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0</v>
      </c>
      <c r="R412" s="14">
        <v>0</v>
      </c>
      <c r="S412" s="14">
        <v>810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180.48</v>
      </c>
      <c r="R413" s="14">
        <v>0</v>
      </c>
      <c r="S413" s="14">
        <v>800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7.1999999999999993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333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1.2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3640</v>
      </c>
      <c r="R417" s="14">
        <v>0</v>
      </c>
      <c r="S417" s="14">
        <v>2702.9494999999993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606</v>
      </c>
      <c r="R419" s="14">
        <v>0</v>
      </c>
      <c r="S419" s="14">
        <v>900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0</v>
      </c>
      <c r="R420" s="14">
        <v>0</v>
      </c>
      <c r="S420" s="14">
        <v>800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250.00000000000003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2048.2800000000002</v>
      </c>
      <c r="R423" s="14">
        <v>0</v>
      </c>
      <c r="S423" s="14">
        <v>2048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0</v>
      </c>
      <c r="R424" s="14">
        <v>0</v>
      </c>
      <c r="S424" s="14">
        <v>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970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0</v>
      </c>
      <c r="R426" s="14">
        <v>0</v>
      </c>
      <c r="S426" s="14">
        <v>1380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0</v>
      </c>
      <c r="R427" s="14">
        <v>0</v>
      </c>
      <c r="S427" s="14">
        <v>52.373333333333335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9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25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230.4</v>
      </c>
      <c r="R433" s="14">
        <v>0</v>
      </c>
      <c r="S433" s="14">
        <v>230.4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>
        <v>0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0</v>
      </c>
      <c r="R435" s="14">
        <v>0</v>
      </c>
      <c r="S435" s="14">
        <v>9.7466666666666661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0</v>
      </c>
      <c r="R436" s="14">
        <v>0</v>
      </c>
      <c r="S436" s="14">
        <v>400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-360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0</v>
      </c>
      <c r="R438" s="14">
        <v>0</v>
      </c>
      <c r="S438" s="14">
        <v>90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14.4</v>
      </c>
      <c r="R439" s="14">
        <v>0</v>
      </c>
      <c r="S439" s="14">
        <v>14.4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0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0</v>
      </c>
      <c r="R442" s="14">
        <v>0</v>
      </c>
      <c r="S442" s="14">
        <v>500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100</v>
      </c>
      <c r="R443" s="14">
        <v>0</v>
      </c>
      <c r="S443" s="14">
        <v>144.16666666666669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85.537916666666661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1500</v>
      </c>
      <c r="T445" s="13">
        <v>0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480</v>
      </c>
      <c r="R446" s="14">
        <v>0</v>
      </c>
      <c r="S446" s="14">
        <v>240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350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2395</v>
      </c>
      <c r="R448" s="14">
        <v>0</v>
      </c>
      <c r="S448" s="14">
        <v>2425</v>
      </c>
      <c r="T448" s="13">
        <v>0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0</v>
      </c>
      <c r="R449" s="14">
        <v>0</v>
      </c>
      <c r="S449" s="14">
        <v>500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0</v>
      </c>
      <c r="R450" s="14">
        <v>0</v>
      </c>
      <c r="S450" s="14">
        <v>68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500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8.56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5.8224999999999998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6.8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22.439999999999998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51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0</v>
      </c>
      <c r="R460" s="14">
        <v>0</v>
      </c>
      <c r="S460" s="14">
        <v>219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0</v>
      </c>
      <c r="R461" s="14">
        <v>0</v>
      </c>
      <c r="S461" s="14">
        <v>0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0</v>
      </c>
      <c r="R462" s="14">
        <v>0</v>
      </c>
      <c r="S462" s="14">
        <v>623.39949999999999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2815.2</v>
      </c>
      <c r="R465" s="14">
        <v>0</v>
      </c>
      <c r="S465" s="14">
        <v>11000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500</v>
      </c>
      <c r="R467" s="14">
        <v>0</v>
      </c>
      <c r="S467" s="14">
        <v>1495</v>
      </c>
      <c r="T467" s="13">
        <v>0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31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8.9600000000000009</v>
      </c>
      <c r="R469" s="14">
        <v>0</v>
      </c>
      <c r="S469" s="14">
        <v>8.9600000000000009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0</v>
      </c>
      <c r="R470" s="14">
        <v>0</v>
      </c>
      <c r="S470" s="14">
        <v>34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300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0</v>
      </c>
      <c r="R472" s="14">
        <v>0</v>
      </c>
      <c r="S472" s="14">
        <v>51.983333333333334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0</v>
      </c>
      <c r="R473" s="14">
        <v>0</v>
      </c>
      <c r="S473" s="14">
        <v>81.272500000000008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513.87583333333328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0</v>
      </c>
      <c r="R475" s="14">
        <v>0</v>
      </c>
      <c r="S475" s="14">
        <v>40.666666666666664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30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242.4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100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0</v>
      </c>
      <c r="R480" s="14">
        <v>0</v>
      </c>
      <c r="S480" s="14">
        <v>73.333333333333343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190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193.41049999999998</v>
      </c>
      <c r="T482" s="13">
        <v>0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400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441.56</v>
      </c>
      <c r="R484" s="14">
        <v>0</v>
      </c>
      <c r="S484" s="14">
        <v>181.51999999999998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211.2</v>
      </c>
      <c r="R485" s="14">
        <v>0</v>
      </c>
      <c r="S485" s="14">
        <v>680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30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60</v>
      </c>
      <c r="R487" s="14">
        <v>0</v>
      </c>
      <c r="S487" s="14">
        <v>107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300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0</v>
      </c>
      <c r="R489" s="14">
        <v>0</v>
      </c>
      <c r="S489" s="14">
        <v>16.333333333333332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8.5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120</v>
      </c>
      <c r="R491" s="14">
        <v>0</v>
      </c>
      <c r="S491" s="14">
        <v>239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51.666666666666671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94.8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0</v>
      </c>
      <c r="R495" s="14">
        <v>0</v>
      </c>
      <c r="S495" s="14">
        <v>1000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180</v>
      </c>
      <c r="R496" s="14">
        <v>0</v>
      </c>
      <c r="S496" s="14">
        <v>180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120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121.2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32.04</v>
      </c>
      <c r="R499" s="14">
        <v>0</v>
      </c>
      <c r="S499" s="14">
        <v>32.04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180</v>
      </c>
      <c r="R500" s="14">
        <v>0</v>
      </c>
      <c r="S500" s="14">
        <v>308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0</v>
      </c>
      <c r="R501" s="14">
        <v>0</v>
      </c>
      <c r="S501" s="14">
        <v>213.33333333333334</v>
      </c>
      <c r="T501" s="13">
        <v>0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0</v>
      </c>
      <c r="R502" s="14">
        <v>0</v>
      </c>
      <c r="S502" s="14">
        <v>455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26.666666666666668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400</v>
      </c>
      <c r="R504" s="14">
        <v>0</v>
      </c>
      <c r="S504" s="14">
        <v>400</v>
      </c>
      <c r="T504" s="13">
        <v>0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23.103333333333332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10.354166666666666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3.7333333333333334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125</v>
      </c>
      <c r="R508" s="14">
        <v>0</v>
      </c>
      <c r="S508" s="14">
        <v>281.25</v>
      </c>
      <c r="T508" s="13">
        <v>0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31.36</v>
      </c>
      <c r="R509" s="14">
        <v>0</v>
      </c>
      <c r="S509" s="14">
        <v>69.813333333333333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250</v>
      </c>
      <c r="R510" s="14">
        <v>0</v>
      </c>
      <c r="S510" s="14">
        <v>150</v>
      </c>
      <c r="T510" s="13">
        <v>0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300</v>
      </c>
      <c r="R512" s="14">
        <v>0</v>
      </c>
      <c r="S512" s="14">
        <v>300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68.62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200.65666666666669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0.89999999999999991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6.1333333333333329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10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318</v>
      </c>
      <c r="T519" s="13">
        <v>0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24.709166666666668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0</v>
      </c>
      <c r="R522" s="14">
        <v>0</v>
      </c>
      <c r="S522" s="14">
        <v>157.5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15.496666666666666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366.66666666666669</v>
      </c>
      <c r="T524" s="13">
        <v>0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115.2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40.223333333333329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0</v>
      </c>
      <c r="R527" s="14">
        <v>0</v>
      </c>
      <c r="S527" s="14">
        <v>45.099999999999994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31.84333333333333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18.856666666666669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2.2666666666666666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153.6</v>
      </c>
      <c r="R531" s="14">
        <v>0</v>
      </c>
      <c r="S531" s="14">
        <v>150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121.66666666666667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100.8</v>
      </c>
      <c r="R533" s="14">
        <v>0</v>
      </c>
      <c r="S533" s="14">
        <v>275.29999999999995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0</v>
      </c>
      <c r="R534" s="14">
        <v>0</v>
      </c>
      <c r="S534" s="14">
        <v>227.08333333333334</v>
      </c>
      <c r="T534" s="13">
        <v>0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33.333333333333336</v>
      </c>
      <c r="T535" s="13">
        <v>0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33.053333333333327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0.39999999999999997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0</v>
      </c>
      <c r="R538" s="14">
        <v>0</v>
      </c>
      <c r="S538" s="14">
        <v>100</v>
      </c>
      <c r="T538" s="13">
        <v>0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14.4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0</v>
      </c>
      <c r="R540" s="14">
        <v>0</v>
      </c>
      <c r="S540" s="14">
        <v>60</v>
      </c>
      <c r="T540" s="13">
        <v>0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186.66666666666669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7.5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200</v>
      </c>
      <c r="R543" s="14">
        <v>0</v>
      </c>
      <c r="S543" s="14">
        <v>182.12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121.2</v>
      </c>
      <c r="R544" s="14">
        <v>0</v>
      </c>
      <c r="S544" s="14">
        <v>206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0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33.556666666666672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0.83333333333333337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187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1.1199999999999999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20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145.83333333333331</v>
      </c>
      <c r="T553" s="13">
        <v>0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61.99666666666667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203.33333333333334</v>
      </c>
      <c r="T556" s="13">
        <v>0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0.75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121.2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178.33333333333334</v>
      </c>
      <c r="T559" s="13">
        <v>0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50</v>
      </c>
      <c r="T560" s="13">
        <v>0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20.399999999999999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8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0</v>
      </c>
      <c r="R564" s="14">
        <v>0</v>
      </c>
      <c r="S564" s="14">
        <v>62.916666666666671</v>
      </c>
      <c r="T564" s="13">
        <v>0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118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122.88</v>
      </c>
      <c r="R566" s="14">
        <v>0</v>
      </c>
      <c r="S566" s="14">
        <v>500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116.66666666666667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231.32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120</v>
      </c>
      <c r="R569" s="14">
        <v>0</v>
      </c>
      <c r="S569" s="14">
        <v>229.66666666666666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0</v>
      </c>
      <c r="R570" s="14">
        <v>0</v>
      </c>
      <c r="S570" s="14">
        <v>70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13.5</v>
      </c>
      <c r="R571" s="14">
        <v>0</v>
      </c>
      <c r="S571" s="14">
        <v>13.5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30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40</v>
      </c>
      <c r="T574" s="13">
        <v>0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0</v>
      </c>
      <c r="R575" s="14">
        <v>0</v>
      </c>
      <c r="S575" s="14">
        <v>227.7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20.833333333333336</v>
      </c>
      <c r="T576" s="13">
        <v>0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79.680000000000007</v>
      </c>
      <c r="R577" s="14">
        <v>0</v>
      </c>
      <c r="S577" s="14">
        <v>79.680000000000007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0</v>
      </c>
      <c r="R578" s="14">
        <v>0</v>
      </c>
      <c r="S578" s="14">
        <v>221.66666666666669</v>
      </c>
      <c r="T578" s="13">
        <v>0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142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20</v>
      </c>
      <c r="R580" s="14">
        <v>0</v>
      </c>
      <c r="S580" s="14">
        <v>20</v>
      </c>
      <c r="T580" s="13">
        <v>0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149.58333333333331</v>
      </c>
      <c r="T582" s="13">
        <v>0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47.4</v>
      </c>
      <c r="R583" s="14">
        <v>0</v>
      </c>
      <c r="S583" s="14">
        <v>47.4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20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25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434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27.5</v>
      </c>
      <c r="T587" s="13">
        <v>0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87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90</v>
      </c>
      <c r="T589" s="13">
        <v>0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18.687916666666666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14.709999999999999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3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5.2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9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30.950416666666662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0</v>
      </c>
      <c r="R597" s="14">
        <v>0</v>
      </c>
      <c r="S597" s="14">
        <v>910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40</v>
      </c>
      <c r="R598" s="14">
        <v>0</v>
      </c>
      <c r="S598" s="14">
        <v>40</v>
      </c>
      <c r="T598" s="13">
        <v>0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0</v>
      </c>
      <c r="R599" s="14">
        <v>0</v>
      </c>
      <c r="S599" s="14">
        <v>119.28999999999999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0</v>
      </c>
      <c r="R600" s="14">
        <v>0</v>
      </c>
      <c r="S600" s="14">
        <v>0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40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0</v>
      </c>
      <c r="R604" s="14">
        <v>0</v>
      </c>
      <c r="S604" s="14">
        <v>43.333333333333336</v>
      </c>
      <c r="T604" s="13">
        <v>0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46.25</v>
      </c>
      <c r="T605" s="13">
        <v>0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30</v>
      </c>
      <c r="R606" s="14">
        <v>0</v>
      </c>
      <c r="S606" s="14">
        <v>30</v>
      </c>
      <c r="T606" s="13">
        <v>0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20</v>
      </c>
      <c r="R607" s="14">
        <v>0</v>
      </c>
      <c r="S607" s="14">
        <v>20</v>
      </c>
      <c r="T607" s="13">
        <v>0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40</v>
      </c>
      <c r="T608" s="13">
        <v>0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30</v>
      </c>
      <c r="T609" s="13">
        <v>0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27.083333333333336</v>
      </c>
      <c r="T610" s="13">
        <v>0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0</v>
      </c>
      <c r="R611" s="14">
        <v>0</v>
      </c>
      <c r="S611" s="14">
        <v>28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60</v>
      </c>
      <c r="R612" s="14">
        <v>0</v>
      </c>
      <c r="S612" s="14">
        <v>30</v>
      </c>
      <c r="T612" s="13">
        <v>0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11.53</v>
      </c>
      <c r="R614" s="14">
        <v>0</v>
      </c>
      <c r="S614" s="14">
        <v>11.53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60</v>
      </c>
      <c r="R615" s="14">
        <v>0</v>
      </c>
      <c r="S615" s="14">
        <v>60</v>
      </c>
      <c r="T615" s="13">
        <v>0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11.66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77.84</v>
      </c>
      <c r="R618" s="14">
        <v>0</v>
      </c>
      <c r="S618" s="14">
        <v>77.84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0</v>
      </c>
      <c r="R619" s="14">
        <v>0</v>
      </c>
      <c r="S619" s="14">
        <v>42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95.833333333333314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0</v>
      </c>
      <c r="R624" s="14">
        <v>0</v>
      </c>
      <c r="S624" s="14">
        <v>26.879999999999995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0</v>
      </c>
      <c r="R625" s="14">
        <v>0</v>
      </c>
      <c r="S625" s="14">
        <v>68.319999999999993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36</v>
      </c>
      <c r="R626" s="14">
        <v>0</v>
      </c>
      <c r="S626" s="14">
        <v>36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1.9125000000000001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0</v>
      </c>
      <c r="R628" s="14">
        <v>0</v>
      </c>
      <c r="S628" s="14">
        <v>67.75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0</v>
      </c>
      <c r="R629" s="14">
        <v>0</v>
      </c>
      <c r="S629" s="14">
        <v>5.9533333333333331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0.995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0</v>
      </c>
      <c r="R631" s="14">
        <v>0</v>
      </c>
      <c r="S631" s="14">
        <v>7.5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23.13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0.33333333333333331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0</v>
      </c>
      <c r="R634" s="14">
        <v>0</v>
      </c>
      <c r="S634" s="14">
        <v>0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20.700000000000003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153</v>
      </c>
      <c r="R636" s="14">
        <v>0</v>
      </c>
      <c r="S636" s="14">
        <v>97.92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300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98.9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0</v>
      </c>
      <c r="R639" s="14">
        <v>0</v>
      </c>
      <c r="S639" s="14">
        <v>182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0</v>
      </c>
      <c r="R640" s="14">
        <v>0</v>
      </c>
      <c r="S640" s="14">
        <v>17.588333333333331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0</v>
      </c>
      <c r="R641" s="14">
        <v>0</v>
      </c>
      <c r="S641" s="14">
        <v>13.701666666666668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0</v>
      </c>
      <c r="R642" s="14">
        <v>0</v>
      </c>
      <c r="S642" s="14">
        <v>165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3.16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27.6</v>
      </c>
      <c r="R644" s="14">
        <v>0</v>
      </c>
      <c r="S644" s="14">
        <v>52.900000000000006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0</v>
      </c>
      <c r="R645" s="14">
        <v>0</v>
      </c>
      <c r="S645" s="14">
        <v>103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0</v>
      </c>
      <c r="R646" s="14">
        <v>0</v>
      </c>
      <c r="S646" s="14">
        <v>49.5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28</v>
      </c>
      <c r="R647" s="14">
        <v>0</v>
      </c>
      <c r="S647" s="14">
        <v>23.333333333333336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0</v>
      </c>
      <c r="R648" s="14">
        <v>0</v>
      </c>
      <c r="S648" s="14">
        <v>32.446666666666665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0</v>
      </c>
      <c r="R649" s="14">
        <v>0</v>
      </c>
      <c r="S649" s="14">
        <v>124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3.8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4.8058333333333332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180</v>
      </c>
      <c r="R652" s="14">
        <v>0</v>
      </c>
      <c r="S652" s="14">
        <v>277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9.1666666666666661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65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23.869083333333332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26.666666666666668</v>
      </c>
      <c r="T656" s="13">
        <v>0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0.7466666666666667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41.666666666666671</v>
      </c>
      <c r="T658" s="13">
        <v>0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48</v>
      </c>
      <c r="R659" s="14">
        <v>0</v>
      </c>
      <c r="S659" s="14">
        <v>53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13.596666666666668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22.159999999999997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9.6499999999999986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0</v>
      </c>
      <c r="R663" s="14">
        <v>0</v>
      </c>
      <c r="S663" s="14">
        <v>41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25</v>
      </c>
      <c r="R664" s="14">
        <v>0</v>
      </c>
      <c r="S664" s="14">
        <v>25</v>
      </c>
      <c r="T664" s="13">
        <v>0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0</v>
      </c>
      <c r="R665" s="14">
        <v>0</v>
      </c>
      <c r="S665" s="14">
        <v>44.583333333333329</v>
      </c>
      <c r="T665" s="13">
        <v>0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12.24</v>
      </c>
      <c r="R666" s="14">
        <v>0</v>
      </c>
      <c r="S666" s="14">
        <v>12.24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0</v>
      </c>
      <c r="R667" s="14">
        <v>0</v>
      </c>
      <c r="S667" s="14">
        <v>24.166666666666664</v>
      </c>
      <c r="T667" s="13">
        <v>0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0</v>
      </c>
      <c r="R668" s="14">
        <v>0</v>
      </c>
      <c r="S668" s="14">
        <v>228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8.7058333333333326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7.0933333333333328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77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5.9974999999999996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0</v>
      </c>
      <c r="R674" s="14">
        <v>0</v>
      </c>
      <c r="S674" s="14">
        <v>15.453333333333333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791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45.123333333333335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63</v>
      </c>
      <c r="R677" s="14">
        <v>0</v>
      </c>
      <c r="S677" s="14">
        <v>60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27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0</v>
      </c>
      <c r="R679" s="14">
        <v>0</v>
      </c>
      <c r="S679" s="14">
        <v>19.125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62.72</v>
      </c>
      <c r="R680" s="14">
        <v>0</v>
      </c>
      <c r="S680" s="14">
        <v>125.03999999999999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22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7.8640833333333333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48</v>
      </c>
      <c r="R683" s="14">
        <v>0</v>
      </c>
      <c r="S683" s="14">
        <v>48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4.5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384</v>
      </c>
      <c r="R685" s="14">
        <v>0</v>
      </c>
      <c r="S685" s="14">
        <v>285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25</v>
      </c>
      <c r="R686" s="14">
        <v>0</v>
      </c>
      <c r="S686" s="14">
        <v>25</v>
      </c>
      <c r="T686" s="13">
        <v>0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0</v>
      </c>
      <c r="R687" s="14">
        <v>0</v>
      </c>
      <c r="S687" s="14">
        <v>5.6520833333333336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12</v>
      </c>
      <c r="R688" s="14">
        <v>0</v>
      </c>
      <c r="S688" s="14">
        <v>12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30</v>
      </c>
      <c r="R689" s="14">
        <v>0</v>
      </c>
      <c r="S689" s="14">
        <v>30</v>
      </c>
      <c r="T689" s="13">
        <v>0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10.833333333333334</v>
      </c>
      <c r="T690" s="13">
        <v>0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443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0</v>
      </c>
      <c r="R692" s="14">
        <v>0</v>
      </c>
      <c r="S692" s="14">
        <v>3.75</v>
      </c>
      <c r="T692" s="13">
        <v>0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3.76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60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1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95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1.2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15</v>
      </c>
      <c r="R698" s="14">
        <v>0</v>
      </c>
      <c r="S698" s="14">
        <v>15</v>
      </c>
      <c r="T698" s="13">
        <v>0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0</v>
      </c>
      <c r="R699" s="14">
        <v>0</v>
      </c>
      <c r="S699" s="14">
        <v>20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25</v>
      </c>
      <c r="R700" s="14">
        <v>0</v>
      </c>
      <c r="S700" s="14">
        <v>25</v>
      </c>
      <c r="T700" s="13">
        <v>0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0</v>
      </c>
      <c r="R703" s="14">
        <v>0</v>
      </c>
      <c r="S703" s="14">
        <v>49.066666666666656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0</v>
      </c>
      <c r="R704" s="14">
        <v>0</v>
      </c>
      <c r="S704" s="14">
        <v>19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30</v>
      </c>
      <c r="T705" s="13">
        <v>0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0</v>
      </c>
      <c r="R706" s="14">
        <v>0</v>
      </c>
      <c r="S706" s="14">
        <v>14.166666666666668</v>
      </c>
      <c r="T706" s="13">
        <v>0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39.583333333333329</v>
      </c>
      <c r="T707" s="13">
        <v>0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2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86.84</v>
      </c>
      <c r="R710" s="14">
        <v>0</v>
      </c>
      <c r="S710" s="14">
        <v>86.84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40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13.44</v>
      </c>
      <c r="R712" s="14">
        <v>0</v>
      </c>
      <c r="S712" s="14">
        <v>13.44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0</v>
      </c>
      <c r="R713" s="14">
        <v>0</v>
      </c>
      <c r="S713" s="14">
        <v>347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1.9616666666666667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12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9.6</v>
      </c>
      <c r="R716" s="14">
        <v>0</v>
      </c>
      <c r="S716" s="14">
        <v>9.6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1.6666666666666667</v>
      </c>
      <c r="T717" s="13">
        <v>0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0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72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3.5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44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0</v>
      </c>
      <c r="R722" s="14">
        <v>0</v>
      </c>
      <c r="S722" s="14">
        <v>12.64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4.4800000000000004</v>
      </c>
      <c r="R723" s="14">
        <v>0</v>
      </c>
      <c r="S723" s="14">
        <v>4.4800000000000004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36</v>
      </c>
      <c r="R724" s="14">
        <v>0</v>
      </c>
      <c r="S724" s="14">
        <v>83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22.91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7.9091666666666676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0</v>
      </c>
      <c r="R727" s="14">
        <v>0</v>
      </c>
      <c r="S727" s="14">
        <v>280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16.48</v>
      </c>
      <c r="R728" s="14">
        <v>0</v>
      </c>
      <c r="S728" s="14">
        <v>20.96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0</v>
      </c>
      <c r="R729" s="14">
        <v>0</v>
      </c>
      <c r="S729" s="14">
        <v>29.400000000000002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33.6</v>
      </c>
      <c r="R730" s="14">
        <v>0</v>
      </c>
      <c r="S730" s="14">
        <v>33.6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3.8999999999999995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29.759999999999998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1.2670833333333333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22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0</v>
      </c>
      <c r="R736" s="14">
        <v>0</v>
      </c>
      <c r="S736" s="14">
        <v>143.33333333333334</v>
      </c>
      <c r="T736" s="13">
        <v>0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0</v>
      </c>
      <c r="R737" s="14">
        <v>0</v>
      </c>
      <c r="S737" s="14">
        <v>60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20</v>
      </c>
      <c r="R738" s="14">
        <v>0</v>
      </c>
      <c r="S738" s="14">
        <v>20</v>
      </c>
      <c r="T738" s="13">
        <v>0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35.840000000000003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20</v>
      </c>
      <c r="R740" s="14">
        <v>0</v>
      </c>
      <c r="S740" s="14">
        <v>20</v>
      </c>
      <c r="T740" s="13">
        <v>0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15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20</v>
      </c>
      <c r="T742" s="13">
        <v>0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10</v>
      </c>
      <c r="R743" s="14">
        <v>0</v>
      </c>
      <c r="S743" s="14">
        <v>10</v>
      </c>
      <c r="T743" s="13">
        <v>0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15</v>
      </c>
      <c r="R744" s="14">
        <v>0</v>
      </c>
      <c r="S744" s="14">
        <v>15</v>
      </c>
      <c r="T744" s="13">
        <v>0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9.6</v>
      </c>
      <c r="R745" s="14">
        <v>0</v>
      </c>
      <c r="S745" s="14">
        <v>9.6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71.8</v>
      </c>
      <c r="R746" s="14">
        <v>0</v>
      </c>
      <c r="S746" s="14">
        <v>71.8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1.25</v>
      </c>
      <c r="T748" s="13">
        <v>0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15</v>
      </c>
      <c r="R749" s="14">
        <v>0</v>
      </c>
      <c r="S749" s="14">
        <v>15</v>
      </c>
      <c r="T749" s="13">
        <v>0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0</v>
      </c>
      <c r="R750" s="14">
        <v>0</v>
      </c>
      <c r="S750" s="14">
        <v>30.574583333333333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4.9961666666666673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7.4724166666666667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0.5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11.77</v>
      </c>
      <c r="R754" s="14">
        <v>0</v>
      </c>
      <c r="S754" s="14">
        <v>12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28.333333333333336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4.5508333333333333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0</v>
      </c>
      <c r="R757" s="14">
        <v>0</v>
      </c>
      <c r="S757" s="14">
        <v>16.333333333333336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44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1.3333333333333333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152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24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12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0</v>
      </c>
      <c r="R763" s="14">
        <v>0</v>
      </c>
      <c r="S763" s="14">
        <v>22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128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0</v>
      </c>
      <c r="R765" s="14">
        <v>0</v>
      </c>
      <c r="S765" s="14">
        <v>17.048333333333336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0</v>
      </c>
      <c r="R767" s="14">
        <v>0</v>
      </c>
      <c r="S767" s="14">
        <v>19.2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0</v>
      </c>
      <c r="R768" s="14">
        <v>0</v>
      </c>
      <c r="S768" s="14">
        <v>3.4000000000000004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0</v>
      </c>
      <c r="R769" s="14">
        <v>0</v>
      </c>
      <c r="S769" s="14">
        <v>121.19999999999999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1200</v>
      </c>
      <c r="R770" s="14">
        <v>0</v>
      </c>
      <c r="S770" s="14">
        <v>2987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25.3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4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8.25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12.266666666666667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7.125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4.4800000000000004</v>
      </c>
      <c r="R776" s="14">
        <v>0</v>
      </c>
      <c r="S776" s="14">
        <v>4.4800000000000004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24</v>
      </c>
      <c r="R777" s="14">
        <v>0</v>
      </c>
      <c r="S777" s="14">
        <v>39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12.12</v>
      </c>
      <c r="R778" s="14">
        <v>0</v>
      </c>
      <c r="S778" s="14">
        <v>0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0</v>
      </c>
      <c r="R779" s="14">
        <v>0</v>
      </c>
      <c r="S779" s="14">
        <v>8.8016666666666659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20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0</v>
      </c>
      <c r="R781" s="14">
        <v>0</v>
      </c>
      <c r="S781" s="14">
        <v>47.76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180</v>
      </c>
      <c r="R782" s="14">
        <v>0</v>
      </c>
      <c r="S782" s="14">
        <v>225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6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7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13.3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0</v>
      </c>
      <c r="R787" s="14">
        <v>0</v>
      </c>
      <c r="S787" s="14">
        <v>51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0</v>
      </c>
      <c r="R788" s="14">
        <v>0</v>
      </c>
      <c r="S788" s="14">
        <v>7.75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42.5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96</v>
      </c>
      <c r="R790" s="14">
        <v>0</v>
      </c>
      <c r="S790" s="14">
        <v>87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0.98333333333333339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2.5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40</v>
      </c>
      <c r="R793" s="14">
        <v>0</v>
      </c>
      <c r="S793" s="14">
        <v>20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14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0</v>
      </c>
      <c r="R795" s="14">
        <v>0</v>
      </c>
      <c r="S795" s="14">
        <v>33.333333333333336</v>
      </c>
      <c r="T795" s="13">
        <v>0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0</v>
      </c>
      <c r="R796" s="14">
        <v>0</v>
      </c>
      <c r="S796" s="14">
        <v>130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15</v>
      </c>
      <c r="R797" s="14">
        <v>0</v>
      </c>
      <c r="S797" s="14">
        <v>15</v>
      </c>
      <c r="T797" s="13">
        <v>0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23.19</v>
      </c>
      <c r="R798" s="14">
        <v>0</v>
      </c>
      <c r="S798" s="14">
        <v>23.19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0</v>
      </c>
      <c r="R799" s="14">
        <v>0</v>
      </c>
      <c r="S799" s="14">
        <v>30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0</v>
      </c>
      <c r="R800" s="14">
        <v>0</v>
      </c>
      <c r="S800" s="14">
        <v>1.0833333333333333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0</v>
      </c>
      <c r="R801" s="14">
        <v>0</v>
      </c>
      <c r="S801" s="14">
        <v>95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10</v>
      </c>
      <c r="R802" s="14">
        <v>0</v>
      </c>
      <c r="S802" s="14">
        <v>10</v>
      </c>
      <c r="T802" s="13">
        <v>0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0</v>
      </c>
      <c r="R803" s="14">
        <v>0</v>
      </c>
      <c r="S803" s="14">
        <v>4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1.3333333333333333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27.463333333333335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15</v>
      </c>
      <c r="R806" s="14">
        <v>0</v>
      </c>
      <c r="S806" s="14">
        <v>10</v>
      </c>
      <c r="T806" s="13">
        <v>0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10</v>
      </c>
      <c r="R807" s="14">
        <v>0</v>
      </c>
      <c r="S807" s="14">
        <v>10</v>
      </c>
      <c r="T807" s="13">
        <v>0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0</v>
      </c>
      <c r="R808" s="14">
        <v>0</v>
      </c>
      <c r="S808" s="14">
        <v>17.5</v>
      </c>
      <c r="T808" s="13">
        <v>0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0</v>
      </c>
      <c r="R809" s="14">
        <v>0</v>
      </c>
      <c r="S809" s="14">
        <v>45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10</v>
      </c>
      <c r="R810" s="14">
        <v>0</v>
      </c>
      <c r="S810" s="14">
        <v>10</v>
      </c>
      <c r="T810" s="13">
        <v>0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11.775000000000002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15</v>
      </c>
      <c r="R812" s="14">
        <v>0</v>
      </c>
      <c r="S812" s="14">
        <v>15</v>
      </c>
      <c r="T812" s="13">
        <v>0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6.25</v>
      </c>
      <c r="T813" s="13">
        <v>0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7.0499999999999989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10</v>
      </c>
      <c r="R815" s="14">
        <v>0</v>
      </c>
      <c r="S815" s="14">
        <v>5</v>
      </c>
      <c r="T815" s="13">
        <v>0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23.26</v>
      </c>
      <c r="R816" s="14">
        <v>0</v>
      </c>
      <c r="S816" s="14">
        <v>23.26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0.625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0</v>
      </c>
      <c r="R818" s="14">
        <v>0</v>
      </c>
      <c r="S818" s="14">
        <v>12.5</v>
      </c>
      <c r="T818" s="13">
        <v>0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360</v>
      </c>
      <c r="R819" s="14">
        <v>0</v>
      </c>
      <c r="S819" s="14">
        <v>150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10</v>
      </c>
      <c r="R820" s="14">
        <v>0</v>
      </c>
      <c r="S820" s="14">
        <v>10</v>
      </c>
      <c r="T820" s="13">
        <v>0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1.9125000000000001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0.31666666666666665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7.7766666666666673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92</v>
      </c>
      <c r="R824" s="14">
        <v>0</v>
      </c>
      <c r="S824" s="14">
        <v>92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540</v>
      </c>
      <c r="R825" s="14">
        <v>0</v>
      </c>
      <c r="S825" s="14">
        <v>360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6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0</v>
      </c>
      <c r="R827" s="14">
        <v>0</v>
      </c>
      <c r="S827" s="14">
        <v>21.653333333333332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1.0008333333333332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0</v>
      </c>
      <c r="R829" s="14">
        <v>0</v>
      </c>
      <c r="S829" s="14">
        <v>378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0</v>
      </c>
      <c r="R830" s="14">
        <v>0</v>
      </c>
      <c r="S830" s="14">
        <v>21.25</v>
      </c>
      <c r="T830" s="13">
        <v>0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0</v>
      </c>
      <c r="R831" s="14">
        <v>0</v>
      </c>
      <c r="S831" s="14">
        <v>6.7199999999999989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15</v>
      </c>
      <c r="R832" s="14">
        <v>0</v>
      </c>
      <c r="S832" s="14">
        <v>15</v>
      </c>
      <c r="T832" s="13">
        <v>0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4.833333333333333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0.83333333333333337</v>
      </c>
      <c r="T834" s="13">
        <v>0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0</v>
      </c>
      <c r="R835" s="14">
        <v>0</v>
      </c>
      <c r="S835" s="14">
        <v>48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0</v>
      </c>
      <c r="R838" s="14">
        <v>0</v>
      </c>
      <c r="S838" s="14">
        <v>47.916666666666671</v>
      </c>
      <c r="T838" s="13">
        <v>0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56.333333333333329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8.75</v>
      </c>
      <c r="T840" s="13">
        <v>0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4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0</v>
      </c>
      <c r="R842" s="14">
        <v>0</v>
      </c>
      <c r="S842" s="14">
        <v>26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10</v>
      </c>
      <c r="R843" s="14">
        <v>0</v>
      </c>
      <c r="S843" s="14">
        <v>5</v>
      </c>
      <c r="T843" s="13">
        <v>0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14.4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120</v>
      </c>
      <c r="R845" s="14">
        <v>0</v>
      </c>
      <c r="S845" s="14">
        <v>180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73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0</v>
      </c>
      <c r="R847" s="14">
        <v>0</v>
      </c>
      <c r="S847" s="14">
        <v>114.35999999999999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65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1.9158333333333333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200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9.8387499999999992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0</v>
      </c>
      <c r="R852" s="14">
        <v>0</v>
      </c>
      <c r="S852" s="14">
        <v>50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0.97333333333333327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43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12.76</v>
      </c>
      <c r="R855" s="14">
        <v>0</v>
      </c>
      <c r="S855" s="14">
        <v>12.76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0.3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0</v>
      </c>
      <c r="R857" s="14">
        <v>0</v>
      </c>
      <c r="S857" s="14">
        <v>60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0</v>
      </c>
      <c r="R858" s="14">
        <v>0</v>
      </c>
      <c r="S858" s="14">
        <v>6.0833333333333339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8.6666666666666661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2.7199999999999998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0</v>
      </c>
      <c r="R861" s="14">
        <v>0</v>
      </c>
      <c r="S861" s="14">
        <v>33.18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6.32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0.75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1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0</v>
      </c>
      <c r="R865" s="14">
        <v>0</v>
      </c>
      <c r="S865" s="14">
        <v>10.453333333333333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6</v>
      </c>
      <c r="R866" s="14">
        <v>0</v>
      </c>
      <c r="S866" s="14">
        <v>6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8.16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96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0</v>
      </c>
      <c r="R871" s="14">
        <v>0</v>
      </c>
      <c r="S871" s="14">
        <v>108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0</v>
      </c>
      <c r="R872" s="14">
        <v>0</v>
      </c>
      <c r="S872" s="14">
        <v>13.6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110.16</v>
      </c>
      <c r="R873" s="14">
        <v>0</v>
      </c>
      <c r="S873" s="14">
        <v>48.96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120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0</v>
      </c>
      <c r="R877" s="14">
        <v>0</v>
      </c>
      <c r="S877" s="14">
        <v>15.36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0</v>
      </c>
      <c r="R878" s="14">
        <v>0</v>
      </c>
      <c r="S878" s="14">
        <v>4.4800000000000004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0</v>
      </c>
      <c r="R879" s="14">
        <v>0</v>
      </c>
      <c r="S879" s="14">
        <v>132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0</v>
      </c>
      <c r="R880" s="14">
        <v>0</v>
      </c>
      <c r="S880" s="14">
        <v>26.499999999999996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3.9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4.8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79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0.45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0</v>
      </c>
      <c r="R885" s="14">
        <v>0</v>
      </c>
      <c r="S885" s="14">
        <v>22.916666666666668</v>
      </c>
      <c r="T885" s="13">
        <v>0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61.666666666666671</v>
      </c>
      <c r="T886" s="13">
        <v>0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360</v>
      </c>
      <c r="R887" s="14">
        <v>0</v>
      </c>
      <c r="S887" s="14">
        <v>220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0</v>
      </c>
      <c r="R890" s="14">
        <v>0</v>
      </c>
      <c r="S890" s="14">
        <v>40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10</v>
      </c>
      <c r="R891" s="14">
        <v>0</v>
      </c>
      <c r="S891" s="14">
        <v>10</v>
      </c>
      <c r="T891" s="13">
        <v>0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4.8900000000000006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3.1999999999999997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16.2</v>
      </c>
      <c r="R895" s="14">
        <v>0</v>
      </c>
      <c r="S895" s="14">
        <v>16.2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145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0</v>
      </c>
      <c r="R897" s="14">
        <v>0</v>
      </c>
      <c r="S897" s="14">
        <v>9.6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6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4.166666666666667</v>
      </c>
      <c r="T899" s="13">
        <v>0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5</v>
      </c>
      <c r="R900" s="14">
        <v>0</v>
      </c>
      <c r="S900" s="14">
        <v>5</v>
      </c>
      <c r="T900" s="13">
        <v>0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0</v>
      </c>
      <c r="R901" s="14">
        <v>0</v>
      </c>
      <c r="S901" s="14">
        <v>565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8.3333333333333339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1.25</v>
      </c>
      <c r="T903" s="13">
        <v>0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1.6666666666666667</v>
      </c>
      <c r="T904" s="13">
        <v>0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3.3333333333333335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0</v>
      </c>
      <c r="R906" s="14">
        <v>0</v>
      </c>
      <c r="S906" s="14">
        <v>2.916666666666667</v>
      </c>
      <c r="T906" s="13">
        <v>0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6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46.400000000000006</v>
      </c>
      <c r="R908" s="14">
        <v>0</v>
      </c>
      <c r="S908" s="14">
        <v>46.400000000000006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8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0.41666666666666669</v>
      </c>
      <c r="T910" s="13">
        <v>0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0.5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1.2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0.83333333333333337</v>
      </c>
      <c r="T913" s="13">
        <v>0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180</v>
      </c>
      <c r="R914" s="14">
        <v>0</v>
      </c>
      <c r="S914" s="14">
        <v>321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0</v>
      </c>
      <c r="R915" s="14">
        <v>0</v>
      </c>
      <c r="S915" s="14">
        <v>4.166666666666667</v>
      </c>
      <c r="T915" s="13">
        <v>0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0</v>
      </c>
      <c r="R916" s="14">
        <v>0</v>
      </c>
      <c r="S916" s="14">
        <v>1.5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4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0</v>
      </c>
      <c r="R918" s="14">
        <v>0</v>
      </c>
      <c r="S918" s="14">
        <v>68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2.0833333333333335</v>
      </c>
      <c r="T919" s="13">
        <v>0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3.84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55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2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0</v>
      </c>
      <c r="R923" s="14">
        <v>0</v>
      </c>
      <c r="S923" s="14">
        <v>0.75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3.75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60</v>
      </c>
      <c r="R925" s="14">
        <v>0</v>
      </c>
      <c r="S925" s="14">
        <v>85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36.56</v>
      </c>
      <c r="R926" s="14">
        <v>0</v>
      </c>
      <c r="S926" s="14">
        <v>27.28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113.67333333333332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1.92</v>
      </c>
      <c r="R928" s="14">
        <v>0</v>
      </c>
      <c r="S928" s="14">
        <v>1.92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2.2400000000000002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1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1.92</v>
      </c>
      <c r="R931" s="14">
        <v>0</v>
      </c>
      <c r="S931" s="14">
        <v>1.92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0</v>
      </c>
      <c r="R932" s="14">
        <v>0</v>
      </c>
      <c r="S932" s="14">
        <v>3.3600000000000003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0.64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0</v>
      </c>
      <c r="R934" s="14">
        <v>0</v>
      </c>
      <c r="S934" s="14">
        <v>18.353333333333339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0</v>
      </c>
      <c r="R935" s="14">
        <v>0</v>
      </c>
      <c r="S935" s="14">
        <v>37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3.84</v>
      </c>
      <c r="R936" s="14">
        <v>0</v>
      </c>
      <c r="S936" s="14">
        <v>2.56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9.6</v>
      </c>
      <c r="R937" s="14">
        <v>0</v>
      </c>
      <c r="S937" s="14">
        <v>9.6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35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2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60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108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20.069583333333334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7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0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10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852</v>
      </c>
      <c r="R949" s="14">
        <v>0</v>
      </c>
      <c r="S949" s="14">
        <v>852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3.64</v>
      </c>
      <c r="R950" s="14">
        <v>0</v>
      </c>
      <c r="S950" s="14">
        <v>3.64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0</v>
      </c>
      <c r="R951" s="14">
        <v>0</v>
      </c>
      <c r="S951" s="14">
        <v>9.2200000000000006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0</v>
      </c>
      <c r="R952" s="14">
        <v>0</v>
      </c>
      <c r="S952" s="14">
        <v>40739.919999999998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0</v>
      </c>
      <c r="R953" s="14">
        <v>0</v>
      </c>
      <c r="S953" s="14">
        <v>6.7966666666666669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1.0666666666666667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140.76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0</v>
      </c>
      <c r="R956" s="14">
        <v>0</v>
      </c>
      <c r="S956" s="14">
        <v>810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0</v>
      </c>
      <c r="R957" s="14">
        <v>0</v>
      </c>
      <c r="S957" s="14">
        <v>52861.38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0</v>
      </c>
      <c r="R958" s="14">
        <v>0</v>
      </c>
      <c r="S958" s="14">
        <v>95.846666666666678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12.239999999999998</v>
      </c>
      <c r="R960" s="14">
        <v>0</v>
      </c>
      <c r="S960" s="14">
        <v>12.239999999999998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20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564</v>
      </c>
      <c r="R962" s="14">
        <v>0</v>
      </c>
      <c r="S962" s="14">
        <v>936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23.97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360</v>
      </c>
      <c r="R964" s="14">
        <v>0</v>
      </c>
      <c r="S964" s="14">
        <v>360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0</v>
      </c>
      <c r="R965" s="14">
        <v>0</v>
      </c>
      <c r="S965" s="14">
        <v>29348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2.5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16.834999999999997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18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4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0</v>
      </c>
      <c r="R971" s="14">
        <v>0</v>
      </c>
      <c r="S971" s="14">
        <v>26.413333333333334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88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-100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81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0</v>
      </c>
      <c r="R975" s="14">
        <v>0</v>
      </c>
      <c r="S975" s="14">
        <v>104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0</v>
      </c>
      <c r="R976" s="14">
        <v>0</v>
      </c>
      <c r="S976" s="14">
        <v>28957.200000000001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7280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36.72</v>
      </c>
      <c r="R979" s="14">
        <v>0</v>
      </c>
      <c r="S979" s="14">
        <v>36.72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40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10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0</v>
      </c>
      <c r="R982" s="14">
        <v>0</v>
      </c>
      <c r="S982" s="14">
        <v>14570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81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0</v>
      </c>
      <c r="R984" s="14">
        <v>0</v>
      </c>
      <c r="S984" s="14">
        <v>406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400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14.559999999999999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0</v>
      </c>
      <c r="R987" s="14">
        <v>0</v>
      </c>
      <c r="S987" s="14">
        <v>9100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30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0</v>
      </c>
      <c r="R989" s="14">
        <v>0</v>
      </c>
      <c r="S989" s="14">
        <v>58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0</v>
      </c>
      <c r="R990" s="14">
        <v>0</v>
      </c>
      <c r="S990" s="14">
        <v>200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0</v>
      </c>
      <c r="R991" s="14">
        <v>0</v>
      </c>
      <c r="S991" s="14">
        <v>75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0</v>
      </c>
      <c r="R992" s="14">
        <v>0</v>
      </c>
      <c r="S992" s="14">
        <v>43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11.51</v>
      </c>
      <c r="R993" s="14">
        <v>0</v>
      </c>
      <c r="S993" s="14">
        <v>11.51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50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204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0</v>
      </c>
      <c r="R996" s="14">
        <v>0</v>
      </c>
      <c r="S996" s="14">
        <v>138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165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28845.599999999999</v>
      </c>
      <c r="R998" s="14">
        <v>0</v>
      </c>
      <c r="S998" s="14">
        <v>28846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70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5000</v>
      </c>
      <c r="R1000" s="14">
        <v>0</v>
      </c>
      <c r="S1000" s="14">
        <v>12014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0</v>
      </c>
      <c r="R1001" s="14">
        <v>0</v>
      </c>
      <c r="S1001" s="14">
        <v>50.600000000000009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0</v>
      </c>
      <c r="R1002" s="14">
        <v>0</v>
      </c>
      <c r="S1002" s="14">
        <v>7077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2.73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0</v>
      </c>
      <c r="R1004" s="14">
        <v>0</v>
      </c>
      <c r="S1004" s="14">
        <v>96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10850</v>
      </c>
      <c r="R1005" s="14">
        <v>0</v>
      </c>
      <c r="S1005" s="14">
        <v>10850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3.8541666666666665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26.419999999999995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1.825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64.400000000000006</v>
      </c>
      <c r="R1009" s="14">
        <v>0</v>
      </c>
      <c r="S1009" s="14">
        <v>64.400000000000006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13.478333333333333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11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8.74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0</v>
      </c>
      <c r="R1015" s="14">
        <v>0</v>
      </c>
      <c r="S1015" s="14">
        <v>492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3.5700000000000003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151.19999999999999</v>
      </c>
      <c r="R1017" s="14">
        <v>0</v>
      </c>
      <c r="S1017" s="14">
        <v>151.19999999999999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0</v>
      </c>
      <c r="R1018" s="14">
        <v>0</v>
      </c>
      <c r="S1018" s="14">
        <v>40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8248</v>
      </c>
      <c r="R1019" s="14">
        <v>0</v>
      </c>
      <c r="S1019" s="14">
        <v>6548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0</v>
      </c>
      <c r="R1020" s="14">
        <v>0</v>
      </c>
      <c r="S1020" s="14">
        <v>13647.04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18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6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190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80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0</v>
      </c>
      <c r="R1025" s="14">
        <v>0</v>
      </c>
      <c r="S1025" s="14">
        <v>370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120</v>
      </c>
      <c r="R1026" s="14">
        <v>0</v>
      </c>
      <c r="S1026" s="14">
        <v>492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149.27999999999997</v>
      </c>
      <c r="R1027" s="14">
        <v>0</v>
      </c>
      <c r="S1027" s="14">
        <v>149.27999999999997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0.34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10</v>
      </c>
      <c r="R1029" s="14">
        <v>0</v>
      </c>
      <c r="S1029" s="14">
        <v>10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1.3333333333333333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0</v>
      </c>
      <c r="R1031" s="14">
        <v>0</v>
      </c>
      <c r="S1031" s="14">
        <v>12972.6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120</v>
      </c>
      <c r="R1034" s="14">
        <v>0</v>
      </c>
      <c r="S1034" s="14">
        <v>84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0</v>
      </c>
      <c r="R1035" s="14">
        <v>0</v>
      </c>
      <c r="S1035" s="14">
        <v>7000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20.990000000000002</v>
      </c>
      <c r="R1036" s="14">
        <v>0</v>
      </c>
      <c r="S1036" s="14">
        <v>20.990000000000002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0</v>
      </c>
      <c r="R1037" s="14">
        <v>0</v>
      </c>
      <c r="S1037" s="14">
        <v>6341.6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0</v>
      </c>
      <c r="R1038" s="14">
        <v>0</v>
      </c>
      <c r="S1038" s="14">
        <v>109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6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20</v>
      </c>
      <c r="R1040" s="14">
        <v>0</v>
      </c>
      <c r="S1040" s="14">
        <v>20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0</v>
      </c>
      <c r="R1041" s="14">
        <v>0</v>
      </c>
      <c r="S1041" s="14">
        <v>6.2999999999999989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0</v>
      </c>
      <c r="R1042" s="14">
        <v>0</v>
      </c>
      <c r="S1042" s="14">
        <v>18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0</v>
      </c>
      <c r="R1043" s="14">
        <v>0</v>
      </c>
      <c r="S1043" s="14">
        <v>5.6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9.1999999999999993</v>
      </c>
      <c r="R1044" s="14">
        <v>0</v>
      </c>
      <c r="S1044" s="14">
        <v>9.1999999999999993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0</v>
      </c>
      <c r="R1045" s="14">
        <v>0</v>
      </c>
      <c r="S1045" s="14">
        <v>72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6000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24</v>
      </c>
      <c r="R1047" s="14">
        <v>0</v>
      </c>
      <c r="S1047" s="14">
        <v>24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10400</v>
      </c>
      <c r="R1048" s="14">
        <v>0</v>
      </c>
      <c r="S1048" s="14">
        <v>10400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120</v>
      </c>
      <c r="R1049" s="14">
        <v>0</v>
      </c>
      <c r="S1049" s="14">
        <v>90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0</v>
      </c>
      <c r="R1050" s="14">
        <v>0</v>
      </c>
      <c r="S1050" s="14">
        <v>6310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2000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0</v>
      </c>
      <c r="R1053" s="14">
        <v>0</v>
      </c>
      <c r="S1053" s="14">
        <v>5740.8333333333339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2000</v>
      </c>
      <c r="R1054" s="14">
        <v>0</v>
      </c>
      <c r="S1054" s="14">
        <v>2000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15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0</v>
      </c>
      <c r="R1056" s="14">
        <v>0</v>
      </c>
      <c r="S1056" s="14">
        <v>3949.75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0</v>
      </c>
      <c r="R1057" s="14">
        <v>0</v>
      </c>
      <c r="S1057" s="14">
        <v>7600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12.833333333333334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0</v>
      </c>
      <c r="R1059" s="14">
        <v>0</v>
      </c>
      <c r="S1059" s="14">
        <v>5825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3.5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0</v>
      </c>
      <c r="R1061" s="14">
        <v>0</v>
      </c>
      <c r="S1061" s="14">
        <v>5151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3.333333333333333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31.323333333333338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0</v>
      </c>
      <c r="R1064" s="14">
        <v>0</v>
      </c>
      <c r="S1064" s="14">
        <v>120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1</v>
      </c>
      <c r="R1065" s="14">
        <v>0</v>
      </c>
      <c r="S1065" s="14">
        <v>1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2.6666666666666665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0.34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0</v>
      </c>
      <c r="R1068" s="14">
        <v>0</v>
      </c>
      <c r="S1068" s="14">
        <v>180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5.4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180</v>
      </c>
      <c r="R1070" s="14">
        <v>0</v>
      </c>
      <c r="S1070" s="14">
        <v>323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1500</v>
      </c>
      <c r="R1072" s="14">
        <v>0</v>
      </c>
      <c r="S1072" s="14">
        <v>0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3.0833333333333335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0</v>
      </c>
      <c r="R1074" s="14">
        <v>0</v>
      </c>
      <c r="S1074" s="14">
        <v>2828.9290000000001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0</v>
      </c>
      <c r="R1075" s="14">
        <v>0</v>
      </c>
      <c r="S1075" s="14">
        <v>25480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1.3333333333333335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0.97083333333333333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0.58333333333333326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480</v>
      </c>
      <c r="R1079" s="14">
        <v>0</v>
      </c>
      <c r="S1079" s="14">
        <v>2700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10.290000000000003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9.1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8.2366666666666681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10.100000000000001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4.08</v>
      </c>
      <c r="R1084" s="14">
        <v>0</v>
      </c>
      <c r="S1084" s="14">
        <v>4.08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0</v>
      </c>
      <c r="R1085" s="14">
        <v>0</v>
      </c>
      <c r="S1085" s="14">
        <v>82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5.4</v>
      </c>
      <c r="R1086" s="14">
        <v>0</v>
      </c>
      <c r="S1086" s="14">
        <v>5.4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9100</v>
      </c>
      <c r="R1087" s="14">
        <v>0</v>
      </c>
      <c r="S1087" s="14">
        <v>14200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4.08</v>
      </c>
      <c r="R1088" s="14">
        <v>0</v>
      </c>
      <c r="S1088" s="14">
        <v>4.08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412.08</v>
      </c>
      <c r="R1089" s="14">
        <v>0</v>
      </c>
      <c r="S1089" s="14">
        <v>8000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0</v>
      </c>
      <c r="R1090" s="14">
        <v>0</v>
      </c>
      <c r="S1090" s="14">
        <v>17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0.45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87.68</v>
      </c>
      <c r="R1092" s="14">
        <v>0</v>
      </c>
      <c r="S1092" s="14">
        <v>49.28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4500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3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65.64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5000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70.36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120</v>
      </c>
      <c r="R1098" s="14">
        <v>0</v>
      </c>
      <c r="S1098" s="14">
        <v>120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1820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230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0</v>
      </c>
      <c r="R1101" s="14">
        <v>0</v>
      </c>
      <c r="S1101" s="14">
        <v>8920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300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19.424999999999997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217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21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120</v>
      </c>
      <c r="R1106" s="14">
        <v>0</v>
      </c>
      <c r="S1106" s="14">
        <v>310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62.86666666666666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0</v>
      </c>
      <c r="R1108" s="14">
        <v>0</v>
      </c>
      <c r="S1108" s="14">
        <v>126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4000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0</v>
      </c>
      <c r="R1110" s="14">
        <v>0</v>
      </c>
      <c r="S1110" s="14">
        <v>3932.4774999999995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0</v>
      </c>
      <c r="R1111" s="14">
        <v>0</v>
      </c>
      <c r="S1111" s="14">
        <v>5205.2777777777783</v>
      </c>
      <c r="T1111" s="13">
        <v>0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45.239999999999995</v>
      </c>
      <c r="R1112" s="14">
        <v>0</v>
      </c>
      <c r="S1112" s="14">
        <v>45.239999999999995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0</v>
      </c>
      <c r="R1113" s="14">
        <v>0</v>
      </c>
      <c r="S1113" s="14">
        <v>117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1820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0</v>
      </c>
      <c r="R1115" s="14">
        <v>0</v>
      </c>
      <c r="S1115" s="14">
        <v>17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0</v>
      </c>
      <c r="R1116" s="14">
        <v>0</v>
      </c>
      <c r="S1116" s="14">
        <v>269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5000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3.64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4641.6666666666661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12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0</v>
      </c>
      <c r="R1122" s="14">
        <v>0</v>
      </c>
      <c r="S1122" s="14">
        <v>3030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-72</v>
      </c>
      <c r="R1124" s="14">
        <v>0</v>
      </c>
      <c r="S1124" s="14">
        <v>-72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0</v>
      </c>
      <c r="R1125" s="14">
        <v>0</v>
      </c>
      <c r="S1125" s="14">
        <v>815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4000</v>
      </c>
      <c r="R1126" s="14">
        <v>0</v>
      </c>
      <c r="S1126" s="14">
        <v>5000</v>
      </c>
      <c r="T1126" s="13">
        <v>0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0</v>
      </c>
      <c r="R1127" s="14">
        <v>0</v>
      </c>
      <c r="S1127" s="14">
        <v>300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0</v>
      </c>
      <c r="R1128" s="14">
        <v>0</v>
      </c>
      <c r="S1128" s="14">
        <v>1788.4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50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185</v>
      </c>
      <c r="R1131" s="14">
        <v>0</v>
      </c>
      <c r="S1131" s="14">
        <v>2571.3934999999997</v>
      </c>
      <c r="T1131" s="13">
        <v>0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74.986666666666665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648</v>
      </c>
      <c r="R1133" s="14">
        <v>0</v>
      </c>
      <c r="S1133" s="14">
        <v>48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1500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2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0.5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0.75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0</v>
      </c>
      <c r="R1140" s="14">
        <v>0</v>
      </c>
      <c r="S1140" s="14">
        <v>1000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2000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0</v>
      </c>
      <c r="R1144" s="14">
        <v>0</v>
      </c>
      <c r="S1144" s="14">
        <v>823.39099999999996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198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18.333333333333332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0</v>
      </c>
      <c r="R1150" s="14">
        <v>0</v>
      </c>
      <c r="S1150" s="14">
        <v>145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50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0.33333333333333331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243.57999999999998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0</v>
      </c>
      <c r="R1155" s="14">
        <v>0</v>
      </c>
      <c r="S1155" s="14">
        <v>4177.1785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0</v>
      </c>
      <c r="R1156" s="14">
        <v>0</v>
      </c>
      <c r="S1156" s="14">
        <v>55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17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0</v>
      </c>
      <c r="R1158" s="14">
        <v>0</v>
      </c>
      <c r="S1158" s="14">
        <v>3640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1.5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0</v>
      </c>
      <c r="R1161" s="14">
        <v>0</v>
      </c>
      <c r="S1161" s="14">
        <v>2000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5.3</v>
      </c>
      <c r="R1162" s="14">
        <v>0</v>
      </c>
      <c r="S1162" s="14">
        <v>5.3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72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0</v>
      </c>
      <c r="R1164" s="14">
        <v>0</v>
      </c>
      <c r="S1164" s="14">
        <v>3000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0</v>
      </c>
      <c r="R1165" s="14">
        <v>0</v>
      </c>
      <c r="S1165" s="14">
        <v>6151.6799999999994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0</v>
      </c>
      <c r="R1166" s="14">
        <v>0</v>
      </c>
      <c r="S1166" s="14">
        <v>126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16.2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4000</v>
      </c>
      <c r="R1168" s="14">
        <v>0</v>
      </c>
      <c r="S1168" s="14">
        <v>4000</v>
      </c>
      <c r="T1168" s="13">
        <v>0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13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0.37333333333333335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133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7.0833333333333339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-60</v>
      </c>
      <c r="R1174" s="14">
        <v>0</v>
      </c>
      <c r="S1174" s="14">
        <v>4500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0</v>
      </c>
      <c r="R1175" s="14">
        <v>0</v>
      </c>
      <c r="S1175" s="14">
        <v>5880</v>
      </c>
      <c r="T1175" s="13">
        <v>0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0</v>
      </c>
      <c r="R1176" s="14">
        <v>0</v>
      </c>
      <c r="S1176" s="14">
        <v>47.5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0</v>
      </c>
      <c r="R1177" s="14">
        <v>0</v>
      </c>
      <c r="S1177" s="14">
        <v>4.5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0</v>
      </c>
      <c r="R1178" s="14">
        <v>0</v>
      </c>
      <c r="S1178" s="14">
        <v>6.3733333333333331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0</v>
      </c>
      <c r="R1179" s="14">
        <v>0</v>
      </c>
      <c r="S1179" s="14">
        <v>60.180000000000007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42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116.06</v>
      </c>
      <c r="R1181" s="14">
        <v>0</v>
      </c>
      <c r="S1181" s="14">
        <v>68.989999999999995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0</v>
      </c>
      <c r="R1182" s="14">
        <v>0</v>
      </c>
      <c r="S1182" s="14">
        <v>1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2</v>
      </c>
      <c r="R1183" s="14">
        <v>0</v>
      </c>
      <c r="S1183" s="14">
        <v>2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>
        <v>0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47.433333333333337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0</v>
      </c>
      <c r="R1186" s="14">
        <v>0</v>
      </c>
      <c r="S1186" s="14">
        <v>55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827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2000</v>
      </c>
      <c r="R1190" s="14">
        <v>0</v>
      </c>
      <c r="S1190" s="14">
        <v>4000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1030.2</v>
      </c>
      <c r="R1191" s="14">
        <v>0</v>
      </c>
      <c r="S1191" s="14">
        <v>1030.2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10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0</v>
      </c>
      <c r="R1193" s="14">
        <v>0</v>
      </c>
      <c r="S1193" s="14">
        <v>1921.2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0.33333333333333331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41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100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-40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0</v>
      </c>
      <c r="R1199" s="14">
        <v>0</v>
      </c>
      <c r="S1199" s="14">
        <v>22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>
        <v>0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60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1.25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4.4800000000000004</v>
      </c>
      <c r="R1204" s="14">
        <v>0</v>
      </c>
      <c r="S1204" s="14">
        <v>4.4800000000000004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0</v>
      </c>
      <c r="R1205" s="14">
        <v>0</v>
      </c>
      <c r="S1205" s="14">
        <v>355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6.84</v>
      </c>
      <c r="R1207" s="14">
        <v>0</v>
      </c>
      <c r="S1207" s="14">
        <v>6.84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2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0</v>
      </c>
      <c r="R1209" s="14">
        <v>0</v>
      </c>
      <c r="S1209" s="14">
        <v>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0.66666666666666663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1035</v>
      </c>
      <c r="T1211" s="13">
        <v>0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0</v>
      </c>
      <c r="R1212" s="14">
        <v>0</v>
      </c>
      <c r="S1212" s="14">
        <v>22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1.3333333333333333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1.8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980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0</v>
      </c>
      <c r="R1217" s="14">
        <v>0</v>
      </c>
      <c r="S1217" s="14">
        <v>1400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64.8</v>
      </c>
      <c r="R1218" s="14">
        <v>0</v>
      </c>
      <c r="S1218" s="14">
        <v>64.8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700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0</v>
      </c>
      <c r="R1220" s="14">
        <v>0</v>
      </c>
      <c r="S1220" s="14">
        <v>38.839999999999996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46.88</v>
      </c>
      <c r="R1221" s="14">
        <v>0</v>
      </c>
      <c r="S1221" s="14">
        <v>71.446666666666658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49.72</v>
      </c>
      <c r="R1222" s="14">
        <v>0</v>
      </c>
      <c r="S1222" s="14">
        <v>49.72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0</v>
      </c>
      <c r="R1224" s="14">
        <v>0</v>
      </c>
      <c r="S1224" s="14">
        <v>95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31.049999999999997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120</v>
      </c>
      <c r="R1226" s="14">
        <v>0</v>
      </c>
      <c r="S1226" s="14">
        <v>150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0</v>
      </c>
      <c r="R1227" s="14">
        <v>0</v>
      </c>
      <c r="S1227" s="14">
        <v>1030.2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46</v>
      </c>
      <c r="R1229" s="14">
        <v>0</v>
      </c>
      <c r="S1229" s="14">
        <v>46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475</v>
      </c>
      <c r="R1230" s="14">
        <v>0</v>
      </c>
      <c r="S1230" s="14">
        <v>750</v>
      </c>
      <c r="T1230" s="13">
        <v>0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23.28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0</v>
      </c>
      <c r="R1232" s="14">
        <v>0</v>
      </c>
      <c r="S1232" s="14">
        <v>110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3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39.50333333333333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0</v>
      </c>
      <c r="R1235" s="14">
        <v>0</v>
      </c>
      <c r="S1235" s="14">
        <v>3920</v>
      </c>
      <c r="T1235" s="13">
        <v>0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1500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1575.29</v>
      </c>
      <c r="R1237" s="14">
        <v>0</v>
      </c>
      <c r="S1237" s="14">
        <v>1260.472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0</v>
      </c>
      <c r="R1238" s="14">
        <v>0</v>
      </c>
      <c r="S1238" s="14">
        <v>583.33333333333326</v>
      </c>
      <c r="T1238" s="13">
        <v>0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15.36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12</v>
      </c>
      <c r="R1241" s="14">
        <v>0</v>
      </c>
      <c r="S1241" s="14">
        <v>12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648</v>
      </c>
      <c r="R1242" s="14">
        <v>0</v>
      </c>
      <c r="S1242" s="14">
        <v>639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0</v>
      </c>
      <c r="R1243" s="14">
        <v>0</v>
      </c>
      <c r="S1243" s="14">
        <v>364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1820</v>
      </c>
      <c r="R1244" s="14">
        <v>0</v>
      </c>
      <c r="S1244" s="14">
        <v>1542.4333333333334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31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-58.260000000000005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900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3.0666666666666664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77.433333333333337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60</v>
      </c>
      <c r="R1251" s="14">
        <v>0</v>
      </c>
      <c r="S1251" s="14">
        <v>173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60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0</v>
      </c>
      <c r="R1254" s="14">
        <v>0</v>
      </c>
      <c r="S1254" s="14">
        <v>2000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0</v>
      </c>
      <c r="R1255" s="14">
        <v>0</v>
      </c>
      <c r="S1255" s="14">
        <v>221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2.1</v>
      </c>
      <c r="R1258" s="14">
        <v>0</v>
      </c>
      <c r="S1258" s="14">
        <v>11.905000000000001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118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0</v>
      </c>
      <c r="R1260" s="14">
        <v>0</v>
      </c>
      <c r="S1260" s="14">
        <v>62.5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205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910</v>
      </c>
      <c r="R1262" s="14">
        <v>0</v>
      </c>
      <c r="S1262" s="14">
        <v>910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3640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0</v>
      </c>
      <c r="R1264" s="14">
        <v>0</v>
      </c>
      <c r="S1264" s="14">
        <v>432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0</v>
      </c>
      <c r="R1265" s="14">
        <v>0</v>
      </c>
      <c r="S1265" s="14">
        <v>355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0</v>
      </c>
      <c r="R1267" s="14">
        <v>0</v>
      </c>
      <c r="S1267" s="14">
        <v>460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0</v>
      </c>
      <c r="R1268" s="14">
        <v>0</v>
      </c>
      <c r="S1268" s="14">
        <v>323.2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19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15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8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273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3.0600000000000005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18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2.25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98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0</v>
      </c>
      <c r="R1277" s="14">
        <v>0</v>
      </c>
      <c r="S1277" s="14">
        <v>2000</v>
      </c>
      <c r="T1277" s="13">
        <v>0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1200</v>
      </c>
      <c r="R1278" s="14">
        <v>0</v>
      </c>
      <c r="S1278" s="14">
        <v>2151.4364999999993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0</v>
      </c>
      <c r="R1279" s="14">
        <v>0</v>
      </c>
      <c r="S1279" s="14">
        <v>18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0</v>
      </c>
      <c r="R1280" s="14">
        <v>0</v>
      </c>
      <c r="S1280" s="14">
        <v>0.75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1.4933333333333334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36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0</v>
      </c>
      <c r="R1284" s="14">
        <v>0</v>
      </c>
      <c r="S1284" s="14">
        <v>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1.1200000000000001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20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0</v>
      </c>
      <c r="R1287" s="14">
        <v>0</v>
      </c>
      <c r="S1287" s="14">
        <v>45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0</v>
      </c>
      <c r="R1288" s="14">
        <v>0</v>
      </c>
      <c r="S1288" s="14">
        <v>200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2.333333333333333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0</v>
      </c>
      <c r="R1291" s="14">
        <v>0</v>
      </c>
      <c r="S1291" s="14">
        <v>150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0</v>
      </c>
      <c r="R1293" s="14">
        <v>0</v>
      </c>
      <c r="S1293" s="14">
        <v>1000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0.7466666666666667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522.04458333333332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500</v>
      </c>
      <c r="T1298" s="13">
        <v>0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0</v>
      </c>
      <c r="R1300" s="14">
        <v>0</v>
      </c>
      <c r="S1300" s="14">
        <v>95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115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0</v>
      </c>
      <c r="R1302" s="14">
        <v>0</v>
      </c>
      <c r="S1302" s="14">
        <v>102.77000000000001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70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0</v>
      </c>
      <c r="R1306" s="14">
        <v>0</v>
      </c>
      <c r="S1306" s="14">
        <v>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120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0</v>
      </c>
      <c r="R1308" s="14">
        <v>0</v>
      </c>
      <c r="S1308" s="14">
        <v>150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500</v>
      </c>
      <c r="R1309" s="14">
        <v>0</v>
      </c>
      <c r="S1309" s="14">
        <v>725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0</v>
      </c>
      <c r="R1313" s="14">
        <v>0</v>
      </c>
      <c r="S1313" s="14">
        <v>1063.68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1976.4449999999999</v>
      </c>
      <c r="R1314" s="14">
        <v>0</v>
      </c>
      <c r="S1314" s="14">
        <v>2000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0</v>
      </c>
      <c r="R1315" s="14">
        <v>0</v>
      </c>
      <c r="S1315" s="14">
        <v>300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666.66666666666663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2.8833333333333333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700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0</v>
      </c>
      <c r="R1320" s="14">
        <v>0</v>
      </c>
      <c r="S1320" s="14">
        <v>1000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0</v>
      </c>
      <c r="R1321" s="14">
        <v>0</v>
      </c>
      <c r="S1321" s="14">
        <v>443.26050000000004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3.6799999999999997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0</v>
      </c>
      <c r="R1324" s="14">
        <v>0</v>
      </c>
      <c r="S1324" s="14">
        <v>1400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0</v>
      </c>
      <c r="R1325" s="14">
        <v>0</v>
      </c>
      <c r="S1325" s="14">
        <v>53.333333333333336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0</v>
      </c>
      <c r="R1326" s="14">
        <v>0</v>
      </c>
      <c r="S1326" s="14">
        <v>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9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0.95416666666666661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35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20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0.7466666666666667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1820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0</v>
      </c>
      <c r="R1334" s="14">
        <v>0</v>
      </c>
      <c r="S1334" s="14">
        <v>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0</v>
      </c>
      <c r="R1336" s="14">
        <v>0</v>
      </c>
      <c r="S1336" s="14">
        <v>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192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0</v>
      </c>
      <c r="R1338" s="14">
        <v>0</v>
      </c>
      <c r="S1338" s="14">
        <v>120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5.5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6.666666666666667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0</v>
      </c>
      <c r="R1342" s="14">
        <v>0</v>
      </c>
      <c r="S1342" s="14">
        <v>756.48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0</v>
      </c>
      <c r="R1346" s="14">
        <v>0</v>
      </c>
      <c r="S1346" s="14">
        <v>23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1500</v>
      </c>
      <c r="T1347" s="13">
        <v>0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0</v>
      </c>
      <c r="R1348" s="14">
        <v>0</v>
      </c>
      <c r="S1348" s="14">
        <v>1000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10.8</v>
      </c>
      <c r="R1349" s="14">
        <v>0</v>
      </c>
      <c r="S1349" s="14">
        <v>10.8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0</v>
      </c>
      <c r="R1350" s="14">
        <v>0</v>
      </c>
      <c r="S1350" s="14">
        <v>10.399999999999999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21.580000000000002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>
        <v>0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4.1066666666666674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75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9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45.28</v>
      </c>
      <c r="R1356" s="14">
        <v>0</v>
      </c>
      <c r="S1356" s="14">
        <v>45.28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0</v>
      </c>
      <c r="R1357" s="14">
        <v>0</v>
      </c>
      <c r="S1357" s="14">
        <v>910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0</v>
      </c>
      <c r="R1358" s="14">
        <v>0</v>
      </c>
      <c r="S1358" s="14">
        <v>606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0</v>
      </c>
      <c r="R1359" s="14">
        <v>0</v>
      </c>
      <c r="S1359" s="14">
        <v>355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78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0</v>
      </c>
      <c r="R1361" s="14">
        <v>0</v>
      </c>
      <c r="S1361" s="14">
        <v>1960</v>
      </c>
      <c r="T1361" s="13">
        <v>0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0</v>
      </c>
      <c r="R1362" s="14">
        <v>0</v>
      </c>
      <c r="S1362" s="14">
        <v>1000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0</v>
      </c>
      <c r="R1363" s="14">
        <v>0</v>
      </c>
      <c r="S1363" s="14">
        <v>-20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0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0</v>
      </c>
      <c r="R1365" s="14">
        <v>0</v>
      </c>
      <c r="S1365" s="14">
        <v>980</v>
      </c>
      <c r="T1365" s="13">
        <v>0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0</v>
      </c>
      <c r="R1366" s="14">
        <v>0</v>
      </c>
      <c r="S1366" s="14">
        <v>3386.88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0</v>
      </c>
      <c r="R1367" s="14">
        <v>0</v>
      </c>
      <c r="S1367" s="14">
        <v>215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0</v>
      </c>
      <c r="R1368" s="14">
        <v>0</v>
      </c>
      <c r="S1368" s="14">
        <v>500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23.689999999999998</v>
      </c>
      <c r="R1369" s="14">
        <v>0</v>
      </c>
      <c r="S1369" s="14">
        <v>18.099083333333333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107</v>
      </c>
      <c r="R1370" s="14">
        <v>0</v>
      </c>
      <c r="S1370" s="14">
        <v>67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94.8</v>
      </c>
      <c r="R1373" s="14">
        <v>0</v>
      </c>
      <c r="S1373" s="14">
        <v>29.229999999999997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11.6</v>
      </c>
      <c r="R1374" s="14">
        <v>0</v>
      </c>
      <c r="S1374" s="14">
        <v>11.6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0</v>
      </c>
      <c r="R1375" s="14">
        <v>0</v>
      </c>
      <c r="S1375" s="14">
        <v>365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28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0</v>
      </c>
      <c r="R1377" s="14">
        <v>0</v>
      </c>
      <c r="S1377" s="14">
        <v>78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0</v>
      </c>
      <c r="R1378" s="14">
        <v>0</v>
      </c>
      <c r="S1378" s="14">
        <v>775.68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0</v>
      </c>
      <c r="R1379" s="14">
        <v>0</v>
      </c>
      <c r="S1379" s="14">
        <v>75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0</v>
      </c>
      <c r="R1382" s="14">
        <v>0</v>
      </c>
      <c r="S1382" s="14">
        <v>858.5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0.66666666666666663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18.399999999999999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0</v>
      </c>
      <c r="R1385" s="14">
        <v>0</v>
      </c>
      <c r="S1385" s="14">
        <v>52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3</v>
      </c>
      <c r="R1386" s="14">
        <v>0</v>
      </c>
      <c r="S1386" s="14">
        <v>3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980</v>
      </c>
      <c r="T1387" s="13">
        <v>0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1500</v>
      </c>
      <c r="R1388" s="14">
        <v>0</v>
      </c>
      <c r="S1388" s="14">
        <v>1500</v>
      </c>
      <c r="T1388" s="13">
        <v>0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-900</v>
      </c>
      <c r="R1389" s="14">
        <v>0</v>
      </c>
      <c r="S1389" s="14">
        <v>2304.1666666666665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0</v>
      </c>
      <c r="R1390" s="14">
        <v>0</v>
      </c>
      <c r="S1390" s="14">
        <v>758.07150000000001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0</v>
      </c>
      <c r="R1391" s="14">
        <v>0</v>
      </c>
      <c r="S1391" s="14">
        <v>4944.1799999999994</v>
      </c>
      <c r="T1391" s="13">
        <v>0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127.6</v>
      </c>
      <c r="R1392" s="14">
        <v>0</v>
      </c>
      <c r="S1392" s="14">
        <v>127.6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0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75.84</v>
      </c>
      <c r="R1394" s="14">
        <v>0</v>
      </c>
      <c r="S1394" s="14">
        <v>75.84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0.25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0.25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0</v>
      </c>
      <c r="R1397" s="14">
        <v>0</v>
      </c>
      <c r="S1397" s="14">
        <v>1030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60</v>
      </c>
      <c r="R1399" s="14">
        <v>0</v>
      </c>
      <c r="S1399" s="14">
        <v>88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>
        <v>0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132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4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4.333333333333333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200</v>
      </c>
      <c r="R1404" s="14">
        <v>0</v>
      </c>
      <c r="S1404" s="14">
        <v>200</v>
      </c>
      <c r="T1404" s="13">
        <v>0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0</v>
      </c>
      <c r="R1405" s="14">
        <v>0</v>
      </c>
      <c r="S1405" s="14">
        <v>0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1.0833333333333335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8</v>
      </c>
      <c r="R1407" s="14">
        <v>0</v>
      </c>
      <c r="S1407" s="14">
        <v>8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118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3.36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134.4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10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14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0</v>
      </c>
      <c r="R1413" s="14">
        <v>0</v>
      </c>
      <c r="S1413" s="14">
        <v>300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588</v>
      </c>
      <c r="R1414" s="14">
        <v>0</v>
      </c>
      <c r="S1414" s="14">
        <v>294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844.8</v>
      </c>
      <c r="R1416" s="14">
        <v>0</v>
      </c>
      <c r="S1416" s="14">
        <v>2212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0</v>
      </c>
      <c r="R1417" s="14">
        <v>0</v>
      </c>
      <c r="S1417" s="14">
        <v>556.79999999999995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0.96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72</v>
      </c>
      <c r="R1420" s="14">
        <v>0</v>
      </c>
      <c r="S1420" s="14">
        <v>134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0</v>
      </c>
      <c r="R1421" s="14">
        <v>0</v>
      </c>
      <c r="S1421" s="14">
        <v>16.649999999999999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16.2</v>
      </c>
      <c r="R1422" s="14">
        <v>0</v>
      </c>
      <c r="S1422" s="14">
        <v>24.299999999999997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0.51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94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39.866666666666667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9.6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19.8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18.900000000000002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0</v>
      </c>
      <c r="R1430" s="14">
        <v>0</v>
      </c>
      <c r="S1430" s="14">
        <v>8.5499999999999989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0</v>
      </c>
      <c r="R1431" s="14">
        <v>0</v>
      </c>
      <c r="S1431" s="14">
        <v>112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0</v>
      </c>
      <c r="R1432" s="14">
        <v>0</v>
      </c>
      <c r="S1432" s="14">
        <v>556.79999999999995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2.5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264</v>
      </c>
      <c r="R1434" s="14">
        <v>0</v>
      </c>
      <c r="S1434" s="14">
        <v>24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0</v>
      </c>
      <c r="R1435" s="14">
        <v>0</v>
      </c>
      <c r="S1435" s="14">
        <v>16.666666666666664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6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4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30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1662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48</v>
      </c>
      <c r="R1441" s="14">
        <v>0</v>
      </c>
      <c r="S1441" s="14">
        <v>36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2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1100</v>
      </c>
      <c r="R1443" s="14">
        <v>0</v>
      </c>
      <c r="S1443" s="14">
        <v>1035</v>
      </c>
      <c r="T1443" s="13">
        <v>0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11.25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0</v>
      </c>
      <c r="R1445" s="14">
        <v>0</v>
      </c>
      <c r="S1445" s="14">
        <v>10.799999999999999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0.25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6</v>
      </c>
      <c r="R1448" s="14">
        <v>0</v>
      </c>
      <c r="S1448" s="14">
        <v>6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0</v>
      </c>
      <c r="R1449" s="14">
        <v>0</v>
      </c>
      <c r="S1449" s="14">
        <v>153.17708333333331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6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5.7675000000000001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0</v>
      </c>
      <c r="R1454" s="14">
        <v>0</v>
      </c>
      <c r="S1454" s="14">
        <v>781.66949999999986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24.150000000000002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6.9783333333333335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4.6666666666666661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0</v>
      </c>
      <c r="R1459" s="14">
        <v>0</v>
      </c>
      <c r="S1459" s="14">
        <v>313.67899999999997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4.8391666666666664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0</v>
      </c>
      <c r="R1461" s="14">
        <v>0</v>
      </c>
      <c r="S1461" s="14">
        <v>0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0.25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7.68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5</v>
      </c>
      <c r="R1464" s="14">
        <v>0</v>
      </c>
      <c r="S1464" s="14">
        <v>5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5.5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910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120</v>
      </c>
      <c r="R1467" s="14">
        <v>0</v>
      </c>
      <c r="S1467" s="14">
        <v>120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300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200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24</v>
      </c>
      <c r="R1470" s="14">
        <v>0</v>
      </c>
      <c r="S1470" s="14">
        <v>24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10.75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0</v>
      </c>
      <c r="R1473" s="14">
        <v>0</v>
      </c>
      <c r="S1473" s="14">
        <v>250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0</v>
      </c>
      <c r="R1474" s="14">
        <v>0</v>
      </c>
      <c r="S1474" s="14">
        <v>6.458333333333333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500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9.6</v>
      </c>
      <c r="R1476" s="14">
        <v>0</v>
      </c>
      <c r="S1476" s="14">
        <v>9.6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0</v>
      </c>
      <c r="R1477" s="14">
        <v>0</v>
      </c>
      <c r="S1477" s="14">
        <v>19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10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1820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4.5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0</v>
      </c>
      <c r="R1481" s="14">
        <v>0</v>
      </c>
      <c r="S1481" s="14">
        <v>180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0</v>
      </c>
      <c r="R1482" s="14">
        <v>0</v>
      </c>
      <c r="S1482" s="14">
        <v>500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0</v>
      </c>
      <c r="R1483" s="14">
        <v>0</v>
      </c>
      <c r="S1483" s="14">
        <v>2305.3649999999998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576</v>
      </c>
      <c r="R1484" s="14">
        <v>0</v>
      </c>
      <c r="S1484" s="14">
        <v>0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400</v>
      </c>
      <c r="R1485" s="14">
        <v>0</v>
      </c>
      <c r="S1485" s="14">
        <v>400</v>
      </c>
      <c r="T1485" s="13">
        <v>0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0</v>
      </c>
      <c r="R1486" s="14">
        <v>0</v>
      </c>
      <c r="S1486" s="14">
        <v>250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3.24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8.4</v>
      </c>
      <c r="R1488" s="14">
        <v>0</v>
      </c>
      <c r="S1488" s="14">
        <v>15.14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4.3999999999999995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0</v>
      </c>
      <c r="R1490" s="14">
        <v>0</v>
      </c>
      <c r="S1490" s="14">
        <v>100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0</v>
      </c>
      <c r="R1491" s="14">
        <v>0</v>
      </c>
      <c r="S1491" s="14">
        <v>12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0</v>
      </c>
      <c r="R1492" s="14">
        <v>0</v>
      </c>
      <c r="S1492" s="14">
        <v>119.75999999999999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9.6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288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33.413333333333334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72</v>
      </c>
      <c r="R1496" s="14">
        <v>0</v>
      </c>
      <c r="S1496" s="14">
        <v>71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500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88.8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0</v>
      </c>
      <c r="R1499" s="14">
        <v>0</v>
      </c>
      <c r="S1499" s="14">
        <v>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18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0</v>
      </c>
      <c r="R1501" s="14">
        <v>0</v>
      </c>
      <c r="S1501" s="14">
        <v>211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0</v>
      </c>
      <c r="R1502" s="14">
        <v>0</v>
      </c>
      <c r="S1502" s="14">
        <v>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0</v>
      </c>
      <c r="R1503" s="14">
        <v>0</v>
      </c>
      <c r="S1503" s="14">
        <v>27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0</v>
      </c>
      <c r="R1504" s="14">
        <v>0</v>
      </c>
      <c r="S1504" s="14">
        <v>26.9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15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14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910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2167</v>
      </c>
      <c r="T1508" s="13">
        <v>0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0</v>
      </c>
      <c r="R1509" s="14">
        <v>0</v>
      </c>
      <c r="S1509" s="14">
        <v>0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0</v>
      </c>
      <c r="R1510" s="14">
        <v>0</v>
      </c>
      <c r="S1510" s="14">
        <v>250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41.400000000000006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542.22199999999998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40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0</v>
      </c>
      <c r="R1515" s="14">
        <v>0</v>
      </c>
      <c r="S1515" s="14">
        <v>700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0.375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0</v>
      </c>
      <c r="R1517" s="14">
        <v>0</v>
      </c>
      <c r="S1517" s="14">
        <v>200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264.95999999999998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0</v>
      </c>
      <c r="R1519" s="14">
        <v>0</v>
      </c>
      <c r="S1519" s="14">
        <v>24.533333333333331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0</v>
      </c>
      <c r="R1520" s="14">
        <v>0</v>
      </c>
      <c r="S1520" s="14">
        <v>247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600</v>
      </c>
      <c r="R1521" s="14">
        <v>0</v>
      </c>
      <c r="S1521" s="14">
        <v>400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0.6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0.7466666666666667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39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400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17.5</v>
      </c>
      <c r="R1527" s="14">
        <v>0</v>
      </c>
      <c r="S1527" s="14">
        <v>17.5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19.8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363.6</v>
      </c>
      <c r="R1530" s="14">
        <v>0</v>
      </c>
      <c r="S1530" s="14">
        <v>600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96</v>
      </c>
      <c r="R1531" s="14">
        <v>0</v>
      </c>
      <c r="S1531" s="14">
        <v>48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300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0</v>
      </c>
      <c r="R1535" s="14">
        <v>0</v>
      </c>
      <c r="S1535" s="14">
        <v>290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126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600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>
        <v>0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0</v>
      </c>
      <c r="R1543" s="14">
        <v>0</v>
      </c>
      <c r="S1543" s="14">
        <v>376.5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0</v>
      </c>
      <c r="R1544" s="14">
        <v>0</v>
      </c>
      <c r="S1544" s="14">
        <v>1000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0</v>
      </c>
      <c r="R1547" s="14">
        <v>0</v>
      </c>
      <c r="S1547" s="14">
        <v>120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472.32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0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396.55</v>
      </c>
      <c r="R1553" s="14">
        <v>0</v>
      </c>
      <c r="S1553" s="14">
        <v>460.03749999999997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0</v>
      </c>
      <c r="R1556" s="14">
        <v>0</v>
      </c>
      <c r="S1556" s="14">
        <v>133.33333333333334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371.28000000000003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0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0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358.91999999999996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0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168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12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326.39999999999998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1030.2</v>
      </c>
      <c r="R1569" s="14">
        <v>0</v>
      </c>
      <c r="S1569" s="14">
        <v>1030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0</v>
      </c>
      <c r="R1570" s="14">
        <v>0</v>
      </c>
      <c r="S1570" s="14">
        <v>330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240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242.4</v>
      </c>
      <c r="R1572" s="14">
        <v>0</v>
      </c>
      <c r="S1572" s="14">
        <v>242.4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800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51.350000000000009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0</v>
      </c>
      <c r="R1577" s="14">
        <v>0</v>
      </c>
      <c r="S1577" s="14">
        <v>80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166.66666666666666</v>
      </c>
      <c r="T1578" s="13">
        <v>0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48</v>
      </c>
      <c r="R1579" s="14">
        <v>0</v>
      </c>
      <c r="S1579" s="14">
        <v>48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1188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0</v>
      </c>
      <c r="R1583" s="14">
        <v>0</v>
      </c>
      <c r="S1583" s="14">
        <v>120.83333333333334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255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50</v>
      </c>
      <c r="R1587" s="14">
        <v>0</v>
      </c>
      <c r="S1587" s="14">
        <v>50</v>
      </c>
      <c r="T1587" s="13">
        <v>0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>
        <v>0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34.433333333333337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0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76.8</v>
      </c>
      <c r="R1592" s="14">
        <v>0</v>
      </c>
      <c r="S1592" s="14">
        <v>150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-18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7.8999999999999995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6.666666666666667</v>
      </c>
      <c r="T1596" s="13">
        <v>0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21.12</v>
      </c>
      <c r="R1597" s="14">
        <v>0</v>
      </c>
      <c r="S1597" s="14">
        <v>594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0</v>
      </c>
      <c r="R1600" s="14">
        <v>0</v>
      </c>
      <c r="S1600" s="14">
        <v>311.5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0</v>
      </c>
      <c r="R1601" s="14">
        <v>0</v>
      </c>
      <c r="S1601" s="14">
        <v>145.83333333333331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0</v>
      </c>
      <c r="R1604" s="14">
        <v>0</v>
      </c>
      <c r="S1604" s="14">
        <v>29.495000000000001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100</v>
      </c>
      <c r="R1608" s="14">
        <v>0</v>
      </c>
      <c r="S1608" s="14">
        <v>78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0</v>
      </c>
      <c r="R1610" s="14">
        <v>0</v>
      </c>
      <c r="S1610" s="14">
        <v>82.05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200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0</v>
      </c>
      <c r="R1612" s="14">
        <v>0</v>
      </c>
      <c r="S1612" s="14">
        <v>594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0</v>
      </c>
      <c r="R1613" s="14">
        <v>0</v>
      </c>
      <c r="S1613" s="14">
        <v>83.226666666666659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67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0</v>
      </c>
      <c r="R1616" s="14">
        <v>0</v>
      </c>
      <c r="S1616" s="14">
        <v>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0</v>
      </c>
      <c r="R1617" s="14">
        <v>0</v>
      </c>
      <c r="S1617" s="14">
        <v>486.38888888888886</v>
      </c>
      <c r="T1617" s="13">
        <v>0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109.16416666666667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14.4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690</v>
      </c>
      <c r="R1621" s="14">
        <v>0</v>
      </c>
      <c r="S1621" s="14">
        <v>1370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5100</v>
      </c>
      <c r="R1623" s="14">
        <v>0</v>
      </c>
      <c r="S1623" s="14">
        <v>5220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15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929.07</v>
      </c>
      <c r="R1626" s="14">
        <v>0</v>
      </c>
      <c r="S1626" s="14">
        <v>3158.319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80</v>
      </c>
      <c r="R1627" s="14">
        <v>0</v>
      </c>
      <c r="S1627" s="14">
        <v>120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0</v>
      </c>
      <c r="R1628" s="14">
        <v>0</v>
      </c>
      <c r="S1628" s="14">
        <v>0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4.166666666666667</v>
      </c>
      <c r="T1629" s="13">
        <v>0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14.166666666666668</v>
      </c>
      <c r="T1630" s="13">
        <v>0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96</v>
      </c>
      <c r="R1631" s="14">
        <v>0</v>
      </c>
      <c r="S1631" s="14">
        <v>6.75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0.41666666666666669</v>
      </c>
      <c r="T1632" s="13">
        <v>0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62.5</v>
      </c>
      <c r="T1633" s="13">
        <v>0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0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0</v>
      </c>
      <c r="R1635" s="14">
        <v>0</v>
      </c>
      <c r="S1635" s="14">
        <v>121.2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20.833333333333332</v>
      </c>
      <c r="T1636" s="13">
        <v>0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120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500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0</v>
      </c>
      <c r="R1639" s="14">
        <v>0</v>
      </c>
      <c r="S1639" s="14">
        <v>6650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12960</v>
      </c>
      <c r="R1640" s="14">
        <v>0</v>
      </c>
      <c r="S1640" s="14">
        <v>15120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10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0</v>
      </c>
      <c r="R1642" s="14">
        <v>0</v>
      </c>
      <c r="S1642" s="14">
        <v>85.239999999999981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0</v>
      </c>
      <c r="R1643" s="14">
        <v>0</v>
      </c>
      <c r="S1643" s="14">
        <v>180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495</v>
      </c>
      <c r="R1645" s="14">
        <v>0</v>
      </c>
      <c r="S1645" s="14">
        <v>495</v>
      </c>
      <c r="T1645" s="13">
        <v>0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0</v>
      </c>
      <c r="R1646" s="14">
        <v>0</v>
      </c>
      <c r="S1646" s="14">
        <v>11.666666666666668</v>
      </c>
      <c r="T1646" s="13">
        <v>0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121.2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72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0</v>
      </c>
      <c r="R1649" s="14">
        <v>0</v>
      </c>
      <c r="S1649" s="14">
        <v>15.010000000000002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91.25</v>
      </c>
      <c r="T1650" s="13">
        <v>0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22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22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0</v>
      </c>
      <c r="R1653" s="14">
        <v>0</v>
      </c>
      <c r="S1653" s="14">
        <v>48.48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25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100.8</v>
      </c>
      <c r="R1656" s="14">
        <v>0</v>
      </c>
      <c r="S1656" s="14">
        <v>0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44.355499999999999</v>
      </c>
      <c r="T1657" s="13">
        <v>0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77.760000000000005</v>
      </c>
      <c r="R1659" s="14">
        <v>0</v>
      </c>
      <c r="S1659" s="14">
        <v>233.28000000000003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60</v>
      </c>
      <c r="R1660" s="14">
        <v>0</v>
      </c>
      <c r="S1660" s="14">
        <v>240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29.166666666666664</v>
      </c>
      <c r="T1662" s="13">
        <v>0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0</v>
      </c>
      <c r="R1664" s="14">
        <v>0</v>
      </c>
      <c r="S1664" s="14">
        <v>290.88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0</v>
      </c>
      <c r="R1665" s="14">
        <v>0</v>
      </c>
      <c r="S1665" s="14">
        <v>400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45</v>
      </c>
      <c r="R1666" s="14">
        <v>0</v>
      </c>
      <c r="S1666" s="14">
        <v>45</v>
      </c>
      <c r="T1666" s="13">
        <v>0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62.160000000000004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63.99</v>
      </c>
      <c r="R1668" s="14">
        <v>0</v>
      </c>
      <c r="S1668" s="14">
        <v>63.99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0</v>
      </c>
      <c r="R1669" s="14">
        <v>0</v>
      </c>
      <c r="S1669" s="14">
        <v>89.583333333333343</v>
      </c>
      <c r="T1669" s="13">
        <v>0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65</v>
      </c>
      <c r="R1670" s="14">
        <v>0</v>
      </c>
      <c r="S1670" s="14">
        <v>65</v>
      </c>
      <c r="T1670" s="13">
        <v>0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75</v>
      </c>
      <c r="T1671" s="13">
        <v>0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>
        <v>0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0</v>
      </c>
      <c r="R1673" s="14">
        <v>0</v>
      </c>
      <c r="S1673" s="14">
        <v>2100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2364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46.350000000000009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100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0</v>
      </c>
      <c r="R1680" s="14">
        <v>0</v>
      </c>
      <c r="S1680" s="14">
        <v>180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36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40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20</v>
      </c>
      <c r="R1686" s="14">
        <v>0</v>
      </c>
      <c r="S1686" s="14">
        <v>20</v>
      </c>
      <c r="T1686" s="13">
        <v>0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40.4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47.4</v>
      </c>
      <c r="R1688" s="14">
        <v>0</v>
      </c>
      <c r="S1688" s="14">
        <v>24.49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0</v>
      </c>
      <c r="R1689" s="14">
        <v>0</v>
      </c>
      <c r="S1689" s="14">
        <v>75</v>
      </c>
      <c r="T1689" s="13">
        <v>0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0.41666666666666669</v>
      </c>
      <c r="T1690" s="13">
        <v>0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28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0</v>
      </c>
      <c r="R1692" s="14">
        <v>0</v>
      </c>
      <c r="S1692" s="14">
        <v>0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0</v>
      </c>
      <c r="R1693" s="14">
        <v>0</v>
      </c>
      <c r="S1693" s="14">
        <v>27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0</v>
      </c>
      <c r="R1694" s="14">
        <v>0</v>
      </c>
      <c r="S1694" s="14">
        <v>86.72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201.74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0</v>
      </c>
      <c r="R1698" s="14">
        <v>0</v>
      </c>
      <c r="S1698" s="14">
        <v>72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437.4</v>
      </c>
      <c r="R1700" s="14">
        <v>0</v>
      </c>
      <c r="S1700" s="14">
        <v>464.4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4.8</v>
      </c>
      <c r="R1702" s="14">
        <v>0</v>
      </c>
      <c r="S1702" s="14">
        <v>38.4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0</v>
      </c>
      <c r="R1703" s="14">
        <v>0</v>
      </c>
      <c r="S1703" s="14">
        <v>0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0</v>
      </c>
      <c r="R1704" s="14">
        <v>0</v>
      </c>
      <c r="S1704" s="14">
        <v>80.118750000000006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53.653749999999995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0</v>
      </c>
      <c r="R1706" s="14">
        <v>0</v>
      </c>
      <c r="S1706" s="14">
        <v>34.76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3.04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51.039999999999992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12.5</v>
      </c>
      <c r="T1710" s="13">
        <v>0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22.190416666666664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5.62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0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0</v>
      </c>
      <c r="R1715" s="14">
        <v>0</v>
      </c>
      <c r="S1715" s="14">
        <v>50.833333333333336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0</v>
      </c>
      <c r="R1716" s="14">
        <v>0</v>
      </c>
      <c r="S1716" s="14">
        <v>56.100000000000009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31.995000000000001</v>
      </c>
      <c r="R1717" s="14">
        <v>0</v>
      </c>
      <c r="S1717" s="14">
        <v>0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6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51.333333333333329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50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448.48</v>
      </c>
      <c r="R1721" s="14">
        <v>0</v>
      </c>
      <c r="S1721" s="14">
        <v>448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0</v>
      </c>
      <c r="R1722" s="14">
        <v>0</v>
      </c>
      <c r="S1722" s="14">
        <v>18.3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25</v>
      </c>
      <c r="R1723" s="14">
        <v>0</v>
      </c>
      <c r="S1723" s="14">
        <v>60.416666666666671</v>
      </c>
      <c r="T1723" s="13">
        <v>0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0</v>
      </c>
      <c r="R1724" s="14">
        <v>0</v>
      </c>
      <c r="S1724" s="14">
        <v>63.333333333333329</v>
      </c>
      <c r="T1724" s="13">
        <v>0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0</v>
      </c>
      <c r="R1725" s="14">
        <v>0</v>
      </c>
      <c r="S1725" s="14">
        <v>100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0</v>
      </c>
      <c r="R1726" s="14">
        <v>0</v>
      </c>
      <c r="S1726" s="14">
        <v>60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32.39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0</v>
      </c>
      <c r="R1728" s="14">
        <v>0</v>
      </c>
      <c r="S1728" s="14">
        <v>2.37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70</v>
      </c>
      <c r="T1729" s="13">
        <v>0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0</v>
      </c>
      <c r="R1730" s="14">
        <v>0</v>
      </c>
      <c r="S1730" s="14">
        <v>49.583333333333329</v>
      </c>
      <c r="T1730" s="13">
        <v>0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18.326666666666664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0</v>
      </c>
      <c r="R1732" s="14">
        <v>0</v>
      </c>
      <c r="S1732" s="14">
        <v>400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0</v>
      </c>
      <c r="R1733" s="14">
        <v>0</v>
      </c>
      <c r="S1733" s="14">
        <v>29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0</v>
      </c>
      <c r="R1734" s="14">
        <v>0</v>
      </c>
      <c r="S1734" s="14">
        <v>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0</v>
      </c>
      <c r="R1735" s="14">
        <v>0</v>
      </c>
      <c r="S1735" s="14">
        <v>7.5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0</v>
      </c>
      <c r="R1736" s="14">
        <v>0</v>
      </c>
      <c r="S1736" s="14">
        <v>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0</v>
      </c>
      <c r="R1738" s="14">
        <v>0</v>
      </c>
      <c r="S1738" s="14">
        <v>31.28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>
        <v>0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17.170000000000002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27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0</v>
      </c>
      <c r="R1746" s="14">
        <v>0</v>
      </c>
      <c r="S1746" s="14">
        <v>67.916666666666657</v>
      </c>
      <c r="T1746" s="13">
        <v>0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68.75</v>
      </c>
      <c r="T1747" s="13">
        <v>0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0</v>
      </c>
      <c r="R1748" s="14">
        <v>0</v>
      </c>
      <c r="S1748" s="14">
        <v>52.14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38.5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18.666666666666664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42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9.6</v>
      </c>
      <c r="R1753" s="14">
        <v>0</v>
      </c>
      <c r="S1753" s="14">
        <v>40.320000000000007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0</v>
      </c>
      <c r="R1754" s="14">
        <v>0</v>
      </c>
      <c r="S1754" s="14">
        <v>300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28.8</v>
      </c>
      <c r="R1755" s="14">
        <v>0</v>
      </c>
      <c r="S1755" s="14">
        <v>0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7.68</v>
      </c>
      <c r="R1756" s="14">
        <v>0</v>
      </c>
      <c r="S1756" s="14">
        <v>19.14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0</v>
      </c>
      <c r="R1757" s="14">
        <v>0</v>
      </c>
      <c r="S1757" s="14">
        <v>150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62.160000000000004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2.9166666666666665</v>
      </c>
      <c r="T1759" s="13">
        <v>0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0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75</v>
      </c>
      <c r="R1761" s="14">
        <v>0</v>
      </c>
      <c r="S1761" s="14">
        <v>75</v>
      </c>
      <c r="T1761" s="13">
        <v>0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20</v>
      </c>
      <c r="R1762" s="14">
        <v>0</v>
      </c>
      <c r="S1762" s="14">
        <v>20</v>
      </c>
      <c r="T1762" s="13">
        <v>0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96</v>
      </c>
      <c r="R1764" s="14">
        <v>0</v>
      </c>
      <c r="S1764" s="14">
        <v>143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29.7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0</v>
      </c>
      <c r="R1767" s="14">
        <v>0</v>
      </c>
      <c r="S1767" s="14">
        <v>5.25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0</v>
      </c>
      <c r="R1771" s="14">
        <v>0</v>
      </c>
      <c r="S1771" s="14">
        <v>32.46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6.32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0</v>
      </c>
      <c r="R1774" s="14">
        <v>0</v>
      </c>
      <c r="S1774" s="14">
        <v>200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0</v>
      </c>
      <c r="R1775" s="14">
        <v>0</v>
      </c>
      <c r="S1775" s="14">
        <v>101.91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7.9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8.3333333333333339</v>
      </c>
      <c r="T1778" s="13">
        <v>0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6.25</v>
      </c>
      <c r="T1779" s="13">
        <v>0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>
        <v>0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11.25</v>
      </c>
      <c r="T1781" s="13">
        <v>0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0</v>
      </c>
      <c r="R1782" s="14">
        <v>0</v>
      </c>
      <c r="S1782" s="14">
        <v>0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0.79999999999999993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0</v>
      </c>
      <c r="R1785" s="14">
        <v>0</v>
      </c>
      <c r="S1785" s="14">
        <v>200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0</v>
      </c>
      <c r="R1787" s="14">
        <v>0</v>
      </c>
      <c r="S1787" s="14">
        <v>60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>
        <v>0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0</v>
      </c>
      <c r="R1789" s="14">
        <v>0</v>
      </c>
      <c r="S1789" s="14">
        <v>12.083333333333334</v>
      </c>
      <c r="T1789" s="13">
        <v>0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0</v>
      </c>
      <c r="R1790" s="14">
        <v>0</v>
      </c>
      <c r="S1790" s="14">
        <v>60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20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0</v>
      </c>
      <c r="R1793" s="14">
        <v>0</v>
      </c>
      <c r="S1793" s="14">
        <v>14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45.84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>
        <v>0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25</v>
      </c>
      <c r="R1796" s="14">
        <v>0</v>
      </c>
      <c r="S1796" s="14">
        <v>25</v>
      </c>
      <c r="T1796" s="13">
        <v>0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4104</v>
      </c>
      <c r="R1797" s="14">
        <v>0</v>
      </c>
      <c r="S1797" s="14">
        <v>4280.491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37.916666666666664</v>
      </c>
      <c r="T1798" s="13">
        <v>0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0</v>
      </c>
      <c r="R1799" s="14">
        <v>0</v>
      </c>
      <c r="S1799" s="14">
        <v>1987.172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0</v>
      </c>
      <c r="R1800" s="14">
        <v>0</v>
      </c>
      <c r="S1800" s="14">
        <v>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0</v>
      </c>
      <c r="R1801" s="14">
        <v>0</v>
      </c>
      <c r="S1801" s="14">
        <v>30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0</v>
      </c>
      <c r="R1802" s="14">
        <v>0</v>
      </c>
      <c r="S1802" s="14">
        <v>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0</v>
      </c>
      <c r="R1803" s="14">
        <v>0</v>
      </c>
      <c r="S1803" s="14">
        <v>529.93849999999998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0</v>
      </c>
      <c r="R1804" s="14">
        <v>0</v>
      </c>
      <c r="S1804" s="14">
        <v>3.2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0</v>
      </c>
      <c r="R1805" s="14">
        <v>0</v>
      </c>
      <c r="S1805" s="14">
        <v>422.4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10.833333333333334</v>
      </c>
      <c r="T1806" s="13">
        <v>0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50.4</v>
      </c>
      <c r="R1807" s="14">
        <v>0</v>
      </c>
      <c r="S1807" s="14">
        <v>173.75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0</v>
      </c>
      <c r="R1808" s="14">
        <v>0</v>
      </c>
      <c r="S1808" s="14">
        <v>124.58333333333333</v>
      </c>
      <c r="T1808" s="13">
        <v>0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17.5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>
        <v>0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19.2</v>
      </c>
      <c r="R1812" s="14">
        <v>0</v>
      </c>
      <c r="S1812" s="14">
        <v>19.2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89.166666666666671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>
        <v>0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>
        <v>0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0</v>
      </c>
      <c r="R1819" s="14">
        <v>0</v>
      </c>
      <c r="S1819" s="14">
        <v>13.75</v>
      </c>
      <c r="T1819" s="13">
        <v>0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>
        <v>0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20</v>
      </c>
      <c r="T1821" s="13">
        <v>0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18.240000000000002</v>
      </c>
      <c r="R1822" s="14">
        <v>0</v>
      </c>
      <c r="S1822" s="14">
        <v>18.240000000000002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112.5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0</v>
      </c>
      <c r="R1824" s="14">
        <v>0</v>
      </c>
      <c r="S1824" s="14">
        <v>0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48.48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0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0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>
        <v>0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10</v>
      </c>
      <c r="R1830" s="14">
        <v>0</v>
      </c>
      <c r="S1830" s="14">
        <v>10</v>
      </c>
      <c r="T1830" s="13">
        <v>0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24.240000000000002</v>
      </c>
      <c r="R1832" s="14">
        <v>0</v>
      </c>
      <c r="S1832" s="14">
        <v>24.240000000000002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2.16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5.53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2.37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5.53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100</v>
      </c>
      <c r="R1839" s="14">
        <v>0</v>
      </c>
      <c r="S1839" s="14">
        <v>327.57899999999995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9.1666666666666679</v>
      </c>
      <c r="T1840" s="13">
        <v>0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11.6945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>
        <v>0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25.041999999999998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>
        <v>0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2.5</v>
      </c>
      <c r="T1845" s="13">
        <v>0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26.88</v>
      </c>
      <c r="R1846" s="14">
        <v>0</v>
      </c>
      <c r="S1846" s="14">
        <v>65.28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0</v>
      </c>
      <c r="R1847" s="14">
        <v>0</v>
      </c>
      <c r="S1847" s="14">
        <v>29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3.45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0</v>
      </c>
      <c r="R1850" s="14">
        <v>0</v>
      </c>
      <c r="S1850" s="14">
        <v>46.5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3.5999999999999996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0</v>
      </c>
      <c r="R1852" s="14">
        <v>0</v>
      </c>
      <c r="S1852" s="14">
        <v>598.32899999999995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6.32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9.9655000000000005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0</v>
      </c>
      <c r="R1856" s="14">
        <v>0</v>
      </c>
      <c r="S1856" s="14">
        <v>419.786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0</v>
      </c>
      <c r="R1857" s="14">
        <v>0</v>
      </c>
      <c r="S1857" s="14">
        <v>201.39999999999998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>
        <v>0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15</v>
      </c>
      <c r="R1862" s="14">
        <v>0</v>
      </c>
      <c r="S1862" s="14">
        <v>15</v>
      </c>
      <c r="T1862" s="13">
        <v>0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0.41666666666666669</v>
      </c>
      <c r="T1863" s="13">
        <v>0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6.666666666666667</v>
      </c>
      <c r="T1864" s="13">
        <v>0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0.83333333333333337</v>
      </c>
      <c r="T1865" s="13">
        <v>0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8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120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1.1200000000000001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0</v>
      </c>
      <c r="R1869" s="14">
        <v>0</v>
      </c>
      <c r="S1869" s="14">
        <v>23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0.5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0</v>
      </c>
      <c r="R1873" s="14">
        <v>0</v>
      </c>
      <c r="S1873" s="14">
        <v>144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0</v>
      </c>
      <c r="R1874" s="14">
        <v>0</v>
      </c>
      <c r="S1874" s="14">
        <v>0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6.0449999999999999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20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0</v>
      </c>
      <c r="R1877" s="14">
        <v>0</v>
      </c>
      <c r="S1877" s="14">
        <v>8.3333333333333339</v>
      </c>
      <c r="T1877" s="13">
        <v>0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0</v>
      </c>
      <c r="R1878" s="14">
        <v>0</v>
      </c>
      <c r="S1878" s="14">
        <v>5</v>
      </c>
      <c r="T1878" s="13">
        <v>0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10</v>
      </c>
      <c r="T1879" s="13">
        <v>0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0</v>
      </c>
      <c r="R1880" s="14">
        <v>0</v>
      </c>
      <c r="S1880" s="14">
        <v>3961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26519.999999999996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4.5833333333333339</v>
      </c>
      <c r="T1882" s="13">
        <v>0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2.916666666666667</v>
      </c>
      <c r="T1883" s="13">
        <v>0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20</v>
      </c>
      <c r="R1884" s="14">
        <v>0</v>
      </c>
      <c r="S1884" s="14">
        <v>20</v>
      </c>
      <c r="T1884" s="13">
        <v>0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0</v>
      </c>
      <c r="R1885" s="14">
        <v>0</v>
      </c>
      <c r="S1885" s="14">
        <v>556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0</v>
      </c>
      <c r="R1886" s="14">
        <v>0</v>
      </c>
      <c r="S1886" s="14">
        <v>26620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20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104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8.4500000000000011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27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9.0399999999999991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7.68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10</v>
      </c>
      <c r="T1896" s="13">
        <v>0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0.83333333333333337</v>
      </c>
      <c r="T1897" s="13">
        <v>0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0</v>
      </c>
      <c r="R1898" s="14">
        <v>0</v>
      </c>
      <c r="S1898" s="14">
        <v>0.83333333333333337</v>
      </c>
      <c r="T1898" s="13">
        <v>0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1.6666666666666667</v>
      </c>
      <c r="T1899" s="13">
        <v>0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2.0833333333333335</v>
      </c>
      <c r="T1900" s="13">
        <v>0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100</v>
      </c>
      <c r="R1901" s="14">
        <v>0</v>
      </c>
      <c r="S1901" s="14">
        <v>56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0</v>
      </c>
      <c r="R1903" s="14">
        <v>0</v>
      </c>
      <c r="S1903" s="14">
        <v>0.36000000000000004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10.399999999999999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0.32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1.65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0</v>
      </c>
      <c r="R1908" s="14">
        <v>0</v>
      </c>
      <c r="S1908" s="14">
        <v>1.5999999999999999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0.39999999999999997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1011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5</v>
      </c>
      <c r="R1916" s="14">
        <v>0</v>
      </c>
      <c r="S1916" s="14">
        <v>5</v>
      </c>
      <c r="T1916" s="13">
        <v>0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5</v>
      </c>
      <c r="T1917" s="13">
        <v>0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2.5</v>
      </c>
      <c r="T1918" s="13">
        <v>0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2.5</v>
      </c>
      <c r="T1919" s="13">
        <v>0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30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0</v>
      </c>
      <c r="R1921" s="14">
        <v>0</v>
      </c>
      <c r="S1921" s="14">
        <v>2.5</v>
      </c>
      <c r="T1921" s="13">
        <v>0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500</v>
      </c>
      <c r="R1922" s="14">
        <v>0</v>
      </c>
      <c r="S1922" s="14">
        <v>1012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2.2399999999999998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1.76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5.76</v>
      </c>
      <c r="R1927" s="14">
        <v>0</v>
      </c>
      <c r="S1927" s="14">
        <v>5.76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0.16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5440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2.916666666666667</v>
      </c>
      <c r="T1934" s="13">
        <v>0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10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3.75</v>
      </c>
      <c r="T1936" s="13">
        <v>0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0.41666666666666669</v>
      </c>
      <c r="T1937" s="13">
        <v>0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1.6666666666666667</v>
      </c>
      <c r="T1938" s="13">
        <v>0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0.41666666666666669</v>
      </c>
      <c r="T1939" s="13">
        <v>0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3.3333333333333335</v>
      </c>
      <c r="T1940" s="13">
        <v>0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20400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5</v>
      </c>
      <c r="T1942" s="13">
        <v>0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0</v>
      </c>
      <c r="R1943" s="14">
        <v>0</v>
      </c>
      <c r="S1943" s="14">
        <v>10.416666666666668</v>
      </c>
      <c r="T1943" s="13">
        <v>0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0</v>
      </c>
      <c r="R1944" s="14">
        <v>0</v>
      </c>
      <c r="S1944" s="14">
        <v>142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0.64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0</v>
      </c>
      <c r="R1947" s="14">
        <v>0</v>
      </c>
      <c r="S1947" s="14">
        <v>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0</v>
      </c>
      <c r="R1948" s="14">
        <v>0</v>
      </c>
      <c r="S1948" s="14">
        <v>2.08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1.1200000000000001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21.466666666666669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26.250000000000004</v>
      </c>
      <c r="T1953" s="13">
        <v>0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28.333333333333336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4.5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31.200000000000003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15</v>
      </c>
      <c r="T1960" s="13">
        <v>0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50</v>
      </c>
      <c r="R1962" s="14">
        <v>0</v>
      </c>
      <c r="S1962" s="14">
        <v>50</v>
      </c>
      <c r="T1962" s="13">
        <v>0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6.25</v>
      </c>
      <c r="T1963" s="13">
        <v>0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11.9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2.37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45</v>
      </c>
      <c r="R1966" s="14">
        <v>0</v>
      </c>
      <c r="S1966" s="14">
        <v>45</v>
      </c>
      <c r="T1966" s="13">
        <v>0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95.625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101.11999999999999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7.875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2.5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0</v>
      </c>
      <c r="R1973" s="14">
        <v>0</v>
      </c>
      <c r="S1973" s="14">
        <v>8.0500000000000007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0</v>
      </c>
      <c r="R1974" s="14">
        <v>0</v>
      </c>
      <c r="S1974" s="14">
        <v>16.590000000000003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0</v>
      </c>
      <c r="R1975" s="14">
        <v>0</v>
      </c>
      <c r="S1975" s="14">
        <v>24.480000000000004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-0.89116666666666666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11.52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3.375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7.27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8.16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4.6745833333333335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0</v>
      </c>
      <c r="R1982" s="14">
        <v>0</v>
      </c>
      <c r="S1982" s="14">
        <v>2000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1.58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150</v>
      </c>
      <c r="R1986" s="14">
        <v>0</v>
      </c>
      <c r="S1986" s="14">
        <v>150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2.4304166666666669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5.833333333333333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34.857500000000002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42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>
        <v>0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3.3333333333333335</v>
      </c>
      <c r="T1992" s="13">
        <v>0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4.166666666666667</v>
      </c>
      <c r="T1993" s="13">
        <v>0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0</v>
      </c>
      <c r="R1994" s="14">
        <v>0</v>
      </c>
      <c r="S1994" s="14">
        <v>60.416666666666671</v>
      </c>
      <c r="T1994" s="13">
        <v>0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0</v>
      </c>
      <c r="R1995" s="14">
        <v>0</v>
      </c>
      <c r="S1995" s="14">
        <v>4.8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0</v>
      </c>
      <c r="R1996" s="14">
        <v>0</v>
      </c>
      <c r="S1996" s="14">
        <v>11.850000000000001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2.0833333333333335</v>
      </c>
      <c r="T1998" s="13">
        <v>0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0.96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0</v>
      </c>
      <c r="R2000" s="14">
        <v>0</v>
      </c>
      <c r="S2000" s="14">
        <v>3.75</v>
      </c>
      <c r="T2000" s="13">
        <v>0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0</v>
      </c>
      <c r="R2001" s="14">
        <v>0</v>
      </c>
      <c r="S2001" s="14">
        <v>2.25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48.5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0</v>
      </c>
      <c r="R2003" s="14">
        <v>0</v>
      </c>
      <c r="S2003" s="14">
        <v>3.5999999999999996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0</v>
      </c>
      <c r="R2004" s="14">
        <v>0</v>
      </c>
      <c r="S2004" s="14">
        <v>18.96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0</v>
      </c>
      <c r="R2005" s="14">
        <v>0</v>
      </c>
      <c r="S2005" s="14">
        <v>33.333333333333336</v>
      </c>
      <c r="T2005" s="13">
        <v>0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9.5833333333333339</v>
      </c>
      <c r="T2006" s="13">
        <v>0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>
        <v>0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10</v>
      </c>
      <c r="T2008" s="13">
        <v>0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0</v>
      </c>
      <c r="R2009" s="14">
        <v>0</v>
      </c>
      <c r="S2009" s="14">
        <v>8.25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>
        <v>0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5.76</v>
      </c>
      <c r="R2013" s="14">
        <v>0</v>
      </c>
      <c r="S2013" s="14">
        <v>5.76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1.6666666666666667</v>
      </c>
      <c r="T2014" s="13">
        <v>0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0</v>
      </c>
      <c r="R2015" s="14">
        <v>0</v>
      </c>
      <c r="S2015" s="14">
        <v>5.8333333333333339</v>
      </c>
      <c r="T2015" s="13">
        <v>0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5</v>
      </c>
      <c r="R2016" s="14">
        <v>0</v>
      </c>
      <c r="S2016" s="14">
        <v>3.3333333333333335</v>
      </c>
      <c r="T2016" s="13">
        <v>0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373.2</v>
      </c>
      <c r="R2017" s="14">
        <v>0</v>
      </c>
      <c r="S2017" s="14">
        <v>373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0</v>
      </c>
      <c r="R2018" s="14">
        <v>0</v>
      </c>
      <c r="S2018" s="14">
        <v>0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0</v>
      </c>
      <c r="R2019" s="14">
        <v>0</v>
      </c>
      <c r="S2019" s="14">
        <v>5.416666666666667</v>
      </c>
      <c r="T2019" s="13">
        <v>0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0.96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2.25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0</v>
      </c>
      <c r="R2022" s="14">
        <v>0</v>
      </c>
      <c r="S2022" s="14">
        <v>16.25</v>
      </c>
      <c r="T2022" s="13">
        <v>0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20</v>
      </c>
      <c r="R2023" s="14">
        <v>0</v>
      </c>
      <c r="S2023" s="14">
        <v>47.083333333333329</v>
      </c>
      <c r="T2023" s="13">
        <v>0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0</v>
      </c>
      <c r="R2024" s="14">
        <v>0</v>
      </c>
      <c r="S2024" s="14">
        <v>14.239999999999998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1.6666666666666667</v>
      </c>
      <c r="T2025" s="13">
        <v>0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2.916666666666667</v>
      </c>
      <c r="T2026" s="13">
        <v>0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0</v>
      </c>
      <c r="R2027" s="14">
        <v>0</v>
      </c>
      <c r="S2027" s="14">
        <v>10.416666666666668</v>
      </c>
      <c r="T2027" s="13">
        <v>0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2.5</v>
      </c>
      <c r="T2028" s="13">
        <v>0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60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0</v>
      </c>
      <c r="R2030" s="14">
        <v>0</v>
      </c>
      <c r="S2030" s="14">
        <v>500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200</v>
      </c>
      <c r="R2032" s="14">
        <v>0</v>
      </c>
      <c r="S2032" s="14">
        <v>200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400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0</v>
      </c>
      <c r="R2036" s="14">
        <v>0</v>
      </c>
      <c r="S2036" s="14">
        <v>937.6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14.4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5</v>
      </c>
      <c r="T2040" s="13">
        <v>0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0</v>
      </c>
      <c r="R2043" s="14">
        <v>0</v>
      </c>
      <c r="S2043" s="14">
        <v>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0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0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0</v>
      </c>
      <c r="R2046" s="14">
        <v>0</v>
      </c>
      <c r="S2046" s="14">
        <v>-2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150</v>
      </c>
      <c r="T2049" s="13">
        <v>0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30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0</v>
      </c>
      <c r="R2052" s="14">
        <v>0</v>
      </c>
      <c r="S2052" s="14">
        <v>219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0</v>
      </c>
      <c r="R2054" s="14">
        <v>0</v>
      </c>
      <c r="S2054" s="14">
        <v>0</v>
      </c>
      <c r="T2054" s="13">
        <v>0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0</v>
      </c>
      <c r="R2055" s="14">
        <v>0</v>
      </c>
      <c r="S2055" s="14">
        <v>72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0</v>
      </c>
      <c r="R2057" s="14">
        <v>0</v>
      </c>
      <c r="S2057" s="14">
        <v>30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480</v>
      </c>
      <c r="R2062" s="14">
        <v>0</v>
      </c>
      <c r="S2062" s="14">
        <v>210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0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111.16900000000001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0</v>
      </c>
      <c r="R2067" s="14">
        <v>0</v>
      </c>
      <c r="S2067" s="14">
        <v>470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0</v>
      </c>
      <c r="R2068" s="14">
        <v>0</v>
      </c>
      <c r="S2068" s="14">
        <v>775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0</v>
      </c>
      <c r="R2069" s="14">
        <v>0</v>
      </c>
      <c r="S2069" s="14">
        <v>270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1000</v>
      </c>
      <c r="R2071" s="14">
        <v>0</v>
      </c>
      <c r="S2071" s="14">
        <v>1000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0</v>
      </c>
      <c r="R2072" s="14">
        <v>0</v>
      </c>
      <c r="S2072" s="14">
        <v>75</v>
      </c>
      <c r="T2072" s="13">
        <v>0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0</v>
      </c>
      <c r="R2074" s="14">
        <v>0</v>
      </c>
      <c r="S2074" s="14">
        <v>820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-200</v>
      </c>
      <c r="R2075" s="14">
        <v>0</v>
      </c>
      <c r="S2075" s="14">
        <v>125.00000000000001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16.520499999999998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48</v>
      </c>
      <c r="R2077" s="14">
        <v>0</v>
      </c>
      <c r="S2077" s="14">
        <v>229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192</v>
      </c>
      <c r="R2078" s="14">
        <v>0</v>
      </c>
      <c r="S2078" s="14">
        <v>292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29.620999999999999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0</v>
      </c>
      <c r="R2081" s="14">
        <v>0</v>
      </c>
      <c r="S2081" s="14">
        <v>76.056666666666672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10.833333333333334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2.4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910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0</v>
      </c>
      <c r="R2085" s="14">
        <v>0</v>
      </c>
      <c r="S2085" s="14">
        <v>400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13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0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0</v>
      </c>
      <c r="R2088" s="14">
        <v>0</v>
      </c>
      <c r="S2088" s="14">
        <v>110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0</v>
      </c>
      <c r="R2091" s="14">
        <v>0</v>
      </c>
      <c r="S2091" s="14">
        <v>20604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0</v>
      </c>
      <c r="R2093" s="14">
        <v>0</v>
      </c>
      <c r="S2093" s="14">
        <v>4550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50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27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0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270</v>
      </c>
      <c r="R2098" s="14">
        <v>0</v>
      </c>
      <c r="S2098" s="14">
        <v>270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0</v>
      </c>
      <c r="R2099" s="14">
        <v>0</v>
      </c>
      <c r="S2099" s="14">
        <v>9.57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0</v>
      </c>
      <c r="R2100" s="14">
        <v>0</v>
      </c>
      <c r="S2100" s="14">
        <v>119.99333333333334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150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120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25</v>
      </c>
      <c r="T2107" s="13">
        <v>0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0</v>
      </c>
      <c r="R2108" s="14">
        <v>0</v>
      </c>
      <c r="S2108" s="14">
        <v>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66.666666666666671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16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0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0</v>
      </c>
      <c r="R2120" s="14">
        <v>0</v>
      </c>
      <c r="S2120" s="14">
        <v>910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150</v>
      </c>
      <c r="R2121" s="14">
        <v>0</v>
      </c>
      <c r="S2121" s="14">
        <v>150</v>
      </c>
      <c r="T2121" s="13">
        <v>0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0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8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0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0.32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0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0</v>
      </c>
      <c r="R2146" s="14">
        <v>0</v>
      </c>
      <c r="S2146" s="14">
        <v>0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165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600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0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>
        <v>0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>
        <v>0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>
        <v>0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>
        <v>0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0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0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0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0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0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0</v>
      </c>
      <c r="R2168" s="14">
        <v>0</v>
      </c>
      <c r="S2168" s="14">
        <v>30</v>
      </c>
      <c r="T2168" s="13">
        <v>0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0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>
        <v>0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0</v>
      </c>
      <c r="R2174" s="14">
        <v>0</v>
      </c>
      <c r="S2174" s="14">
        <v>4.6499999999999995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0.64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1.25</v>
      </c>
      <c r="T2176" s="13">
        <v>0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3.6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14.399999999999999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1.4000000000000001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1.32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0.64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13.44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1.1200000000000001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0.48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0</v>
      </c>
      <c r="R2194" s="14">
        <v>0</v>
      </c>
      <c r="S2194" s="14">
        <v>18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0.79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0</v>
      </c>
      <c r="R2197" s="14">
        <v>0</v>
      </c>
      <c r="S2197" s="14">
        <v>184.07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1.1666666666666667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0</v>
      </c>
      <c r="R2199" s="14">
        <v>0</v>
      </c>
      <c r="S2199" s="14">
        <v>0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36.340000000000003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4.74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610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3611.88</v>
      </c>
      <c r="R2206" s="14">
        <v>0</v>
      </c>
      <c r="S2206" s="14">
        <v>5332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1139.28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2000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10.467499999999999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1820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120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4.8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-12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-12.12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16.699999999999996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0.9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0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1000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4.3499999999999996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0</v>
      </c>
      <c r="R2234" s="14">
        <v>0</v>
      </c>
      <c r="S2234" s="14">
        <v>800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0</v>
      </c>
      <c r="R2235" s="14">
        <v>0</v>
      </c>
      <c r="S2235" s="14">
        <v>96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120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6.375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0</v>
      </c>
      <c r="R2239" s="14">
        <v>0</v>
      </c>
      <c r="S2239" s="14">
        <v>0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0</v>
      </c>
      <c r="R2240" s="14">
        <v>0</v>
      </c>
      <c r="S2240" s="14">
        <v>300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7.9166666666666679</v>
      </c>
      <c r="T2241" s="13">
        <v>0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>
        <v>0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>
        <v>0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0.41666666666666669</v>
      </c>
      <c r="T2244" s="13">
        <v>0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0</v>
      </c>
      <c r="R2245" s="14">
        <v>0</v>
      </c>
      <c r="S2245" s="14">
        <v>5.416666666666667</v>
      </c>
      <c r="T2245" s="13">
        <v>0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84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-60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6300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16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0</v>
      </c>
      <c r="R2250" s="14">
        <v>0</v>
      </c>
      <c r="S2250" s="14">
        <v>247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6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12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200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25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0</v>
      </c>
      <c r="R2256" s="14">
        <v>0</v>
      </c>
      <c r="S2256" s="14">
        <v>12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229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24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12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0</v>
      </c>
      <c r="R2261" s="14">
        <v>0</v>
      </c>
      <c r="S2261" s="14">
        <v>18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5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65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0</v>
      </c>
      <c r="R2265" s="14">
        <v>0</v>
      </c>
      <c r="S2265" s="14">
        <v>76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90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0</v>
      </c>
      <c r="R2267" s="14">
        <v>0</v>
      </c>
      <c r="S2267" s="14">
        <v>66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17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240</v>
      </c>
      <c r="R2270" s="14">
        <v>0</v>
      </c>
      <c r="S2270" s="14">
        <v>130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78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4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0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0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0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430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4.8</v>
      </c>
      <c r="R2282" s="14">
        <v>0</v>
      </c>
      <c r="S2282" s="14">
        <v>2.4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0</v>
      </c>
      <c r="R2283" s="14">
        <v>0</v>
      </c>
      <c r="S2283" s="14">
        <v>6.38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>
        <v>0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0</v>
      </c>
      <c r="R2285" s="14">
        <v>0</v>
      </c>
      <c r="S2285" s="14">
        <v>0</v>
      </c>
      <c r="T2285" s="13">
        <v>0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2.916666666666667</v>
      </c>
      <c r="T2286" s="13">
        <v>0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2.2400000000000002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0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47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200</v>
      </c>
      <c r="R2290" s="14">
        <v>0</v>
      </c>
      <c r="S2290" s="14">
        <v>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2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20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20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0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0.375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36.309666666666672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54</v>
      </c>
      <c r="R2298" s="14">
        <v>0</v>
      </c>
      <c r="S2298" s="14">
        <v>228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5</v>
      </c>
      <c r="R2299" s="14">
        <v>0</v>
      </c>
      <c r="S2299" s="14">
        <v>5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0</v>
      </c>
      <c r="R2301" s="14">
        <v>0</v>
      </c>
      <c r="S2301" s="14">
        <v>300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10</v>
      </c>
      <c r="T2302" s="13">
        <v>0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1.9333333333333331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0</v>
      </c>
      <c r="R2304" s="14">
        <v>0</v>
      </c>
      <c r="S2304" s="14">
        <v>5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0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2.5775000000000001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0</v>
      </c>
      <c r="R2310" s="14">
        <v>0</v>
      </c>
      <c r="S2310" s="14">
        <v>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1.2337499999999999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5</v>
      </c>
      <c r="R2314" s="14">
        <v>0</v>
      </c>
      <c r="S2314" s="14">
        <v>5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0</v>
      </c>
      <c r="R2315" s="14">
        <v>0</v>
      </c>
      <c r="S2315" s="14">
        <v>7.4550000000000001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0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2.4358333333333335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9.8566666666666674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5.4</v>
      </c>
      <c r="R2323" s="14">
        <v>0</v>
      </c>
      <c r="S2323" s="14">
        <v>5.4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10.8</v>
      </c>
      <c r="R2324" s="14">
        <v>0</v>
      </c>
      <c r="S2324" s="14">
        <v>10.8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9.7391666666666676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3.96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0</v>
      </c>
      <c r="R2329" s="14">
        <v>0</v>
      </c>
      <c r="S2329" s="14">
        <v>0.66666666666666663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1.3333333333333333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500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200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72.25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0</v>
      </c>
      <c r="R2336" s="14">
        <v>0</v>
      </c>
      <c r="S2336" s="14">
        <v>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1.3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>
        <v>0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0</v>
      </c>
      <c r="R2339" s="14">
        <v>0</v>
      </c>
      <c r="S2339" s="14">
        <v>6.75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0</v>
      </c>
      <c r="R2340" s="14">
        <v>0</v>
      </c>
      <c r="S2340" s="14">
        <v>188.7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30.466583333333332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0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8.5333333333333332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5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3.16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8.8333333333333321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1.1200000000000001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-0.6399999999999999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1.8666666666666667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100</v>
      </c>
      <c r="T2352" s="13">
        <v>0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0.3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0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2.1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2.1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0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24000</v>
      </c>
      <c r="R2361" s="14">
        <v>0</v>
      </c>
      <c r="S2361" s="14">
        <v>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0</v>
      </c>
      <c r="R2362" s="14">
        <v>0</v>
      </c>
      <c r="S2362" s="14">
        <v>456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60</v>
      </c>
      <c r="R2364" s="14">
        <v>0</v>
      </c>
      <c r="S2364" s="14">
        <v>72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0.66666666666666663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14.166666666666666</v>
      </c>
      <c r="T2366" s="13">
        <v>0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20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0</v>
      </c>
      <c r="R2369" s="14">
        <v>0</v>
      </c>
      <c r="S2369" s="14">
        <v>200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34.626666666666665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3.84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0</v>
      </c>
      <c r="R2372" s="14">
        <v>0</v>
      </c>
      <c r="S2372" s="14">
        <v>2.9866666666666668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0</v>
      </c>
      <c r="R2373" s="14">
        <v>0</v>
      </c>
      <c r="S2373" s="14">
        <v>40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1.125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200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4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72</v>
      </c>
      <c r="R2379" s="14">
        <v>0</v>
      </c>
      <c r="S2379" s="14">
        <v>128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36</v>
      </c>
      <c r="R2380" s="14">
        <v>0</v>
      </c>
      <c r="S2380" s="14">
        <v>36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100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0.95500000000000007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0</v>
      </c>
      <c r="R2384" s="14">
        <v>0</v>
      </c>
      <c r="S2384" s="14">
        <v>2.5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3.854166666666667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0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0.48916666666666669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0</v>
      </c>
      <c r="R2388" s="14">
        <v>0</v>
      </c>
      <c r="S2388" s="14">
        <v>8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0.37999999999999995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0.33333333333333331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0</v>
      </c>
      <c r="R2391" s="14">
        <v>0</v>
      </c>
      <c r="S2391" s="14">
        <v>9.6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0.79999999999999993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0</v>
      </c>
      <c r="R2393" s="14">
        <v>0</v>
      </c>
      <c r="S2393" s="14">
        <v>13.25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0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2.916666666666667</v>
      </c>
      <c r="T2395" s="13">
        <v>0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6.1587499999999995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-2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8.3333333333333339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0</v>
      </c>
      <c r="R2402" s="14">
        <v>0</v>
      </c>
      <c r="S2402" s="14">
        <v>10.826666666666668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9.6</v>
      </c>
      <c r="R2405" s="14">
        <v>0</v>
      </c>
      <c r="S2405" s="14">
        <v>9.6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0.83333333333333337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1920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0</v>
      </c>
      <c r="R2411" s="14">
        <v>0</v>
      </c>
      <c r="S2411" s="14">
        <v>8.56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0.98499999999999999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6.8916666666666666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66</v>
      </c>
      <c r="R2415" s="14">
        <v>0</v>
      </c>
      <c r="S2415" s="14">
        <v>0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0.54999999999999993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2.25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9.48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9.48</v>
      </c>
      <c r="R2419" s="14">
        <v>0</v>
      </c>
      <c r="S2419" s="14">
        <v>9.48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0.37333333333333335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0</v>
      </c>
      <c r="R2423" s="14">
        <v>0</v>
      </c>
      <c r="S2423" s="14">
        <v>91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40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40.125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40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6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16</v>
      </c>
      <c r="R2429" s="14">
        <v>0</v>
      </c>
      <c r="S2429" s="14">
        <v>16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5.8500000000000005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1.6666666666666667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20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5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0.45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17.536666666666669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3.6</v>
      </c>
      <c r="R2456" s="14">
        <v>0</v>
      </c>
      <c r="S2456" s="14">
        <v>3.3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105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252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0</v>
      </c>
      <c r="R2459" s="14">
        <v>0</v>
      </c>
      <c r="S2459" s="14">
        <v>130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-4.166666666666667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0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0.41666666666666669</v>
      </c>
      <c r="T2463" s="13">
        <v>0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12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1.7499999999999998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0</v>
      </c>
      <c r="R2467" s="14">
        <v>0</v>
      </c>
      <c r="S2467" s="14">
        <v>16.45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1.3333333333333333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3.05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0</v>
      </c>
      <c r="R2470" s="14">
        <v>0</v>
      </c>
      <c r="S2470" s="14">
        <v>8.7999999999999989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4.666666666666667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0.41666666666666669</v>
      </c>
      <c r="T2472" s="13">
        <v>0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0</v>
      </c>
      <c r="R2473" s="14">
        <v>0</v>
      </c>
      <c r="S2473" s="14">
        <v>30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0</v>
      </c>
      <c r="R2475" s="14">
        <v>0</v>
      </c>
      <c r="S2475" s="14">
        <v>295.83333333333331</v>
      </c>
      <c r="T2475" s="13">
        <v>0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0</v>
      </c>
      <c r="R2480" s="14">
        <v>0</v>
      </c>
      <c r="S2480" s="14">
        <v>15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7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26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0</v>
      </c>
      <c r="R2483" s="14">
        <v>0</v>
      </c>
      <c r="S2483" s="14">
        <v>83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88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0</v>
      </c>
      <c r="R2485" s="14">
        <v>0</v>
      </c>
      <c r="S2485" s="14">
        <v>21.25</v>
      </c>
      <c r="T2485" s="13">
        <v>0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1.9375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4.8241666666666667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1.1295833333333334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1.1645833333333333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2.8933333333333335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4.8274999999999997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0</v>
      </c>
      <c r="R2494" s="14">
        <v>0</v>
      </c>
      <c r="S2494" s="14">
        <v>923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0</v>
      </c>
      <c r="R2495" s="14">
        <v>0</v>
      </c>
      <c r="S2495" s="14">
        <v>3000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0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3.84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0</v>
      </c>
      <c r="R2499" s="14">
        <v>0</v>
      </c>
      <c r="S2499" s="14">
        <v>200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0</v>
      </c>
      <c r="R2501" s="14">
        <v>0</v>
      </c>
      <c r="S2501" s="14">
        <v>2000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1.6666666666666667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0</v>
      </c>
      <c r="R2507" s="14">
        <v>0</v>
      </c>
      <c r="S2507" s="14">
        <v>23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1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10.45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0</v>
      </c>
      <c r="R2511" s="14">
        <v>0</v>
      </c>
      <c r="S2511" s="14">
        <v>0</v>
      </c>
      <c r="T2511" s="13">
        <v>0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10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18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0</v>
      </c>
      <c r="R2517" s="14">
        <v>0</v>
      </c>
      <c r="S2517" s="14">
        <v>37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39.067250000000001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2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17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28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4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72</v>
      </c>
      <c r="R2525" s="14">
        <v>0</v>
      </c>
      <c r="S2525" s="14">
        <v>46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6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84</v>
      </c>
      <c r="R2527" s="14">
        <v>0</v>
      </c>
      <c r="S2527" s="14">
        <v>84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0</v>
      </c>
      <c r="R2528" s="14">
        <v>0</v>
      </c>
      <c r="S2528" s="14">
        <v>38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0</v>
      </c>
      <c r="R2529" s="14">
        <v>0</v>
      </c>
      <c r="S2529" s="14">
        <v>84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0</v>
      </c>
      <c r="R2530" s="14">
        <v>0</v>
      </c>
      <c r="S2530" s="14">
        <v>170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3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72</v>
      </c>
      <c r="R2532" s="14">
        <v>0</v>
      </c>
      <c r="S2532" s="14">
        <v>66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0</v>
      </c>
      <c r="R2533" s="14">
        <v>0</v>
      </c>
      <c r="S2533" s="14">
        <v>601.654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2.25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2.25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2.9125000000000001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3.75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0</v>
      </c>
      <c r="R2538" s="14">
        <v>0</v>
      </c>
      <c r="S2538" s="14">
        <v>0.95291666666666675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9.9408333333333339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0.875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0.95583333333333342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3.4124999999999996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0.6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4.9216666666666669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45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0</v>
      </c>
      <c r="R2548" s="14">
        <v>0</v>
      </c>
      <c r="S2548" s="14">
        <v>69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8.5237499999999997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0.79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6.7200000000000006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0.37333333333333335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0</v>
      </c>
      <c r="R2554" s="14">
        <v>0</v>
      </c>
      <c r="S2554" s="14">
        <v>3.92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0.83333333333333337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61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38750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0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0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0</v>
      </c>
      <c r="R2564" s="14">
        <v>0</v>
      </c>
      <c r="S2564" s="14">
        <v>9.1666666666666679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0</v>
      </c>
      <c r="R2565" s="14">
        <v>0</v>
      </c>
      <c r="S2565" s="14">
        <v>8285.869999999999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0</v>
      </c>
      <c r="R2566" s="14">
        <v>0</v>
      </c>
      <c r="S2566" s="14">
        <v>6.8949999999999996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0.3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0.39999999999999997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1.3333333333333333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0</v>
      </c>
      <c r="R2571" s="14">
        <v>0</v>
      </c>
      <c r="S2571" s="14">
        <v>18.759999999999998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910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0.37333333333333335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1000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0.83333333333333337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>
        <v>0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1.5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0.375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4192</v>
      </c>
      <c r="R2582" s="14">
        <v>0</v>
      </c>
      <c r="S2582" s="14">
        <v>2816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5.32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3.6</v>
      </c>
      <c r="R2586" s="14">
        <v>0</v>
      </c>
      <c r="S2586" s="14">
        <v>1.8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0.5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546.98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0</v>
      </c>
      <c r="R2590" s="14">
        <v>0</v>
      </c>
      <c r="S2590" s="14">
        <v>10875.48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0.9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0</v>
      </c>
      <c r="R2593" s="14">
        <v>0</v>
      </c>
      <c r="S2593" s="14">
        <v>6419.85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63.333333333333343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0</v>
      </c>
      <c r="R2595" s="14">
        <v>0</v>
      </c>
      <c r="S2595" s="14">
        <v>2.4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0.83333333333333337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0</v>
      </c>
      <c r="R2597" s="14">
        <v>0</v>
      </c>
      <c r="S2597" s="14">
        <v>75</v>
      </c>
      <c r="T2597" s="13">
        <v>0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300</v>
      </c>
      <c r="R2598" s="14">
        <v>0</v>
      </c>
      <c r="S2598" s="14">
        <v>600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1.2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208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80</v>
      </c>
      <c r="R2601" s="14">
        <v>0</v>
      </c>
      <c r="S2601" s="14">
        <v>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50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45</v>
      </c>
      <c r="R2604" s="14">
        <v>0</v>
      </c>
      <c r="S2604" s="14">
        <v>15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30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2.63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0</v>
      </c>
      <c r="R2608" s="14">
        <v>0</v>
      </c>
      <c r="S2608" s="14">
        <v>0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5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72</v>
      </c>
      <c r="R2613" s="14">
        <v>0</v>
      </c>
      <c r="S2613" s="14">
        <v>72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12.161666666666669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0.96749999999999992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9.3000000000000007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2.9000000000000004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0.75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1.125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0.75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1.4933333333333334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6.32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14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5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1200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0.6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0.7466666666666667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5.53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1503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0</v>
      </c>
      <c r="R2645" s="14">
        <v>0</v>
      </c>
      <c r="S2645" s="14">
        <v>69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30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1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5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0</v>
      </c>
      <c r="R2649" s="14">
        <v>0</v>
      </c>
      <c r="S2649" s="14">
        <v>13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4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0</v>
      </c>
      <c r="R2651" s="14">
        <v>0</v>
      </c>
      <c r="S2651" s="14">
        <v>10.416666666666668</v>
      </c>
      <c r="T2651" s="13">
        <v>0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4.5833333333333339</v>
      </c>
      <c r="T2652" s="13">
        <v>0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0</v>
      </c>
      <c r="R2653" s="14">
        <v>0</v>
      </c>
      <c r="S2653" s="14">
        <v>4.8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5.7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4.6475000000000009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2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6.6666666666666661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2.58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0</v>
      </c>
      <c r="R2661" s="14">
        <v>0</v>
      </c>
      <c r="S2661" s="14">
        <v>10.199999999999999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3.0666666666666664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20.700000000000003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2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35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0</v>
      </c>
      <c r="R2669" s="14">
        <v>0</v>
      </c>
      <c r="S2669" s="14">
        <v>152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23000</v>
      </c>
      <c r="R2670" s="14">
        <v>0</v>
      </c>
      <c r="S2670" s="14">
        <v>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0</v>
      </c>
      <c r="R2671" s="14">
        <v>0</v>
      </c>
      <c r="S2671" s="14">
        <v>200</v>
      </c>
      <c r="T2671" s="13">
        <v>0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0.39999999999999997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108.33333333333334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1.5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29.9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0</v>
      </c>
      <c r="R2677" s="14">
        <v>0</v>
      </c>
      <c r="S2677" s="14">
        <v>114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0</v>
      </c>
      <c r="R2679" s="14">
        <v>0</v>
      </c>
      <c r="S2679" s="14">
        <v>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0.375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3.833333333333333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0.83333333333333337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3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3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20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77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0.75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6.7683333333333335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8.6775000000000002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0</v>
      </c>
      <c r="R2690" s="14">
        <v>0</v>
      </c>
      <c r="S2690" s="14">
        <v>10.7875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0</v>
      </c>
      <c r="R2691" s="14">
        <v>0</v>
      </c>
      <c r="S2691" s="14">
        <v>9.6425000000000001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0.39999999999999997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3.16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0.83333333333333337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0.41666666666666669</v>
      </c>
      <c r="T2701" s="13">
        <v>0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7.8791666666666664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13.44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0.7466666666666667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0.83333333333333337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15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34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0.75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3.84</v>
      </c>
      <c r="R2713" s="14">
        <v>0</v>
      </c>
      <c r="S2713" s="14">
        <v>3.84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0</v>
      </c>
      <c r="R2714" s="14">
        <v>0</v>
      </c>
      <c r="S2714" s="14">
        <v>101.66666666666667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0</v>
      </c>
      <c r="R2715" s="14">
        <v>0</v>
      </c>
      <c r="S2715" s="14">
        <v>0.375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0.375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9</v>
      </c>
      <c r="R2717" s="14">
        <v>0</v>
      </c>
      <c r="S2717" s="14">
        <v>9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4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0.83333333333333337</v>
      </c>
      <c r="T2720" s="13">
        <v>0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3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0.95583333333333342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0.95750000000000002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1.6666666666666667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2.6733333333333329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6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3.813333333333333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0.9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55.2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0.7466666666666667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0</v>
      </c>
      <c r="R2736" s="14">
        <v>0</v>
      </c>
      <c r="S2736" s="14">
        <v>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0</v>
      </c>
      <c r="R2737" s="14">
        <v>0</v>
      </c>
      <c r="S2737" s="14">
        <v>200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2.02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2.8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1.6666666666666667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6.666666666666667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6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8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0.39999999999999997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0.39999999999999997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0</v>
      </c>
      <c r="R2749" s="14">
        <v>0</v>
      </c>
      <c r="S2749" s="14">
        <v>9.1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0.34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27.027499999999996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12.5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0.79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3.16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4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15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0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0.96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3.9908333333333332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50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12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2.4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105.60000000000001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1.3333333333333333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18.96</v>
      </c>
      <c r="R2773" s="14">
        <v>0</v>
      </c>
      <c r="S2773" s="14">
        <v>37.92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0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0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8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100000</v>
      </c>
      <c r="R2779" s="14">
        <v>0</v>
      </c>
      <c r="S2779" s="14">
        <v>100000</v>
      </c>
      <c r="T2779" s="13">
        <v>0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2.4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1.6666666666666667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4.166666666666667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0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13.43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3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20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5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5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35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6.666666666666667</v>
      </c>
      <c r="T2794" s="13">
        <v>0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20</v>
      </c>
      <c r="T2795" s="13">
        <v>0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0</v>
      </c>
      <c r="R2796" s="14">
        <v>0</v>
      </c>
      <c r="S2796" s="14">
        <v>0.33333333333333331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48000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4.333333333333333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0</v>
      </c>
      <c r="R2807" s="14">
        <v>0</v>
      </c>
      <c r="S2807" s="14">
        <v>2.625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264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12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3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50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1.2258333333333333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1.9225000000000001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0.98333333333333339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0.9458333333333333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0.3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180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2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0.41666666666666669</v>
      </c>
      <c r="T2825" s="13">
        <v>0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16.615833333333335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12000</v>
      </c>
      <c r="R2827" s="14">
        <v>0</v>
      </c>
      <c r="S2827" s="14">
        <v>12575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4.4800000000000004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17.920000000000002</v>
      </c>
      <c r="R2835" s="14">
        <v>0</v>
      </c>
      <c r="S2835" s="14">
        <v>32.400000000000006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10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10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50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2.5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1.8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0</v>
      </c>
      <c r="R2851" s="14">
        <v>0</v>
      </c>
      <c r="S2851" s="14">
        <v>0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1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3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15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250</v>
      </c>
      <c r="R2855" s="14">
        <v>0</v>
      </c>
      <c r="S2855" s="14">
        <v>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1.5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7.2662500000000012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7.6666666666666661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0.9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0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1041.6666666666667</v>
      </c>
      <c r="T2866" s="13">
        <v>0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0.25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7.53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70</v>
      </c>
      <c r="R2869" s="14">
        <v>0</v>
      </c>
      <c r="S2869" s="14">
        <v>100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11.666666666666668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120</v>
      </c>
      <c r="R2871" s="14">
        <v>0</v>
      </c>
      <c r="S2871" s="14">
        <v>120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0</v>
      </c>
      <c r="R2872" s="14">
        <v>0</v>
      </c>
      <c r="S2872" s="14">
        <v>500</v>
      </c>
      <c r="T2872" s="13">
        <v>0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6.3416666666666668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73.599999999999994</v>
      </c>
      <c r="R2874" s="14">
        <v>0</v>
      </c>
      <c r="S2874" s="14">
        <v>36.799999999999997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7.5733333333333324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50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0</v>
      </c>
      <c r="R2878" s="14">
        <v>0</v>
      </c>
      <c r="S2878" s="14">
        <v>0.66666666666666663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240</v>
      </c>
      <c r="R2879" s="14">
        <v>0</v>
      </c>
      <c r="S2879" s="14">
        <v>300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31.5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0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60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40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47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4.166666666666667</v>
      </c>
      <c r="T2889" s="13">
        <v>0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1.1412500000000001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0.39999999999999997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200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0.79999999999999993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142.19999999999999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5.53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2.37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1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2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0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0</v>
      </c>
      <c r="R2904" s="14">
        <v>0</v>
      </c>
      <c r="S2904" s="14">
        <v>0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0</v>
      </c>
      <c r="R2905" s="14">
        <v>0</v>
      </c>
      <c r="S2905" s="14">
        <v>0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6</v>
      </c>
      <c r="R2906" s="14">
        <v>0</v>
      </c>
      <c r="S2906" s="14">
        <v>11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4.9499999999999993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1.5333333333333332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0</v>
      </c>
      <c r="R2911" s="14">
        <v>0</v>
      </c>
      <c r="S2911" s="14">
        <v>198.33333333333334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15</v>
      </c>
      <c r="R2913" s="14">
        <v>0</v>
      </c>
      <c r="S2913" s="14">
        <v>18.75</v>
      </c>
      <c r="T2913" s="13">
        <v>0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30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196.66666666666669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6.12</v>
      </c>
      <c r="R2917" s="14">
        <v>0</v>
      </c>
      <c r="S2917" s="14">
        <v>6.12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3.06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6.7333333333333343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2.5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0.3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10.5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1.6666666666666667</v>
      </c>
      <c r="T2925" s="13">
        <v>0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0</v>
      </c>
      <c r="R2926" s="14">
        <v>0</v>
      </c>
      <c r="S2926" s="14">
        <v>0.5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360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1.3333333333333333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0.33333333333333331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9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>
        <v>0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3.75</v>
      </c>
      <c r="T2932" s="13">
        <v>0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0</v>
      </c>
      <c r="R2933" s="14">
        <v>0</v>
      </c>
      <c r="S2933" s="14">
        <v>0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69.3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1.2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96</v>
      </c>
      <c r="R2954" s="14">
        <v>0</v>
      </c>
      <c r="S2954" s="14">
        <v>96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0</v>
      </c>
      <c r="R2955" s="14">
        <v>0</v>
      </c>
      <c r="S2955" s="14">
        <v>21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250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92</v>
      </c>
      <c r="R2966" s="14">
        <v>0</v>
      </c>
      <c r="S2966" s="14">
        <v>100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73.599999999999994</v>
      </c>
      <c r="R2967" s="14">
        <v>0</v>
      </c>
      <c r="S2967" s="14">
        <v>100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3.375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2.2799999999999998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9.18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10.799999999999999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0.89999999999999991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0</v>
      </c>
      <c r="R2979" s="14">
        <v>0</v>
      </c>
      <c r="S2979" s="14">
        <v>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0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1.02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14.22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0</v>
      </c>
      <c r="R2987" s="14">
        <v>0</v>
      </c>
      <c r="S2987" s="14">
        <v>60</v>
      </c>
      <c r="T2987" s="13">
        <v>0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27.6</v>
      </c>
      <c r="R2988" s="14">
        <v>0</v>
      </c>
      <c r="S2988" s="14">
        <v>0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0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10.8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7.5</v>
      </c>
      <c r="T2991" s="13">
        <v>0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0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0</v>
      </c>
      <c r="R2998" s="14">
        <v>0</v>
      </c>
      <c r="S2998" s="14">
        <v>4.8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6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600</v>
      </c>
      <c r="R3002" s="14">
        <v>0</v>
      </c>
      <c r="S3002" s="14">
        <v>894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0</v>
      </c>
      <c r="R3003" s="14">
        <v>0</v>
      </c>
      <c r="S3003" s="14">
        <v>6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57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0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2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16.64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14.399999999999999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>
        <v>0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204</v>
      </c>
      <c r="R3016" s="14">
        <v>0</v>
      </c>
      <c r="S3016" s="14">
        <v>330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70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tr">
        <f>VLOOKUP(F3020,'[1]BASE DE CLIENTES'!$B:$G,6,0)</f>
        <v>RS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tr">
        <f>VLOOKUP(F3021,'[1]BASE DE CLIENTES'!$B:$G,6,0)</f>
        <v>PR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tr">
        <f>VLOOKUP(F3022,'[1]BASE DE CLIENTES'!$B:$G,6,0)</f>
        <v>BA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990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tr">
        <f>VLOOKUP(F3023,'[1]BASE DE CLIENTES'!$B:$G,6,0)</f>
        <v>GO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100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tr">
        <f>VLOOKUP(F3024,'[1]BASE DE CLIENTES'!$B:$G,6,0)</f>
        <v>SP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20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tr">
        <f>VLOOKUP(F3025,'[1]BASE DE CLIENTES'!$B:$G,6,0)</f>
        <v>BA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tr">
        <f>VLOOKUP(F3026,'[1]BASE DE CLIENTES'!$B:$G,6,0)</f>
        <v>GO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tr">
        <f>VLOOKUP(F3027,'[1]BASE DE CLIENTES'!$B:$G,6,0)</f>
        <v>BA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tr">
        <f>VLOOKUP(F3028,'[1]BASE DE CLIENTES'!$B:$G,6,0)</f>
        <v>PR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tr">
        <f>VLOOKUP(F3029,'[1]BASE DE CLIENTES'!$B:$G,6,0)</f>
        <v>PR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tr">
        <f>VLOOKUP(F3030,'[1]BASE DE CLIENTES'!$B:$G,6,0)</f>
        <v>SP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12960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tr">
        <f>VLOOKUP(F3031,'[1]BASE DE CLIENTES'!$B:$G,6,0)</f>
        <v>SP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21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tr">
        <f>VLOOKUP(F3032,'[1]BASE DE CLIENTES'!$B:$G,6,0)</f>
        <v>SP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12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168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8.75</v>
      </c>
      <c r="T3038" s="13">
        <v>0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5.2800000000000011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3.84</v>
      </c>
      <c r="R3041" s="14">
        <v>0</v>
      </c>
      <c r="S3041" s="14">
        <v>3.84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60</v>
      </c>
      <c r="R3043" s="14">
        <v>0</v>
      </c>
      <c r="S3043" s="14">
        <v>51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3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1.25</v>
      </c>
      <c r="T3045" s="13">
        <v>0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3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0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0</v>
      </c>
      <c r="R3051" s="14">
        <v>0</v>
      </c>
      <c r="S3051" s="14">
        <v>16.25</v>
      </c>
      <c r="T3051" s="13">
        <v>0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0</v>
      </c>
      <c r="R3053" s="14">
        <v>0</v>
      </c>
      <c r="S3053" s="14">
        <v>358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0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4.5999999999999996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0</v>
      </c>
      <c r="R3058" s="14">
        <v>0</v>
      </c>
      <c r="S3058" s="14">
        <v>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1.44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57.6</v>
      </c>
      <c r="R3061" s="14">
        <v>0</v>
      </c>
      <c r="S3061" s="14">
        <v>57.6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11.25</v>
      </c>
      <c r="T3063" s="13">
        <v>0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3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216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200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>
        <v>0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5</v>
      </c>
      <c r="T3068" s="13">
        <v>0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3900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400</v>
      </c>
      <c r="R3077" s="14">
        <v>0</v>
      </c>
      <c r="S3077" s="14">
        <v>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6.9599999999999991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11.22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3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0</v>
      </c>
      <c r="R3082" s="14">
        <v>0</v>
      </c>
      <c r="S3082" s="14">
        <v>96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30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12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0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3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1.2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0</v>
      </c>
      <c r="R3089" s="14">
        <v>0</v>
      </c>
      <c r="S3089" s="14">
        <v>0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12</v>
      </c>
      <c r="R3093" s="14">
        <v>0</v>
      </c>
      <c r="S3093" s="14">
        <v>12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3.5999999999999996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200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0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0.75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48000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20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1.02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14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4.0500000000000007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11298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6.25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2.5</v>
      </c>
      <c r="T3114" s="13">
        <v>0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0</v>
      </c>
      <c r="R3115" s="14">
        <v>0</v>
      </c>
      <c r="S3115" s="14">
        <v>5918.75</v>
      </c>
      <c r="T3115" s="13">
        <v>0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3.7475000000000005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1.5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0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30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-0.90549999999999986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0.66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15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2.5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10692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40.799999999999997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0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1.125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0</v>
      </c>
      <c r="R3149" s="14">
        <v>0</v>
      </c>
      <c r="S3149" s="14">
        <v>625</v>
      </c>
      <c r="T3149" s="13">
        <v>0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9</v>
      </c>
      <c r="R3150" s="14">
        <v>0</v>
      </c>
      <c r="S3150" s="14">
        <v>9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6.6</v>
      </c>
      <c r="R3151" s="14">
        <v>0</v>
      </c>
      <c r="S3151" s="14">
        <v>6.6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0</v>
      </c>
      <c r="R3152" s="14">
        <v>0</v>
      </c>
      <c r="S3152" s="14">
        <v>1.7999999999999998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37296</v>
      </c>
      <c r="R3154" s="14">
        <v>0</v>
      </c>
      <c r="S3154" s="14">
        <v>37296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0</v>
      </c>
      <c r="R3155" s="14">
        <v>0</v>
      </c>
      <c r="S3155" s="14">
        <v>132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48000</v>
      </c>
      <c r="R3158" s="14">
        <v>0</v>
      </c>
      <c r="S3158" s="14">
        <v>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31.4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0.96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1.92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2.37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9.5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5</v>
      </c>
      <c r="T3170" s="13">
        <v>0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0</v>
      </c>
      <c r="R3171" s="14">
        <v>0</v>
      </c>
      <c r="S3171" s="14">
        <v>7.5</v>
      </c>
      <c r="T3171" s="13">
        <v>0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2.5</v>
      </c>
      <c r="T3172" s="13">
        <v>0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1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54.75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0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30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0</v>
      </c>
      <c r="R3178" s="14">
        <v>0</v>
      </c>
      <c r="S3178" s="14">
        <v>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24.500000000000004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6.25</v>
      </c>
      <c r="T3182" s="13">
        <v>0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102.23333333333333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1030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0</v>
      </c>
      <c r="R3192" s="14">
        <v>0</v>
      </c>
      <c r="S3192" s="14">
        <v>50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1000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0</v>
      </c>
      <c r="R3194" s="14">
        <v>0</v>
      </c>
      <c r="S3194" s="14">
        <v>5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0</v>
      </c>
      <c r="R3199" s="14">
        <v>0</v>
      </c>
      <c r="S3199" s="14">
        <v>120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1750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160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2160</v>
      </c>
      <c r="R3210" s="14">
        <v>0</v>
      </c>
      <c r="S3210" s="14">
        <v>4240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0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1.56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2.88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5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25.68</v>
      </c>
      <c r="R3222" s="14">
        <v>0</v>
      </c>
      <c r="S3222" s="14">
        <v>25.68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0</v>
      </c>
      <c r="R3223" s="14">
        <v>0</v>
      </c>
      <c r="S3223" s="14">
        <v>2.04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100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7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10.8</v>
      </c>
      <c r="R3227" s="14">
        <v>0</v>
      </c>
      <c r="S3227" s="14">
        <v>10.8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4.5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0</v>
      </c>
      <c r="R3229" s="14">
        <v>0</v>
      </c>
      <c r="S3229" s="14">
        <v>111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0</v>
      </c>
      <c r="R3230" s="14">
        <v>0</v>
      </c>
      <c r="S3230" s="14">
        <v>30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0</v>
      </c>
      <c r="R3231" s="14">
        <v>0</v>
      </c>
      <c r="S3231" s="14">
        <v>132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0</v>
      </c>
      <c r="R3232" s="14">
        <v>0</v>
      </c>
      <c r="S3232" s="14">
        <v>84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12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66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0</v>
      </c>
      <c r="R3235" s="14">
        <v>0</v>
      </c>
      <c r="S3235" s="14">
        <v>252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24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3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228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168</v>
      </c>
      <c r="R3239" s="14">
        <v>0</v>
      </c>
      <c r="S3239" s="14">
        <v>48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36</v>
      </c>
      <c r="R3240" s="14">
        <v>0</v>
      </c>
      <c r="S3240" s="14">
        <v>9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6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0</v>
      </c>
      <c r="R3242" s="14">
        <v>0</v>
      </c>
      <c r="S3242" s="14">
        <v>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48000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3.75</v>
      </c>
      <c r="T3249" s="13">
        <v>0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>
        <v>0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0</v>
      </c>
      <c r="R3251" s="14">
        <v>0</v>
      </c>
      <c r="S3251" s="14">
        <v>2.5</v>
      </c>
      <c r="T3251" s="13">
        <v>0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2.25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4.125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0</v>
      </c>
      <c r="R3254" s="14">
        <v>0</v>
      </c>
      <c r="S3254" s="14">
        <v>6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8.9499999999999993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5.8449999999999998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11.54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5.8624999999999998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116.35</v>
      </c>
      <c r="R3259" s="14">
        <v>0</v>
      </c>
      <c r="S3259" s="14">
        <v>120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9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1.2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0</v>
      </c>
      <c r="R3264" s="14">
        <v>0</v>
      </c>
      <c r="S3264" s="14">
        <v>5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1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2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3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1.7999999999999998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0</v>
      </c>
      <c r="R3271" s="14">
        <v>0</v>
      </c>
      <c r="S3271" s="14">
        <v>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2.5</v>
      </c>
      <c r="T3273" s="13">
        <v>0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7.5</v>
      </c>
      <c r="T3274" s="13">
        <v>0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3.88625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23.259999999999998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151.19999999999999</v>
      </c>
      <c r="R3277" s="14">
        <v>0</v>
      </c>
      <c r="S3277" s="14">
        <v>151.19999999999999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1147.8400000000001</v>
      </c>
      <c r="R3278" s="14">
        <v>0</v>
      </c>
      <c r="S3278" s="14">
        <v>4000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0</v>
      </c>
      <c r="R3280" s="14">
        <v>0</v>
      </c>
      <c r="S3280" s="14">
        <v>0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1.7999999999999998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1.7999999999999998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60</v>
      </c>
      <c r="R3283" s="14">
        <v>0</v>
      </c>
      <c r="S3283" s="14">
        <v>18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108</v>
      </c>
      <c r="R3284" s="14">
        <v>0</v>
      </c>
      <c r="S3284" s="14">
        <v>48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0</v>
      </c>
      <c r="R3285" s="14">
        <v>0</v>
      </c>
      <c r="S3285" s="14">
        <v>42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90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15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6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0</v>
      </c>
      <c r="R3289" s="14">
        <v>0</v>
      </c>
      <c r="S3289" s="14">
        <v>27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>
        <v>0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>
        <v>0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2055</v>
      </c>
      <c r="R3292" s="14">
        <v>0</v>
      </c>
      <c r="S3292" s="14">
        <v>2100</v>
      </c>
      <c r="T3292" s="13">
        <v>0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1.25</v>
      </c>
      <c r="T3293" s="13">
        <v>0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0</v>
      </c>
      <c r="R3294" s="14">
        <v>0</v>
      </c>
      <c r="S3294" s="14">
        <v>2.97925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0</v>
      </c>
      <c r="R3295" s="14">
        <v>0</v>
      </c>
      <c r="S3295" s="14">
        <v>0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0</v>
      </c>
      <c r="R3297" s="14">
        <v>0</v>
      </c>
      <c r="S3297" s="14">
        <v>135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0</v>
      </c>
      <c r="R3299" s="14">
        <v>0</v>
      </c>
      <c r="S3299" s="14">
        <v>0.96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16.200000000000003</v>
      </c>
      <c r="R3300" s="14">
        <v>0</v>
      </c>
      <c r="S3300" s="14">
        <v>5.4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3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18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24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0</v>
      </c>
      <c r="R3304" s="14">
        <v>0</v>
      </c>
      <c r="S3304" s="14">
        <v>36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18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12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25000</v>
      </c>
      <c r="R3307" s="14">
        <v>0</v>
      </c>
      <c r="S3307" s="14">
        <v>25000</v>
      </c>
      <c r="T3307" s="13">
        <v>0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6.65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2.9849999999999999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2.9750000000000001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13.000000000000002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36.25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0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>
        <v>0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>
        <v>0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>
        <v>0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0</v>
      </c>
      <c r="R3346" s="14">
        <v>0</v>
      </c>
      <c r="S3346" s="14">
        <v>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0</v>
      </c>
      <c r="R3348" s="14">
        <v>0</v>
      </c>
      <c r="S3348" s="14">
        <v>240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10.8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0</v>
      </c>
      <c r="R3350" s="14">
        <v>0</v>
      </c>
      <c r="S3350" s="14">
        <v>60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4</v>
      </c>
      <c r="R3352" s="14">
        <v>0</v>
      </c>
      <c r="S3352" s="14">
        <v>4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1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0</v>
      </c>
      <c r="R3354" s="14">
        <v>0</v>
      </c>
      <c r="S3354" s="14">
        <v>32.5</v>
      </c>
      <c r="T3354" s="13">
        <v>0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0</v>
      </c>
      <c r="R3355" s="14">
        <v>0</v>
      </c>
      <c r="S3355" s="14">
        <v>24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0</v>
      </c>
      <c r="R3356" s="14">
        <v>0</v>
      </c>
      <c r="S3356" s="14">
        <v>30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60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36</v>
      </c>
      <c r="R3358" s="14">
        <v>0</v>
      </c>
      <c r="S3358" s="14">
        <v>9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0</v>
      </c>
      <c r="R3359" s="14">
        <v>0</v>
      </c>
      <c r="S3359" s="14">
        <v>45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0</v>
      </c>
      <c r="R3360" s="14">
        <v>0</v>
      </c>
      <c r="S3360" s="14">
        <v>105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12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 t="e">
        <f>VLOOKUP(H3363,'[3]BASE MC'!J:P,7,0)</f>
        <v>#N/A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3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 t="e">
        <f>VLOOKUP(H3366,'[3]BASE MC'!J:P,7,0)</f>
        <v>#N/A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0.125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3.0666666666666664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0</v>
      </c>
      <c r="R3371" s="14">
        <v>0</v>
      </c>
      <c r="S3371" s="14">
        <v>60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0.64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1.1200000000000001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0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15.36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3.5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20650</v>
      </c>
      <c r="R3390" s="14">
        <v>0</v>
      </c>
      <c r="S3390" s="14">
        <v>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900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0</v>
      </c>
      <c r="R3392" s="14">
        <v>0</v>
      </c>
      <c r="S3392" s="14">
        <v>3.5400000000000005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4.32</v>
      </c>
      <c r="R3393" s="14">
        <v>0</v>
      </c>
      <c r="S3393" s="14">
        <v>4.5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2.1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5.4</v>
      </c>
      <c r="R3395" s="14">
        <v>0</v>
      </c>
      <c r="S3395" s="14">
        <v>10.8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2.5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45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0</v>
      </c>
      <c r="R3400" s="14">
        <v>0</v>
      </c>
      <c r="S3400" s="14">
        <v>9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0</v>
      </c>
      <c r="R3401" s="14">
        <v>0</v>
      </c>
      <c r="S3401" s="14">
        <v>24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24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0</v>
      </c>
      <c r="R3403" s="14">
        <v>0</v>
      </c>
      <c r="S3403" s="14">
        <v>21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36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0</v>
      </c>
      <c r="R3405" s="14">
        <v>0</v>
      </c>
      <c r="S3405" s="14">
        <v>15</v>
      </c>
      <c r="T3405" s="13">
        <v>0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1.125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5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4.2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73.599999999999994</v>
      </c>
      <c r="R3412" s="14">
        <v>0</v>
      </c>
      <c r="S3412" s="14">
        <v>73.599999999999994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21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36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9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120</v>
      </c>
      <c r="R3416" s="14">
        <v>0</v>
      </c>
      <c r="S3416" s="14">
        <v>42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2.5</v>
      </c>
      <c r="T3417" s="13">
        <v>0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0</v>
      </c>
      <c r="R3418" s="14">
        <v>0</v>
      </c>
      <c r="S3418" s="14">
        <v>16.799999999999997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9.6</v>
      </c>
      <c r="R3419" s="14">
        <v>0</v>
      </c>
      <c r="S3419" s="14">
        <v>9.6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20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36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141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0</v>
      </c>
      <c r="R3426" s="14">
        <v>0</v>
      </c>
      <c r="S3426" s="14">
        <v>4.5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9.6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12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3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48000</v>
      </c>
      <c r="R3430" s="14">
        <v>0</v>
      </c>
      <c r="S3430" s="14">
        <v>48000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1.125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0</v>
      </c>
      <c r="R3432" s="14">
        <v>0</v>
      </c>
      <c r="S3432" s="14">
        <v>8.7774999999999999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27705</v>
      </c>
      <c r="R3433" s="14">
        <v>0</v>
      </c>
      <c r="S3433" s="14">
        <v>27000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0</v>
      </c>
      <c r="R3434" s="14">
        <v>0</v>
      </c>
      <c r="S3434" s="14">
        <v>1.2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2.37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0</v>
      </c>
      <c r="R3440" s="14">
        <v>0</v>
      </c>
      <c r="S3440" s="14">
        <v>12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0</v>
      </c>
      <c r="R3441" s="14">
        <v>0</v>
      </c>
      <c r="S3441" s="14">
        <v>3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136.07999999999998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384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0</v>
      </c>
      <c r="R3445" s="14">
        <v>0</v>
      </c>
      <c r="S3445" s="14">
        <v>4.8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2.7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3.6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141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12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1.25</v>
      </c>
      <c r="T3451" s="13">
        <v>0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150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12.12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36.36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0</v>
      </c>
      <c r="R3455" s="14">
        <v>0</v>
      </c>
      <c r="S3455" s="14">
        <v>1.2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38.400000000000006</v>
      </c>
      <c r="R3456" s="14">
        <v>0</v>
      </c>
      <c r="S3456" s="14">
        <v>100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9.48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1.7999999999999998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3.6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168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120</v>
      </c>
      <c r="R3462" s="14">
        <v>0</v>
      </c>
      <c r="S3462" s="14">
        <v>72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7.5</v>
      </c>
      <c r="T3464" s="13">
        <v>0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-0.26174999999999998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4.9999999999999996E-2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37946.879999999997</v>
      </c>
      <c r="R3476" s="14">
        <v>0</v>
      </c>
      <c r="S3476" s="14">
        <v>74000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1.44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0</v>
      </c>
      <c r="R3479" s="14">
        <v>0</v>
      </c>
      <c r="S3479" s="14">
        <v>0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10.8</v>
      </c>
      <c r="R3480" s="14">
        <v>0</v>
      </c>
      <c r="S3480" s="14">
        <v>11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0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150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675</v>
      </c>
      <c r="R3484" s="14">
        <v>0</v>
      </c>
      <c r="S3484" s="14">
        <v>0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48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15.125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28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564.48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36</v>
      </c>
      <c r="R3494" s="14">
        <v>0</v>
      </c>
      <c r="S3494" s="14">
        <v>9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96</v>
      </c>
      <c r="R3495" s="14">
        <v>0</v>
      </c>
      <c r="S3495" s="14">
        <v>39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0</v>
      </c>
      <c r="R3496" s="14">
        <v>0</v>
      </c>
      <c r="S3496" s="14">
        <v>30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2.5</v>
      </c>
      <c r="T3497" s="13">
        <v>0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62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312.09000000000003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57.5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3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1.125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4.5999999999999996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0.6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2.5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105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0</v>
      </c>
      <c r="R3508" s="14">
        <v>0</v>
      </c>
      <c r="S3508" s="14">
        <v>18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3000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5.4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2.4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100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1200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500</v>
      </c>
      <c r="R3516" s="14">
        <v>0</v>
      </c>
      <c r="S3516" s="14">
        <v>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10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0</v>
      </c>
      <c r="R3518" s="14">
        <v>0</v>
      </c>
      <c r="S3518" s="14">
        <v>8.7499999999999982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2.37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2.25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0</v>
      </c>
      <c r="R3521" s="14">
        <v>0</v>
      </c>
      <c r="S3521" s="14">
        <v>1000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2.9950000000000001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7000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0</v>
      </c>
      <c r="R3524" s="14">
        <v>0</v>
      </c>
      <c r="S3524" s="14">
        <v>155.63849999999999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4.2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14.500000000000002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4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232.26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3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2.1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2.9125000000000001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2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200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0</v>
      </c>
      <c r="R3538" s="14">
        <v>0</v>
      </c>
      <c r="S3538" s="14">
        <v>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0</v>
      </c>
      <c r="R3539" s="14">
        <v>0</v>
      </c>
      <c r="S3539" s="14">
        <v>4.5999999999999996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2.37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0</v>
      </c>
      <c r="R3541" s="14">
        <v>0</v>
      </c>
      <c r="S3541" s="14">
        <v>2.5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3.99125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0.5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6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2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5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120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50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10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122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6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2.9125000000000001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1.2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11.85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30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48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2.5</v>
      </c>
      <c r="T3567" s="13">
        <v>0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3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0</v>
      </c>
      <c r="R3569" s="14">
        <v>0</v>
      </c>
      <c r="S3569" s="14">
        <v>0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1.5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1100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2.25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4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2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1.2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0</v>
      </c>
      <c r="R3583" s="14">
        <v>0</v>
      </c>
      <c r="S3583" s="14">
        <v>2.4000000000000004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0.48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0</v>
      </c>
      <c r="R3585" s="14">
        <v>0</v>
      </c>
      <c r="S3585" s="14">
        <v>0.48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0</v>
      </c>
      <c r="R3586" s="14">
        <v>0</v>
      </c>
      <c r="S3586" s="14">
        <v>13.799999999999999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1.0999999999999999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15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0</v>
      </c>
      <c r="R3589" s="14">
        <v>0</v>
      </c>
      <c r="S3589" s="14">
        <v>1.25</v>
      </c>
      <c r="T3589" s="13">
        <v>0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2.9175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0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 t="e">
        <f>VLOOKUP(H3592,'[3]BASE MC'!J:P,7,0)</f>
        <v>#N/A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 t="e">
        <f>VLOOKUP(H3593,'[3]BASE MC'!J:P,7,0)</f>
        <v>#N/A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 t="e">
        <f>VLOOKUP(H3594,'[3]BASE MC'!J:P,7,0)</f>
        <v>#N/A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 t="e">
        <f>VLOOKUP(H3595,'[3]BASE MC'!J:P,7,0)</f>
        <v>#N/A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0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 t="e">
        <f>VLOOKUP(H3597,'[3]BASE MC'!J:P,7,0)</f>
        <v>#N/A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 t="e">
        <f>VLOOKUP(H3600,'[3]BASE MC'!J:P,7,0)</f>
        <v>#N/A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 t="e">
        <f>VLOOKUP(H3601,'[3]BASE MC'!J:P,7,0)</f>
        <v>#N/A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 t="e">
        <f>VLOOKUP(H3602,'[3]BASE MC'!J:P,7,0)</f>
        <v>#N/A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 t="e">
        <f>VLOOKUP(H3604,'[3]BASE MC'!J:P,7,0)</f>
        <v>#N/A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 t="e">
        <f>VLOOKUP(H3605,'[3]BASE MC'!J:P,7,0)</f>
        <v>#N/A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 t="e">
        <f>VLOOKUP(H3606,'[3]BASE MC'!J:P,7,0)</f>
        <v>#N/A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 t="e">
        <f>VLOOKUP(H3607,'[3]BASE MC'!J:P,7,0)</f>
        <v>#N/A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 t="e">
        <f>VLOOKUP(H3608,'[3]BASE MC'!J:P,7,0)</f>
        <v>#N/A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 t="e">
        <f>VLOOKUP(H3609,'[3]BASE MC'!J:P,7,0)</f>
        <v>#N/A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 t="e">
        <f>VLOOKUP(H3610,'[3]BASE MC'!J:P,7,0)</f>
        <v>#N/A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 t="e">
        <f>VLOOKUP(H3611,'[3]BASE MC'!J:P,7,0)</f>
        <v>#N/A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 t="e">
        <f>VLOOKUP(H3612,'[3]BASE MC'!J:P,7,0)</f>
        <v>#N/A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250</v>
      </c>
      <c r="T3613" s="13" t="e">
        <f>VLOOKUP(H3613,'[3]BASE MC'!J:P,7,0)</f>
        <v>#N/A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 t="e">
        <f>VLOOKUP(H3614,'[3]BASE MC'!J:P,7,0)</f>
        <v>#N/A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364</v>
      </c>
      <c r="T3615" s="13" t="e">
        <f>VLOOKUP(H3615,'[3]BASE MC'!J:P,7,0)</f>
        <v>#N/A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 t="e">
        <f>VLOOKUP(H3616,'[3]BASE MC'!J:P,7,0)</f>
        <v>#N/A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910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62</v>
      </c>
      <c r="T3619" s="13" t="e">
        <f>VLOOKUP(H3619,'[3]BASE MC'!J:P,7,0)</f>
        <v>#N/A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 t="e">
        <f>VLOOKUP(H3620,'[3]BASE MC'!J:P,7,0)</f>
        <v>#N/A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 t="e">
        <f>VLOOKUP(H3621,'[3]BASE MC'!J:P,7,0)</f>
        <v>#N/A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 t="e">
        <f>VLOOKUP(H3622,'[3]BASE MC'!J:P,7,0)</f>
        <v>#N/A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 t="e">
        <f>VLOOKUP(H3624,'[3]BASE MC'!J:P,7,0)</f>
        <v>#N/A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 t="e">
        <f>VLOOKUP(H3627,'[3]BASE MC'!J:P,7,0)</f>
        <v>#N/A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0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 t="e">
        <f>VLOOKUP(H3629,'[3]BASE MC'!J:P,7,0)</f>
        <v>#N/A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 t="e">
        <f>VLOOKUP(H3630,'[3]BASE MC'!J:P,7,0)</f>
        <v>#N/A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 t="e">
        <f>VLOOKUP(H3631,'[3]BASE MC'!J:P,7,0)</f>
        <v>#N/A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1440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 t="e">
        <f>VLOOKUP(H3633,'[3]BASE MC'!J:P,7,0)</f>
        <v>#N/A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 t="e">
        <f>VLOOKUP(H3634,'[3]BASE MC'!J:P,7,0)</f>
        <v>#N/A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 t="e">
        <f>VLOOKUP(H3636,'[3]BASE MC'!J:P,7,0)</f>
        <v>#N/A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 t="e">
        <f>VLOOKUP(H3637,'[3]BASE MC'!J:P,7,0)</f>
        <v>#N/A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 t="e">
        <f>VLOOKUP(H3639,'[3]BASE MC'!J:P,7,0)</f>
        <v>#N/A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 t="e">
        <f>VLOOKUP(H3641,'[3]BASE MC'!J:P,7,0)</f>
        <v>#N/A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 t="e">
        <f>VLOOKUP(H3642,'[3]BASE MC'!J:P,7,0)</f>
        <v>#N/A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 t="e">
        <f>VLOOKUP(H3643,'[3]BASE MC'!J:P,7,0)</f>
        <v>#N/A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 t="e">
        <f>VLOOKUP(H3645,'[3]BASE MC'!J:P,7,0)</f>
        <v>#N/A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 t="e">
        <f>VLOOKUP(H3646,'[3]BASE MC'!J:P,7,0)</f>
        <v>#N/A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 t="e">
        <f>VLOOKUP(H3647,'[3]BASE MC'!J:P,7,0)</f>
        <v>#N/A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 t="e">
        <f>VLOOKUP(H3648,'[3]BASE MC'!J:P,7,0)</f>
        <v>#N/A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 t="e">
        <f>VLOOKUP(H3649,'[3]BASE MC'!J:P,7,0)</f>
        <v>#N/A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 t="e">
        <f>VLOOKUP(H3650,'[3]BASE MC'!J:P,7,0)</f>
        <v>#N/A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 t="e">
        <f>VLOOKUP(H3651,'[3]BASE MC'!J:P,7,0)</f>
        <v>#N/A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0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0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 t="e">
        <f>VLOOKUP(H3654,'[3]BASE MC'!J:P,7,0)</f>
        <v>#N/A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 t="e">
        <f>VLOOKUP(H3655,'[3]BASE MC'!J:P,7,0)</f>
        <v>#N/A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0</v>
      </c>
      <c r="R3656" s="14">
        <v>0</v>
      </c>
      <c r="S3656" s="14">
        <v>0</v>
      </c>
      <c r="T3656" s="13" t="e">
        <f>VLOOKUP(H3656,'[3]BASE MC'!J:P,7,0)</f>
        <v>#N/A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 t="e">
        <f>VLOOKUP(H3657,'[3]BASE MC'!J:P,7,0)</f>
        <v>#N/A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 t="e">
        <f>VLOOKUP(H3658,'[3]BASE MC'!J:P,7,0)</f>
        <v>#N/A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 t="e">
        <f>VLOOKUP(H3659,'[3]BASE MC'!J:P,7,0)</f>
        <v>#N/A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 t="e">
        <f>VLOOKUP(H3660,'[3]BASE MC'!J:P,7,0)</f>
        <v>#N/A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 t="e">
        <f>VLOOKUP(H3661,'[3]BASE MC'!J:P,7,0)</f>
        <v>#N/A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 t="e">
        <f>VLOOKUP(H3662,'[3]BASE MC'!J:P,7,0)</f>
        <v>#N/A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 t="e">
        <f>VLOOKUP(H3663,'[3]BASE MC'!J:P,7,0)</f>
        <v>#N/A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 t="e">
        <f>VLOOKUP(H3664,'[3]BASE MC'!J:P,7,0)</f>
        <v>#N/A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 t="e">
        <f>VLOOKUP(H3665,'[3]BASE MC'!J:P,7,0)</f>
        <v>#N/A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240</v>
      </c>
      <c r="R3666" s="14">
        <v>0</v>
      </c>
      <c r="S3666" s="14">
        <v>0</v>
      </c>
      <c r="T3666" s="13" t="e">
        <f>VLOOKUP(H3666,'[3]BASE MC'!J:P,7,0)</f>
        <v>#N/A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 t="e">
        <f>VLOOKUP(H3667,'[3]BASE MC'!J:P,7,0)</f>
        <v>#N/A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 t="e">
        <f>VLOOKUP(H3668,'[3]BASE MC'!J:P,7,0)</f>
        <v>#N/A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 t="e">
        <f>VLOOKUP(H3669,'[3]BASE MC'!J:P,7,0)</f>
        <v>#N/A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0</v>
      </c>
      <c r="R3670" s="14">
        <v>0</v>
      </c>
      <c r="S3670" s="14">
        <v>0</v>
      </c>
      <c r="T3670" s="13" t="e">
        <f>VLOOKUP(H3670,'[3]BASE MC'!J:P,7,0)</f>
        <v>#N/A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 t="e">
        <f>VLOOKUP(H3671,'[3]BASE MC'!J:P,7,0)</f>
        <v>#N/A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 t="e">
        <f>VLOOKUP(H3672,'[3]BASE MC'!J:P,7,0)</f>
        <v>#N/A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 t="e">
        <f>VLOOKUP(H3673,'[3]BASE MC'!J:P,7,0)</f>
        <v>#N/A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 t="e">
        <f>VLOOKUP(H3675,'[3]BASE MC'!J:P,7,0)</f>
        <v>#N/A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 t="e">
        <f>VLOOKUP(H3676,'[3]BASE MC'!J:P,7,0)</f>
        <v>#N/A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 t="e">
        <f>VLOOKUP(H3677,'[3]BASE MC'!J:P,7,0)</f>
        <v>#N/A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 t="e">
        <f>VLOOKUP(H3679,'[3]BASE MC'!J:P,7,0)</f>
        <v>#N/A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 t="e">
        <f>VLOOKUP(H3680,'[3]BASE MC'!J:P,7,0)</f>
        <v>#N/A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 t="e">
        <f>VLOOKUP(H3681,'[3]BASE MC'!J:P,7,0)</f>
        <v>#N/A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 t="e">
        <f>VLOOKUP(H3682,'[3]BASE MC'!J:P,7,0)</f>
        <v>#N/A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 t="e">
        <f>VLOOKUP(H3683,'[3]BASE MC'!J:P,7,0)</f>
        <v>#N/A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 t="e">
        <f>VLOOKUP(H3684,'[3]BASE MC'!J:P,7,0)</f>
        <v>#N/A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>
        <v>0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 t="e">
        <f>VLOOKUP(H3687,'[3]BASE MC'!J:P,7,0)</f>
        <v>#N/A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 t="e">
        <f>VLOOKUP(H3688,'[3]BASE MC'!J:P,7,0)</f>
        <v>#N/A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 t="e">
        <f>VLOOKUP(H3689,'[3]BASE MC'!J:P,7,0)</f>
        <v>#N/A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 t="e">
        <f>VLOOKUP(H3690,'[3]BASE MC'!J:P,7,0)</f>
        <v>#N/A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 t="e">
        <f>VLOOKUP(H3691,'[3]BASE MC'!J:P,7,0)</f>
        <v>#N/A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 t="e">
        <f>VLOOKUP(H3693,'[3]BASE MC'!J:P,7,0)</f>
        <v>#N/A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 t="e">
        <f>VLOOKUP(H3694,'[3]BASE MC'!J:P,7,0)</f>
        <v>#N/A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 t="e">
        <f>VLOOKUP(H3695,'[3]BASE MC'!J:P,7,0)</f>
        <v>#N/A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 t="e">
        <f>VLOOKUP(H3696,'[3]BASE MC'!J:P,7,0)</f>
        <v>#N/A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 t="e">
        <f>VLOOKUP(H3697,'[3]BASE MC'!J:P,7,0)</f>
        <v>#N/A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 t="e">
        <f>VLOOKUP(H3698,'[3]BASE MC'!J:P,7,0)</f>
        <v>#N/A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 t="e">
        <f>VLOOKUP(H3699,'[3]BASE MC'!J:P,7,0)</f>
        <v>#N/A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 t="e">
        <f>VLOOKUP(H3700,'[3]BASE MC'!J:P,7,0)</f>
        <v>#N/A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 t="e">
        <f>VLOOKUP(H3701,'[3]BASE MC'!J:P,7,0)</f>
        <v>#N/A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>
        <v>0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33.6</v>
      </c>
      <c r="R3703" s="14">
        <v>0</v>
      </c>
      <c r="S3703" s="14">
        <v>0</v>
      </c>
      <c r="T3703" s="13" t="e">
        <f>VLOOKUP(H3703,'[3]BASE MC'!J:P,7,0)</f>
        <v>#N/A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 t="e">
        <f>VLOOKUP(H3704,'[3]BASE MC'!J:P,7,0)</f>
        <v>#N/A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 t="e">
        <f>VLOOKUP(H3705,'[3]BASE MC'!J:P,7,0)</f>
        <v>#N/A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>
        <v>0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 t="e">
        <f>VLOOKUP(H3707,'[3]BASE MC'!J:P,7,0)</f>
        <v>#N/A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 t="e">
        <f>VLOOKUP(H3708,'[3]BASE MC'!J:P,7,0)</f>
        <v>#N/A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 t="e">
        <f>VLOOKUP(H3709,'[3]BASE MC'!J:P,7,0)</f>
        <v>#N/A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 t="e">
        <f>VLOOKUP(H3710,'[3]BASE MC'!J:P,7,0)</f>
        <v>#N/A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 t="e">
        <f>VLOOKUP(H3711,'[3]BASE MC'!J:P,7,0)</f>
        <v>#N/A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 t="e">
        <f>VLOOKUP(H3712,'[3]BASE MC'!J:P,7,0)</f>
        <v>#N/A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>
        <v>0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 t="e">
        <f>VLOOKUP(H3714,'[3]BASE MC'!J:P,7,0)</f>
        <v>#N/A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 t="e">
        <f>VLOOKUP(H3715,'[3]BASE MC'!J:P,7,0)</f>
        <v>#N/A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 t="e">
        <f>VLOOKUP(H3716,'[3]BASE MC'!J:P,7,0)</f>
        <v>#N/A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 t="e">
        <f>VLOOKUP(H3717,'[3]BASE MC'!J:P,7,0)</f>
        <v>#N/A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 t="e">
        <f>VLOOKUP(H3718,'[3]BASE MC'!J:P,7,0)</f>
        <v>#N/A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0</v>
      </c>
      <c r="R3719" s="14">
        <v>0</v>
      </c>
      <c r="S3719" s="14">
        <v>0</v>
      </c>
      <c r="T3719" s="13" t="e">
        <f>VLOOKUP(H3719,'[3]BASE MC'!J:P,7,0)</f>
        <v>#N/A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 t="e">
        <f>VLOOKUP(H3720,'[3]BASE MC'!J:P,7,0)</f>
        <v>#N/A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 t="e">
        <f>VLOOKUP(H3721,'[3]BASE MC'!J:P,7,0)</f>
        <v>#N/A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 t="e">
        <f>VLOOKUP(H3722,'[3]BASE MC'!J:P,7,0)</f>
        <v>#N/A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 t="e">
        <f>VLOOKUP(H3723,'[3]BASE MC'!J:P,7,0)</f>
        <v>#N/A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66</v>
      </c>
      <c r="T3724" s="13" t="e">
        <f>VLOOKUP(H3724,'[3]BASE MC'!J:P,7,0)</f>
        <v>#N/A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 t="e">
        <f>VLOOKUP(H3725,'[3]BASE MC'!J:P,7,0)</f>
        <v>#N/A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 t="e">
        <f>VLOOKUP(H3726,'[3]BASE MC'!J:P,7,0)</f>
        <v>#N/A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 t="e">
        <f>VLOOKUP(H3727,'[3]BASE MC'!J:P,7,0)</f>
        <v>#N/A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 t="e">
        <f>VLOOKUP(H3728,'[3]BASE MC'!J:P,7,0)</f>
        <v>#N/A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 t="e">
        <f>VLOOKUP(H3729,'[3]BASE MC'!J:P,7,0)</f>
        <v>#N/A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 t="e">
        <f>VLOOKUP(H3730,'[3]BASE MC'!J:P,7,0)</f>
        <v>#N/A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 t="e">
        <f>VLOOKUP(H3731,'[3]BASE MC'!J:P,7,0)</f>
        <v>#N/A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 t="e">
        <f>VLOOKUP(H3732,'[3]BASE MC'!J:P,7,0)</f>
        <v>#N/A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 t="e">
        <f>VLOOKUP(H3733,'[3]BASE MC'!J:P,7,0)</f>
        <v>#N/A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 t="e">
        <f>VLOOKUP(H3734,'[3]BASE MC'!J:P,7,0)</f>
        <v>#N/A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 t="e">
        <f>VLOOKUP(H3735,'[3]BASE MC'!J:P,7,0)</f>
        <v>#N/A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 t="e">
        <f>VLOOKUP(H3736,'[3]BASE MC'!J:P,7,0)</f>
        <v>#N/A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3.42</v>
      </c>
      <c r="T3737" s="13" t="e">
        <f>VLOOKUP(H3737,'[3]BASE MC'!J:P,7,0)</f>
        <v>#N/A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 t="e">
        <f>VLOOKUP(H3738,'[3]BASE MC'!J:P,7,0)</f>
        <v>#N/A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 t="e">
        <f>VLOOKUP(H3739,'[3]BASE MC'!J:P,7,0)</f>
        <v>#N/A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 t="e">
        <f>VLOOKUP(H3740,'[3]BASE MC'!J:P,7,0)</f>
        <v>#N/A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 t="e">
        <f>VLOOKUP(H3741,'[3]BASE MC'!J:P,7,0)</f>
        <v>#N/A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 t="e">
        <f>VLOOKUP(H3742,'[3]BASE MC'!J:P,7,0)</f>
        <v>#N/A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 t="e">
        <f>VLOOKUP(H3743,'[3]BASE MC'!J:P,7,0)</f>
        <v>#N/A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 t="e">
        <f>VLOOKUP(H3744,'[3]BASE MC'!J:P,7,0)</f>
        <v>#N/A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 t="e">
        <f>VLOOKUP(H3745,'[3]BASE MC'!J:P,7,0)</f>
        <v>#N/A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 t="e">
        <f>VLOOKUP(H3746,'[3]BASE MC'!J:P,7,0)</f>
        <v>#N/A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 t="e">
        <f>VLOOKUP(H3747,'[3]BASE MC'!J:P,7,0)</f>
        <v>#N/A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 t="e">
        <f>VLOOKUP(H3748,'[3]BASE MC'!J:P,7,0)</f>
        <v>#N/A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 t="e">
        <f>VLOOKUP(H3749,'[3]BASE MC'!J:P,7,0)</f>
        <v>#N/A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 t="e">
        <f>VLOOKUP(H3750,'[3]BASE MC'!J:P,7,0)</f>
        <v>#N/A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 t="e">
        <f>VLOOKUP(H3751,'[3]BASE MC'!J:P,7,0)</f>
        <v>#N/A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 t="e">
        <f>VLOOKUP(H3752,'[3]BASE MC'!J:P,7,0)</f>
        <v>#N/A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>
        <v>0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>
        <v>0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0</v>
      </c>
      <c r="R3755" s="14">
        <v>0</v>
      </c>
      <c r="S3755" s="14">
        <v>0</v>
      </c>
      <c r="T3755" s="13" t="e">
        <f>VLOOKUP(H3755,'[3]BASE MC'!J:P,7,0)</f>
        <v>#N/A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 t="e">
        <f>VLOOKUP(H3756,'[3]BASE MC'!J:P,7,0)</f>
        <v>#N/A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>
        <v>0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 t="e">
        <f>VLOOKUP(H3758,'[3]BASE MC'!J:P,7,0)</f>
        <v>#N/A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 t="e">
        <f>VLOOKUP(H3759,'[3]BASE MC'!J:P,7,0)</f>
        <v>#N/A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 t="e">
        <f>VLOOKUP(H3760,'[3]BASE MC'!J:P,7,0)</f>
        <v>#N/A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 t="e">
        <f>VLOOKUP(H3761,'[3]BASE MC'!J:P,7,0)</f>
        <v>#N/A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>
        <v>0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 t="e">
        <f>VLOOKUP(H3763,'[3]BASE MC'!J:P,7,0)</f>
        <v>#N/A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 t="e">
        <f>VLOOKUP(H3764,'[3]BASE MC'!J:P,7,0)</f>
        <v>#N/A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 t="e">
        <f>VLOOKUP(H3765,'[3]BASE MC'!J:P,7,0)</f>
        <v>#N/A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 t="e">
        <f>VLOOKUP(H3766,'[3]BASE MC'!J:P,7,0)</f>
        <v>#N/A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 t="e">
        <f>VLOOKUP(H3767,'[3]BASE MC'!J:P,7,0)</f>
        <v>#N/A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>
        <v>0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>
        <v>0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 t="e">
        <f>VLOOKUP(H3770,'[3]BASE MC'!J:P,7,0)</f>
        <v>#N/A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 t="e">
        <f>VLOOKUP(H3771,'[3]BASE MC'!J:P,7,0)</f>
        <v>#N/A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 t="e">
        <f>VLOOKUP(H3772,'[3]BASE MC'!J:P,7,0)</f>
        <v>#N/A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 t="e">
        <f>VLOOKUP(H3773,'[3]BASE MC'!J:P,7,0)</f>
        <v>#N/A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 t="e">
        <f>VLOOKUP(H3774,'[3]BASE MC'!J:P,7,0)</f>
        <v>#N/A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 t="e">
        <f>VLOOKUP(H3775,'[3]BASE MC'!J:P,7,0)</f>
        <v>#N/A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 t="e">
        <f>VLOOKUP(H3776,'[3]BASE MC'!J:P,7,0)</f>
        <v>#N/A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 t="e">
        <f>VLOOKUP(H3777,'[3]BASE MC'!J:P,7,0)</f>
        <v>#N/A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 t="e">
        <f>VLOOKUP(H3778,'[3]BASE MC'!J:P,7,0)</f>
        <v>#N/A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 t="e">
        <f>VLOOKUP(H3779,'[3]BASE MC'!J:P,7,0)</f>
        <v>#N/A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 t="e">
        <f>VLOOKUP(H3780,'[3]BASE MC'!J:P,7,0)</f>
        <v>#N/A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 t="e">
        <f>VLOOKUP(H3781,'[3]BASE MC'!J:P,7,0)</f>
        <v>#N/A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 t="e">
        <f>VLOOKUP(H3782,'[3]BASE MC'!J:P,7,0)</f>
        <v>#N/A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 t="e">
        <f>VLOOKUP(H3783,'[3]BASE MC'!J:P,7,0)</f>
        <v>#N/A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>
        <v>0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 t="e">
        <f>VLOOKUP(H3785,'[3]BASE MC'!J:P,7,0)</f>
        <v>#N/A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 t="e">
        <f>VLOOKUP(H3786,'[3]BASE MC'!J:P,7,0)</f>
        <v>#N/A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 t="e">
        <f>VLOOKUP(H3787,'[3]BASE MC'!J:P,7,0)</f>
        <v>#N/A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 t="e">
        <f>VLOOKUP(H3788,'[3]BASE MC'!J:P,7,0)</f>
        <v>#N/A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 t="e">
        <f>VLOOKUP(H3789,'[3]BASE MC'!J:P,7,0)</f>
        <v>#N/A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 t="e">
        <f>VLOOKUP(H3790,'[3]BASE MC'!J:P,7,0)</f>
        <v>#N/A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 t="e">
        <f>VLOOKUP(H3791,'[3]BASE MC'!J:P,7,0)</f>
        <v>#N/A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 t="e">
        <f>VLOOKUP(H3792,'[3]BASE MC'!J:P,7,0)</f>
        <v>#N/A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 t="e">
        <f>VLOOKUP(H3793,'[3]BASE MC'!J:P,7,0)</f>
        <v>#N/A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 t="e">
        <f>VLOOKUP(H3794,'[3]BASE MC'!J:P,7,0)</f>
        <v>#N/A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 t="e">
        <f>VLOOKUP(H3795,'[3]BASE MC'!J:P,7,0)</f>
        <v>#N/A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 t="e">
        <f>VLOOKUP(H3796,'[3]BASE MC'!J:P,7,0)</f>
        <v>#N/A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 t="e">
        <f>VLOOKUP(H3797,'[3]BASE MC'!J:P,7,0)</f>
        <v>#N/A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 t="e">
        <f>VLOOKUP(H3798,'[3]BASE MC'!J:P,7,0)</f>
        <v>#N/A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 t="e">
        <f>VLOOKUP(H3799,'[3]BASE MC'!J:P,7,0)</f>
        <v>#N/A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 t="e">
        <f>VLOOKUP(H3800,'[3]BASE MC'!J:P,7,0)</f>
        <v>#N/A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 t="e">
        <f>VLOOKUP(H3801,'[3]BASE MC'!J:P,7,0)</f>
        <v>#N/A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 t="e">
        <f>VLOOKUP(H3802,'[3]BASE MC'!J:P,7,0)</f>
        <v>#N/A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 t="e">
        <f>VLOOKUP(H3803,'[3]BASE MC'!J:P,7,0)</f>
        <v>#N/A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 t="e">
        <f>VLOOKUP(H3804,'[3]BASE MC'!J:P,7,0)</f>
        <v>#N/A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 t="e">
        <f>VLOOKUP(H3805,'[3]BASE MC'!J:P,7,0)</f>
        <v>#N/A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 t="e">
        <f>VLOOKUP(H3806,'[3]BASE MC'!J:P,7,0)</f>
        <v>#N/A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>
        <v>0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 t="e">
        <f>VLOOKUP(H3808,'[3]BASE MC'!J:P,7,0)</f>
        <v>#N/A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>
        <v>0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 t="e">
        <f>VLOOKUP(H3810,'[3]BASE MC'!J:P,7,0)</f>
        <v>#N/A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 t="e">
        <f>VLOOKUP(H3811,'[3]BASE MC'!J:P,7,0)</f>
        <v>#N/A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27</v>
      </c>
      <c r="T3813" s="13" t="e">
        <f>VLOOKUP(H3813,'[3]BASE MC'!J:P,7,0)</f>
        <v>#N/A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-20.145</v>
      </c>
      <c r="R3814" s="14">
        <v>0</v>
      </c>
      <c r="S3814" s="14">
        <v>0</v>
      </c>
      <c r="T3814" s="13" t="e">
        <f>VLOOKUP(H3814,'[3]BASE MC'!J:P,7,0)</f>
        <v>#N/A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142335.96</v>
      </c>
      <c r="R3815" s="14">
        <v>0</v>
      </c>
      <c r="S3815" s="14">
        <v>150000</v>
      </c>
      <c r="T3815" s="13" t="e">
        <f>VLOOKUP(H3815,'[3]BASE MC'!J:P,7,0)</f>
        <v>#N/A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0</v>
      </c>
      <c r="R3816" s="14">
        <v>0</v>
      </c>
      <c r="S3816" s="14">
        <v>5.3000000000000007</v>
      </c>
      <c r="T3816" s="13" t="e">
        <f>VLOOKUP(H3816,'[3]BASE MC'!J:P,7,0)</f>
        <v>#N/A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20</v>
      </c>
      <c r="T3817" s="13" t="e">
        <f>VLOOKUP(H3817,'[3]BASE MC'!J:P,7,0)</f>
        <v>#N/A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750</v>
      </c>
      <c r="R3819" s="14">
        <v>0</v>
      </c>
      <c r="S3819" s="14">
        <v>0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-168</v>
      </c>
      <c r="T3820" s="13" t="e">
        <f>VLOOKUP(H3820,'[3]BASE MC'!J:P,7,0)</f>
        <v>#N/A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0</v>
      </c>
      <c r="R3821" s="14">
        <v>0</v>
      </c>
      <c r="S3821" s="14">
        <v>228</v>
      </c>
      <c r="T3821" s="13" t="e">
        <f>VLOOKUP(H3821,'[3]BASE MC'!J:P,7,0)</f>
        <v>#N/A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-0.79999999999999993</v>
      </c>
      <c r="T3822" s="13" t="e">
        <f>VLOOKUP(H3822,'[3]BASE MC'!J:P,7,0)</f>
        <v>#N/A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 t="e">
        <f>VLOOKUP(H3823,'[3]BASE MC'!J:P,7,0)</f>
        <v>#N/A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-30</v>
      </c>
      <c r="T3825" s="13" t="e">
        <f>VLOOKUP(H3825,'[3]BASE MC'!J:P,7,0)</f>
        <v>#N/A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 t="e">
        <f>VLOOKUP(H3826,'[3]BASE MC'!J:P,7,0)</f>
        <v>#N/A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2300</v>
      </c>
      <c r="T3827" s="13" t="e">
        <f>VLOOKUP(H3827,'[3]BASE MC'!J:P,7,0)</f>
        <v>#N/A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50100</v>
      </c>
      <c r="R3828" s="14">
        <v>0</v>
      </c>
      <c r="S3828" s="14">
        <v>0</v>
      </c>
      <c r="T3828" s="13" t="e">
        <f>VLOOKUP(H3828,'[3]BASE MC'!J:P,7,0)</f>
        <v>#N/A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 t="e">
        <f>VLOOKUP(H3829,'[3]BASE MC'!J:P,7,0)</f>
        <v>#N/A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 t="e">
        <f>VLOOKUP(H3830,'[3]BASE MC'!J:P,7,0)</f>
        <v>#N/A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1.92</v>
      </c>
      <c r="T3831" s="13" t="e">
        <f>VLOOKUP(H3831,'[3]BASE MC'!J:P,7,0)</f>
        <v>#N/A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 t="e">
        <f>VLOOKUP(H3832,'[3]BASE MC'!J:P,7,0)</f>
        <v>#N/A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 t="e">
        <f>VLOOKUP(H3833,'[3]BASE MC'!J:P,7,0)</f>
        <v>#N/A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 t="e">
        <f>VLOOKUP(H3834,'[3]BASE MC'!J:P,7,0)</f>
        <v>#N/A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 t="e">
        <f>VLOOKUP(H3835,'[3]BASE MC'!J:P,7,0)</f>
        <v>#N/A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 t="e">
        <f>VLOOKUP(H3836,'[3]BASE MC'!J:P,7,0)</f>
        <v>#N/A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 t="e">
        <f>VLOOKUP(H3837,'[3]BASE MC'!J:P,7,0)</f>
        <v>#N/A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 t="e">
        <f>VLOOKUP(H3838,'[3]BASE MC'!J:P,7,0)</f>
        <v>#N/A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 t="e">
        <f>VLOOKUP(H3839,'[3]BASE MC'!J:P,7,0)</f>
        <v>#N/A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 t="e">
        <f>VLOOKUP(H3840,'[3]BASE MC'!J:P,7,0)</f>
        <v>#N/A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 t="e">
        <f>VLOOKUP(H3841,'[3]BASE MC'!J:P,7,0)</f>
        <v>#N/A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 t="e">
        <f>VLOOKUP(H3842,'[3]BASE MC'!J:P,7,0)</f>
        <v>#N/A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>
        <v>0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 t="e">
        <f>VLOOKUP(H3844,'[3]BASE MC'!J:P,7,0)</f>
        <v>#N/A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 t="e">
        <f>VLOOKUP(H3845,'[3]BASE MC'!J:P,7,0)</f>
        <v>#N/A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0</v>
      </c>
      <c r="R3846" s="14">
        <v>0</v>
      </c>
      <c r="S3846" s="14">
        <v>0</v>
      </c>
      <c r="T3846" s="13" t="e">
        <f>VLOOKUP(H3846,'[3]BASE MC'!J:P,7,0)</f>
        <v>#N/A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 t="e">
        <f>VLOOKUP(H3847,'[3]BASE MC'!J:P,7,0)</f>
        <v>#N/A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 t="e">
        <f>VLOOKUP(H3848,'[3]BASE MC'!J:P,7,0)</f>
        <v>#N/A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str">
        <f>VLOOKUP(F3849,'[2]DEPARA FOOD'!$B:$M,9,0)</f>
        <v>SP ITB FS FLAC REP.E COMERCIO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 t="e">
        <f>VLOOKUP(H3849,'[3]BASE MC'!J:P,7,0)</f>
        <v>#N/A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str">
        <f>VLOOKUP(F3850,'[2]DEPARA FOOD'!$B:$M,9,0)</f>
        <v>SP ITB FS FLAC REP.E COMERCIO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>
        <v>0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str">
        <f>VLOOKUP(F3851,'[2]DEPARA FOOD'!$B:$M,9,0)</f>
        <v>RAQUEL BARBOSA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0</v>
      </c>
      <c r="R3851" s="14">
        <v>0</v>
      </c>
      <c r="S3851" s="14">
        <v>24</v>
      </c>
      <c r="T3851" s="13" t="e">
        <f>VLOOKUP(H3851,'[3]BASE MC'!J:P,7,0)</f>
        <v>#N/A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 t="e">
        <f>VLOOKUP(H3852,'[3]BASE MC'!J:P,7,0)</f>
        <v>#N/A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664.32</v>
      </c>
      <c r="T3853" s="13" t="e">
        <f>VLOOKUP(H3853,'[3]BASE MC'!J:P,7,0)</f>
        <v>#N/A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 t="e">
        <f>VLOOKUP(H3854,'[3]BASE MC'!J:P,7,0)</f>
        <v>#N/A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12000</v>
      </c>
      <c r="R3855" s="14">
        <v>0</v>
      </c>
      <c r="S3855" s="14">
        <v>0</v>
      </c>
      <c r="T3855" s="13" t="e">
        <f>VLOOKUP(H3855,'[3]BASE MC'!J:P,7,0)</f>
        <v>#N/A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 t="e">
        <f>VLOOKUP(H3856,'[3]BASE MC'!J:P,7,0)</f>
        <v>#N/A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0</v>
      </c>
      <c r="T3857" s="13">
        <v>0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9</v>
      </c>
      <c r="R3858" s="14">
        <v>0</v>
      </c>
      <c r="S3858" s="14">
        <v>0</v>
      </c>
      <c r="T3858" s="13" t="e">
        <f>VLOOKUP(H3858,'[3]BASE MC'!J:P,7,0)</f>
        <v>#N/A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2896.9960000000001</v>
      </c>
      <c r="R3859" s="14">
        <v>0</v>
      </c>
      <c r="S3859" s="14">
        <v>3647</v>
      </c>
      <c r="T3859" s="13" t="e">
        <f>VLOOKUP(H3859,'[3]BASE MC'!J:P,7,0)</f>
        <v>#N/A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 t="e">
        <f>VLOOKUP(H3860,'[3]BASE MC'!J:P,7,0)</f>
        <v>#N/A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1000</v>
      </c>
      <c r="R3861" s="14">
        <v>0</v>
      </c>
      <c r="S3861" s="14">
        <v>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0</v>
      </c>
      <c r="R3862" s="14">
        <v>0</v>
      </c>
      <c r="S3862" s="14">
        <v>0</v>
      </c>
      <c r="T3862" s="13" t="e">
        <f>VLOOKUP(H3862,'[3]BASE MC'!J:P,7,0)</f>
        <v>#N/A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6.8800000000000008</v>
      </c>
      <c r="T3863" s="13" t="e">
        <f>VLOOKUP(H3863,'[3]BASE MC'!J:P,7,0)</f>
        <v>#N/A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298.95999999999998</v>
      </c>
      <c r="R3864" s="14">
        <v>0</v>
      </c>
      <c r="S3864" s="14">
        <v>0</v>
      </c>
      <c r="T3864" s="13" t="e">
        <f>VLOOKUP(H3864,'[3]BASE MC'!J:P,7,0)</f>
        <v>#N/A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28.44</v>
      </c>
      <c r="R3865" s="14">
        <v>0</v>
      </c>
      <c r="S3865" s="14">
        <v>56.88</v>
      </c>
      <c r="T3865" s="13" t="e">
        <f>VLOOKUP(H3865,'[3]BASE MC'!J:P,7,0)</f>
        <v>#N/A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28.44</v>
      </c>
      <c r="R3866" s="14">
        <v>0</v>
      </c>
      <c r="S3866" s="14">
        <v>56.88</v>
      </c>
      <c r="T3866" s="13" t="e">
        <f>VLOOKUP(H3866,'[3]BASE MC'!J:P,7,0)</f>
        <v>#N/A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18.96</v>
      </c>
      <c r="R3867" s="14">
        <v>0</v>
      </c>
      <c r="S3867" s="14">
        <v>37.92</v>
      </c>
      <c r="T3867" s="13" t="e">
        <f>VLOOKUP(H3867,'[3]BASE MC'!J:P,7,0)</f>
        <v>#N/A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23.6</v>
      </c>
      <c r="R3868" s="14">
        <v>0</v>
      </c>
      <c r="S3868" s="14">
        <v>24</v>
      </c>
      <c r="T3868" s="13" t="e">
        <f>VLOOKUP(H3868,'[3]BASE MC'!J:P,7,0)</f>
        <v>#N/A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0</v>
      </c>
      <c r="R3869" s="14">
        <v>0</v>
      </c>
      <c r="S3869" s="14">
        <v>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5</v>
      </c>
      <c r="T3871" s="13">
        <v>0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5</v>
      </c>
      <c r="R3872" s="14">
        <v>0</v>
      </c>
      <c r="S3872" s="14">
        <v>5</v>
      </c>
      <c r="T3872" s="13">
        <v>0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6</v>
      </c>
      <c r="R3873" s="14">
        <v>0</v>
      </c>
      <c r="S3873" s="14">
        <v>0</v>
      </c>
      <c r="T3873" s="13" t="e">
        <f>VLOOKUP(H3873,'[3]BASE MC'!J:P,7,0)</f>
        <v>#N/A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4.5</v>
      </c>
      <c r="T3874" s="13" t="e">
        <f>VLOOKUP(H3874,'[3]BASE MC'!J:P,7,0)</f>
        <v>#N/A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 t="e">
        <f>VLOOKUP(H3877,'[3]BASE MC'!J:P,7,0)</f>
        <v>#N/A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0</v>
      </c>
      <c r="T3878" s="13" t="e">
        <f>VLOOKUP(H3878,'[3]BASE MC'!J:P,7,0)</f>
        <v>#N/A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21.6</v>
      </c>
      <c r="R3879" s="14">
        <v>0</v>
      </c>
      <c r="S3879" s="14">
        <v>0</v>
      </c>
      <c r="T3879" s="13" t="e">
        <f>VLOOKUP(H3879,'[3]BASE MC'!J:P,7,0)</f>
        <v>#N/A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0</v>
      </c>
      <c r="R3880" s="14">
        <v>0</v>
      </c>
      <c r="S3880" s="14">
        <v>500</v>
      </c>
      <c r="T3880" s="13" t="e">
        <f>VLOOKUP(H3880,'[3]BASE MC'!J:P,7,0)</f>
        <v>#N/A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10.8</v>
      </c>
      <c r="R3881" s="14">
        <v>0</v>
      </c>
      <c r="S3881" s="14">
        <v>0</v>
      </c>
      <c r="T3881" s="13" t="e">
        <f>VLOOKUP(H3881,'[3]BASE MC'!J:P,7,0)</f>
        <v>#N/A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2.4</v>
      </c>
      <c r="R3882" s="14">
        <v>0</v>
      </c>
      <c r="S3882" s="14">
        <v>2.4</v>
      </c>
      <c r="T3882" s="13" t="e">
        <f>VLOOKUP(H3882,'[3]BASE MC'!J:P,7,0)</f>
        <v>#N/A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17.920000000000002</v>
      </c>
      <c r="R3883" s="14">
        <v>0</v>
      </c>
      <c r="S3883" s="14">
        <v>17.920000000000002</v>
      </c>
      <c r="T3883" s="13" t="e">
        <f>VLOOKUP(H3883,'[3]BASE MC'!J:P,7,0)</f>
        <v>#N/A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862</v>
      </c>
      <c r="T3884" s="13" t="e">
        <f>VLOOKUP(H3884,'[3]BASE MC'!J:P,7,0)</f>
        <v>#N/A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0</v>
      </c>
      <c r="R3885" s="14">
        <v>0</v>
      </c>
      <c r="S3885" s="14">
        <v>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10</v>
      </c>
      <c r="R3886" s="14">
        <v>0</v>
      </c>
      <c r="S3886" s="14">
        <v>5</v>
      </c>
      <c r="T3886" s="13">
        <v>0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5</v>
      </c>
      <c r="T3887" s="13">
        <v>0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21.6</v>
      </c>
      <c r="R3888" s="14">
        <v>0</v>
      </c>
      <c r="S3888" s="14">
        <v>0</v>
      </c>
      <c r="T3888" s="13" t="e">
        <f>VLOOKUP(H3888,'[3]BASE MC'!J:P,7,0)</f>
        <v>#N/A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 t="e">
        <f>VLOOKUP(H3889,'[3]BASE MC'!J:P,7,0)</f>
        <v>#N/A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31.5</v>
      </c>
      <c r="R3890" s="14">
        <v>0</v>
      </c>
      <c r="S3890" s="14">
        <v>0</v>
      </c>
      <c r="T3890" s="13" t="e">
        <f>VLOOKUP(H3890,'[3]BASE MC'!J:P,7,0)</f>
        <v>#N/A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 t="e">
        <f>VLOOKUP(H3891,'[3]BASE MC'!J:P,7,0)</f>
        <v>#N/A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18</v>
      </c>
      <c r="R3892" s="14">
        <v>0</v>
      </c>
      <c r="S3892" s="14">
        <v>0</v>
      </c>
      <c r="T3892" s="13" t="e">
        <f>VLOOKUP(H3892,'[3]BASE MC'!J:P,7,0)</f>
        <v>#N/A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 t="e">
        <f>VLOOKUP(H3893,'[3]BASE MC'!J:P,7,0)</f>
        <v>#N/A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 t="e">
        <f>VLOOKUP(H3894,'[3]BASE MC'!J:P,7,0)</f>
        <v>#N/A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19.2</v>
      </c>
      <c r="T3895" s="13" t="e">
        <f>VLOOKUP(H3895,'[3]BASE MC'!J:P,7,0)</f>
        <v>#N/A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57.6</v>
      </c>
      <c r="R3896" s="14">
        <v>0</v>
      </c>
      <c r="S3896" s="14">
        <v>57.6</v>
      </c>
      <c r="T3896" s="13" t="e">
        <f>VLOOKUP(H3896,'[3]BASE MC'!J:P,7,0)</f>
        <v>#N/A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4.5</v>
      </c>
      <c r="R3897" s="14">
        <v>0</v>
      </c>
      <c r="S3897" s="14">
        <v>4.5</v>
      </c>
      <c r="T3897" s="13" t="e">
        <f>VLOOKUP(H3897,'[3]BASE MC'!J:P,7,0)</f>
        <v>#N/A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486</v>
      </c>
      <c r="R3898" s="14">
        <v>0</v>
      </c>
      <c r="S3898" s="14">
        <v>729</v>
      </c>
      <c r="T3898" s="13" t="e">
        <f>VLOOKUP(H3898,'[3]BASE MC'!J:P,7,0)</f>
        <v>#N/A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136</v>
      </c>
      <c r="R3899" s="14">
        <v>0</v>
      </c>
      <c r="S3899" s="14">
        <v>39.119999999999997</v>
      </c>
      <c r="T3899" s="13" t="e">
        <f>VLOOKUP(H3899,'[3]BASE MC'!J:P,7,0)</f>
        <v>#N/A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8.9600000000000009</v>
      </c>
      <c r="R3900" s="14">
        <v>0</v>
      </c>
      <c r="S3900" s="14">
        <v>8.9600000000000009</v>
      </c>
      <c r="T3900" s="13" t="e">
        <f>VLOOKUP(H3900,'[3]BASE MC'!J:P,7,0)</f>
        <v>#N/A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21.33</v>
      </c>
      <c r="R3901" s="14">
        <v>0</v>
      </c>
      <c r="S3901" s="14">
        <v>21.33</v>
      </c>
      <c r="T3901" s="13" t="e">
        <f>VLOOKUP(H3901,'[3]BASE MC'!J:P,7,0)</f>
        <v>#N/A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 t="e">
        <f>VLOOKUP(H3902,'[3]BASE MC'!J:P,7,0)</f>
        <v>#N/A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3.6</v>
      </c>
      <c r="R3903" s="14">
        <v>0</v>
      </c>
      <c r="S3903" s="14">
        <v>3.6</v>
      </c>
      <c r="T3903" s="13" t="e">
        <f>VLOOKUP(H3903,'[3]BASE MC'!J:P,7,0)</f>
        <v>#N/A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0</v>
      </c>
      <c r="T3904" s="13" t="e">
        <f>VLOOKUP(H3904,'[3]BASE MC'!J:P,7,0)</f>
        <v>#N/A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 t="e">
        <f>VLOOKUP(H3905,'[3]BASE MC'!J:P,7,0)</f>
        <v>#N/A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25000</v>
      </c>
      <c r="R3906" s="14">
        <v>0</v>
      </c>
      <c r="S3906" s="14">
        <v>25000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11150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>
        <v>0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0</v>
      </c>
      <c r="T3909" s="13">
        <v>0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0</v>
      </c>
      <c r="T3910" s="13">
        <v>0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8</v>
      </c>
      <c r="T3911" s="13" t="e">
        <f>VLOOKUP(H3911,'[3]BASE MC'!J:P,7,0)</f>
        <v>#N/A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0</v>
      </c>
      <c r="R3912" s="14">
        <v>0</v>
      </c>
      <c r="S3912" s="14">
        <v>0</v>
      </c>
      <c r="T3912" s="13" t="e">
        <f>VLOOKUP(H3912,'[3]BASE MC'!J:P,7,0)</f>
        <v>#N/A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 t="e">
        <f>VLOOKUP(H3913,'[3]BASE MC'!J:P,7,0)</f>
        <v>#N/A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50</v>
      </c>
      <c r="R3914" s="14">
        <v>0</v>
      </c>
      <c r="S3914" s="14">
        <v>50</v>
      </c>
      <c r="T3914" s="13" t="e">
        <f>VLOOKUP(H3914,'[3]BASE MC'!J:P,7,0)</f>
        <v>#N/A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11088</v>
      </c>
      <c r="R3915" s="14">
        <v>0</v>
      </c>
      <c r="S3915" s="14">
        <v>3024</v>
      </c>
      <c r="T3915" s="13" t="e">
        <f>VLOOKUP(H3915,'[3]BASE MC'!J:P,7,0)</f>
        <v>#N/A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9.1999999999999993</v>
      </c>
      <c r="T3916" s="13" t="e">
        <f>VLOOKUP(H3916,'[3]BASE MC'!J:P,7,0)</f>
        <v>#N/A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25.48</v>
      </c>
      <c r="T3917" s="13" t="e">
        <f>VLOOKUP(H3917,'[3]BASE MC'!J:P,7,0)</f>
        <v>#N/A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18.96</v>
      </c>
      <c r="R3918" s="14">
        <v>0</v>
      </c>
      <c r="S3918" s="14">
        <v>18.96</v>
      </c>
      <c r="T3918" s="13" t="e">
        <f>VLOOKUP(H3918,'[3]BASE MC'!J:P,7,0)</f>
        <v>#N/A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75.84</v>
      </c>
      <c r="T3919" s="13" t="e">
        <f>VLOOKUP(H3919,'[3]BASE MC'!J:P,7,0)</f>
        <v>#N/A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10</v>
      </c>
      <c r="T3920" s="13" t="e">
        <f>VLOOKUP(H3920,'[3]BASE MC'!J:P,7,0)</f>
        <v>#N/A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5.4</v>
      </c>
      <c r="T3921" s="13" t="e">
        <f>VLOOKUP(H3921,'[3]BASE MC'!J:P,7,0)</f>
        <v>#N/A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2.4</v>
      </c>
      <c r="T3922" s="13" t="e">
        <f>VLOOKUP(H3922,'[3]BASE MC'!J:P,7,0)</f>
        <v>#N/A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250</v>
      </c>
      <c r="T3923" s="13" t="e">
        <f>VLOOKUP(H3923,'[3]BASE MC'!J:P,7,0)</f>
        <v>#N/A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 t="e">
        <f>VLOOKUP(H3924,'[3]BASE MC'!J:P,7,0)</f>
        <v>#N/A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 t="e">
        <f>VLOOKUP(H3925,'[3]BASE MC'!J:P,7,0)</f>
        <v>#N/A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 t="e">
        <f>VLOOKUP(H3926,'[3]BASE MC'!J:P,7,0)</f>
        <v>#N/A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 t="e">
        <f>VLOOKUP(H3927,'[3]BASE MC'!J:P,7,0)</f>
        <v>#N/A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0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0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0</v>
      </c>
      <c r="T3931" s="13" t="e">
        <f>VLOOKUP(H3931,'[3]BASE MC'!J:P,7,0)</f>
        <v>#N/A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 t="e">
        <f>VLOOKUP(H3932,'[3]BASE MC'!J:P,7,0)</f>
        <v>#N/A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 t="e">
        <f>VLOOKUP(H3933,'[3]BASE MC'!J:P,7,0)</f>
        <v>#N/A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12</v>
      </c>
      <c r="R3934" s="14">
        <v>0</v>
      </c>
      <c r="S3934" s="14">
        <v>12</v>
      </c>
      <c r="T3934" s="13" t="e">
        <f>VLOOKUP(H3934,'[3]BASE MC'!J:P,7,0)</f>
        <v>#N/A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0</v>
      </c>
      <c r="T3935" s="13" t="e">
        <f>VLOOKUP(H3935,'[3]BASE MC'!J:P,7,0)</f>
        <v>#N/A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 t="e">
        <f>VLOOKUP(H3936,'[3]BASE MC'!J:P,7,0)</f>
        <v>#N/A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14</v>
      </c>
      <c r="D3937" s="5" t="s">
        <v>49</v>
      </c>
      <c r="E3937" s="5" t="s">
        <v>50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0</v>
      </c>
      <c r="R3937" s="14">
        <v>0</v>
      </c>
      <c r="S3937" s="14">
        <v>0</v>
      </c>
      <c r="T3937" s="13" t="e">
        <f>VLOOKUP(H3937,'[3]BASE MC'!J:P,7,0)</f>
        <v>#N/A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 t="e">
        <f>VLOOKUP(H3938,'[3]BASE MC'!J:P,7,0)</f>
        <v>#N/A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92.879999999999981</v>
      </c>
      <c r="R3939" s="14">
        <v>0</v>
      </c>
      <c r="S3939" s="14">
        <v>0</v>
      </c>
      <c r="T3939" s="13" t="e">
        <f>VLOOKUP(H3939,'[3]BASE MC'!J:P,7,0)</f>
        <v>#N/A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14</v>
      </c>
      <c r="D3940" s="5" t="s">
        <v>49</v>
      </c>
      <c r="E3940" s="5" t="s">
        <v>50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900</v>
      </c>
      <c r="R3940" s="14">
        <v>0</v>
      </c>
      <c r="S3940" s="14">
        <v>0</v>
      </c>
      <c r="T3940" s="13" t="e">
        <f>VLOOKUP(H3940,'[3]BASE MC'!J:P,7,0)</f>
        <v>#N/A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0</v>
      </c>
      <c r="R3941" s="14">
        <v>0</v>
      </c>
      <c r="S3941" s="14">
        <v>0</v>
      </c>
      <c r="T3941" s="13" t="e">
        <f>VLOOKUP(H3941,'[3]BASE MC'!J:P,7,0)</f>
        <v>#N/A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120</v>
      </c>
      <c r="R3942" s="14">
        <v>0</v>
      </c>
      <c r="S3942" s="14">
        <v>0</v>
      </c>
      <c r="T3942" s="13" t="e">
        <f>VLOOKUP(H3942,'[3]BASE MC'!J:P,7,0)</f>
        <v>#N/A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0</v>
      </c>
      <c r="T3943" s="13" t="e">
        <f>VLOOKUP(H3943,'[3]BASE MC'!J:P,7,0)</f>
        <v>#N/A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30</v>
      </c>
      <c r="R3945" s="14">
        <v>0</v>
      </c>
      <c r="S3945" s="14">
        <v>0</v>
      </c>
      <c r="T3945" s="13" t="e">
        <f>VLOOKUP(H3945,'[3]BASE MC'!J:P,7,0)</f>
        <v>#N/A</v>
      </c>
    </row>
    <row r="3946" spans="1:20" x14ac:dyDescent="0.3">
      <c r="A3946" t="str">
        <f t="shared" si="122"/>
        <v>(vazio)LACTALIS</v>
      </c>
      <c r="B3946" t="str">
        <f t="shared" si="123"/>
        <v>5340656(vazio)LACTALIS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1776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6</v>
      </c>
      <c r="R3946" s="14">
        <v>0</v>
      </c>
      <c r="S3946" s="14">
        <v>0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67.2</v>
      </c>
      <c r="R3947" s="14">
        <v>0</v>
      </c>
      <c r="S3947" s="14">
        <v>0</v>
      </c>
      <c r="T3947" s="13" t="e">
        <f>VLOOKUP(H3947,'[3]BASE MC'!J:P,7,0)</f>
        <v>#N/A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9.6</v>
      </c>
      <c r="R3948" s="14">
        <v>0</v>
      </c>
      <c r="S3948" s="14">
        <v>0</v>
      </c>
      <c r="T3948" s="13" t="e">
        <f>VLOOKUP(H3948,'[3]BASE MC'!J:P,7,0)</f>
        <v>#N/A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9.6</v>
      </c>
      <c r="R3949" s="14">
        <v>0</v>
      </c>
      <c r="S3949" s="14">
        <v>0</v>
      </c>
      <c r="T3949" s="13" t="e">
        <f>VLOOKUP(H3949,'[3]BASE MC'!J:P,7,0)</f>
        <v>#N/A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20</v>
      </c>
      <c r="R3950" s="14">
        <v>0</v>
      </c>
      <c r="S3950" s="14">
        <v>0</v>
      </c>
      <c r="T3950" s="13" t="e">
        <f>VLOOKUP(H3950,'[3]BASE MC'!J:P,7,0)</f>
        <v>#N/A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9.48</v>
      </c>
      <c r="R3951" s="14">
        <v>0</v>
      </c>
      <c r="S3951" s="14">
        <v>0</v>
      </c>
      <c r="T3951" s="13" t="e">
        <f>VLOOKUP(H3951,'[3]BASE MC'!J:P,7,0)</f>
        <v>#N/A</v>
      </c>
    </row>
    <row r="3952" spans="1:20" x14ac:dyDescent="0.3">
      <c r="A3952" t="str">
        <f t="shared" si="122"/>
        <v/>
      </c>
      <c r="B3952" t="str">
        <f t="shared" si="123"/>
        <v/>
      </c>
      <c r="C3952" s="5"/>
      <c r="D3952" s="5"/>
      <c r="E3952" s="5"/>
      <c r="F3952" s="5"/>
      <c r="G3952" s="5"/>
      <c r="H3952" s="5"/>
      <c r="I3952" s="5"/>
      <c r="J3952" s="5"/>
      <c r="K3952" s="6"/>
      <c r="L3952" s="14"/>
      <c r="M3952" s="14"/>
      <c r="N3952" s="14"/>
      <c r="O3952" s="14"/>
      <c r="P3952" s="14"/>
      <c r="Q3952" s="14"/>
      <c r="R3952" s="14"/>
      <c r="S3952" s="14"/>
      <c r="T3952" s="13"/>
    </row>
    <row r="3953" spans="1:20" x14ac:dyDescent="0.3">
      <c r="A3953" t="str">
        <f t="shared" si="122"/>
        <v/>
      </c>
      <c r="B3953" t="str">
        <f t="shared" si="123"/>
        <v/>
      </c>
      <c r="C3953" s="5"/>
      <c r="D3953" s="5"/>
      <c r="E3953" s="5"/>
      <c r="F3953" s="5"/>
      <c r="G3953" s="5"/>
      <c r="H3953" s="5"/>
      <c r="I3953" s="5"/>
      <c r="J3953" s="5"/>
      <c r="K3953" s="6"/>
      <c r="L3953" s="14"/>
      <c r="M3953" s="14"/>
      <c r="N3953" s="14"/>
      <c r="O3953" s="14"/>
      <c r="P3953" s="14"/>
      <c r="Q3953" s="14"/>
      <c r="R3953" s="14"/>
      <c r="S3953" s="14"/>
      <c r="T3953" s="13"/>
    </row>
    <row r="3954" spans="1:20" x14ac:dyDescent="0.3">
      <c r="A3954" t="str">
        <f t="shared" si="122"/>
        <v/>
      </c>
      <c r="B3954" t="str">
        <f t="shared" si="123"/>
        <v/>
      </c>
      <c r="C3954" s="5"/>
      <c r="D3954" s="5"/>
      <c r="E3954" s="5"/>
      <c r="F3954" s="5"/>
      <c r="G3954" s="5"/>
      <c r="H3954" s="5"/>
      <c r="I3954" s="5"/>
      <c r="J3954" s="5"/>
      <c r="K3954" s="6"/>
      <c r="L3954" s="14"/>
      <c r="M3954" s="14"/>
      <c r="N3954" s="14"/>
      <c r="O3954" s="14"/>
      <c r="P3954" s="14"/>
      <c r="Q3954" s="14"/>
      <c r="R3954" s="14"/>
      <c r="S3954" s="14"/>
      <c r="T3954" s="13"/>
    </row>
    <row r="3955" spans="1:20" x14ac:dyDescent="0.3">
      <c r="A3955" t="str">
        <f t="shared" si="122"/>
        <v/>
      </c>
      <c r="B3955" t="str">
        <f t="shared" si="123"/>
        <v/>
      </c>
      <c r="C3955" s="5"/>
      <c r="D3955" s="5"/>
      <c r="E3955" s="5"/>
      <c r="F3955" s="5"/>
      <c r="G3955" s="5"/>
      <c r="H3955" s="5"/>
      <c r="I3955" s="5"/>
      <c r="J3955" s="5"/>
      <c r="K3955" s="6"/>
      <c r="L3955" s="14"/>
      <c r="M3955" s="14"/>
      <c r="N3955" s="14"/>
      <c r="O3955" s="14"/>
      <c r="P3955" s="14"/>
      <c r="Q3955" s="14"/>
      <c r="R3955" s="14"/>
      <c r="S3955" s="14"/>
      <c r="T3955" s="13"/>
    </row>
    <row r="3956" spans="1:20" x14ac:dyDescent="0.3">
      <c r="A3956" t="str">
        <f t="shared" si="122"/>
        <v/>
      </c>
      <c r="B3956" t="str">
        <f t="shared" si="123"/>
        <v/>
      </c>
      <c r="C3956" s="5"/>
      <c r="D3956" s="5"/>
      <c r="E3956" s="5"/>
      <c r="F3956" s="5"/>
      <c r="G3956" s="5"/>
      <c r="H3956" s="5"/>
      <c r="I3956" s="5"/>
      <c r="J3956" s="5"/>
      <c r="K3956" s="6"/>
      <c r="L3956" s="14"/>
      <c r="M3956" s="14"/>
      <c r="N3956" s="14"/>
      <c r="O3956" s="14"/>
      <c r="P3956" s="14"/>
      <c r="Q3956" s="14"/>
      <c r="R3956" s="14"/>
      <c r="S3956" s="14"/>
      <c r="T3956" s="13"/>
    </row>
    <row r="3957" spans="1:20" x14ac:dyDescent="0.3">
      <c r="A3957" t="str">
        <f t="shared" si="122"/>
        <v/>
      </c>
      <c r="B3957" t="str">
        <f t="shared" si="123"/>
        <v/>
      </c>
      <c r="C3957" s="5"/>
      <c r="D3957" s="5"/>
      <c r="E3957" s="5"/>
      <c r="F3957" s="5"/>
      <c r="G3957" s="5"/>
      <c r="H3957" s="5"/>
      <c r="I3957" s="5"/>
      <c r="J3957" s="5"/>
      <c r="K3957" s="6"/>
      <c r="L3957" s="14"/>
      <c r="M3957" s="14"/>
      <c r="N3957" s="14"/>
      <c r="O3957" s="14"/>
      <c r="P3957" s="14"/>
      <c r="Q3957" s="14"/>
      <c r="R3957" s="14"/>
      <c r="S3957" s="14"/>
      <c r="T3957" s="13"/>
    </row>
    <row r="3958" spans="1:20" x14ac:dyDescent="0.3">
      <c r="A3958" t="str">
        <f t="shared" si="122"/>
        <v/>
      </c>
      <c r="B3958" t="str">
        <f t="shared" si="123"/>
        <v/>
      </c>
      <c r="C3958" s="5"/>
      <c r="D3958" s="5"/>
      <c r="E3958" s="5"/>
      <c r="F3958" s="5"/>
      <c r="G3958" s="5"/>
      <c r="H3958" s="5"/>
      <c r="I3958" s="5"/>
      <c r="J3958" s="5"/>
      <c r="K3958" s="6"/>
      <c r="L3958" s="14"/>
      <c r="M3958" s="14"/>
      <c r="N3958" s="14"/>
      <c r="O3958" s="14"/>
      <c r="P3958" s="14"/>
      <c r="Q3958" s="14"/>
      <c r="R3958" s="14"/>
      <c r="S3958" s="14"/>
      <c r="T3958" s="13"/>
    </row>
    <row r="3959" spans="1:20" x14ac:dyDescent="0.3">
      <c r="A3959" t="str">
        <f t="shared" si="122"/>
        <v/>
      </c>
      <c r="B3959" t="str">
        <f t="shared" si="123"/>
        <v/>
      </c>
      <c r="C3959" s="5"/>
      <c r="D3959" s="5"/>
      <c r="E3959" s="5"/>
      <c r="F3959" s="5"/>
      <c r="G3959" s="5"/>
      <c r="H3959" s="5"/>
      <c r="I3959" s="5"/>
      <c r="J3959" s="5"/>
      <c r="K3959" s="6"/>
      <c r="L3959" s="14"/>
      <c r="M3959" s="14"/>
      <c r="N3959" s="14"/>
      <c r="O3959" s="14"/>
      <c r="P3959" s="14"/>
      <c r="Q3959" s="14"/>
      <c r="R3959" s="14"/>
      <c r="S3959" s="14"/>
      <c r="T3959" s="13"/>
    </row>
    <row r="3960" spans="1:20" x14ac:dyDescent="0.3">
      <c r="A3960" t="str">
        <f t="shared" si="122"/>
        <v/>
      </c>
      <c r="B3960" t="str">
        <f t="shared" si="123"/>
        <v/>
      </c>
      <c r="C3960" s="5"/>
      <c r="D3960" s="5"/>
      <c r="E3960" s="5"/>
      <c r="F3960" s="5"/>
      <c r="G3960" s="5"/>
      <c r="H3960" s="5"/>
      <c r="I3960" s="5"/>
      <c r="J3960" s="5"/>
      <c r="K3960" s="6"/>
      <c r="L3960" s="14"/>
      <c r="M3960" s="14"/>
      <c r="N3960" s="14"/>
      <c r="O3960" s="14"/>
      <c r="P3960" s="14"/>
      <c r="Q3960" s="14"/>
      <c r="R3960" s="14"/>
      <c r="S3960" s="14"/>
      <c r="T3960" s="13"/>
    </row>
    <row r="3961" spans="1:20" x14ac:dyDescent="0.3">
      <c r="A3961" t="str">
        <f t="shared" si="122"/>
        <v/>
      </c>
      <c r="B3961" t="str">
        <f t="shared" si="123"/>
        <v/>
      </c>
      <c r="C3961" s="5"/>
      <c r="D3961" s="5"/>
      <c r="E3961" s="5"/>
      <c r="F3961" s="5"/>
      <c r="G3961" s="5"/>
      <c r="H3961" s="5"/>
      <c r="I3961" s="5"/>
      <c r="J3961" s="5"/>
      <c r="K3961" s="6"/>
      <c r="L3961" s="14"/>
      <c r="M3961" s="14"/>
      <c r="N3961" s="14"/>
      <c r="O3961" s="14"/>
      <c r="P3961" s="14"/>
      <c r="Q3961" s="14"/>
      <c r="R3961" s="14"/>
      <c r="S3961" s="14"/>
      <c r="T3961" s="13"/>
    </row>
    <row r="3962" spans="1:20" x14ac:dyDescent="0.3">
      <c r="A3962" t="str">
        <f t="shared" si="122"/>
        <v/>
      </c>
      <c r="B3962" t="str">
        <f t="shared" si="123"/>
        <v/>
      </c>
      <c r="C3962" s="5"/>
      <c r="D3962" s="5"/>
      <c r="E3962" s="5"/>
      <c r="F3962" s="5"/>
      <c r="G3962" s="5"/>
      <c r="H3962" s="5"/>
      <c r="I3962" s="5"/>
      <c r="J3962" s="5"/>
      <c r="K3962" s="6"/>
      <c r="L3962" s="14"/>
      <c r="M3962" s="14"/>
      <c r="N3962" s="14"/>
      <c r="O3962" s="14"/>
      <c r="P3962" s="14"/>
      <c r="Q3962" s="14"/>
      <c r="R3962" s="14"/>
      <c r="S3962" s="14"/>
      <c r="T3962" s="13"/>
    </row>
    <row r="3963" spans="1:20" x14ac:dyDescent="0.3">
      <c r="A3963" t="str">
        <f t="shared" si="122"/>
        <v/>
      </c>
      <c r="B3963" t="str">
        <f t="shared" si="123"/>
        <v/>
      </c>
      <c r="C3963" s="5"/>
      <c r="D3963" s="5"/>
      <c r="E3963" s="5"/>
      <c r="F3963" s="5"/>
      <c r="G3963" s="5"/>
      <c r="H3963" s="5"/>
      <c r="I3963" s="5"/>
      <c r="J3963" s="5"/>
      <c r="K3963" s="6"/>
      <c r="L3963" s="14"/>
      <c r="M3963" s="14"/>
      <c r="N3963" s="14"/>
      <c r="O3963" s="14"/>
      <c r="P3963" s="14"/>
      <c r="Q3963" s="14"/>
      <c r="R3963" s="14"/>
      <c r="S3963" s="14"/>
      <c r="T3963" s="13"/>
    </row>
    <row r="3964" spans="1:20" x14ac:dyDescent="0.3">
      <c r="A3964" t="str">
        <f t="shared" si="122"/>
        <v/>
      </c>
      <c r="B3964" t="str">
        <f t="shared" si="123"/>
        <v/>
      </c>
      <c r="C3964" s="5"/>
      <c r="D3964" s="5"/>
      <c r="E3964" s="5"/>
      <c r="F3964" s="5"/>
      <c r="G3964" s="5"/>
      <c r="H3964" s="5"/>
      <c r="I3964" s="5"/>
      <c r="J3964" s="5"/>
      <c r="K3964" s="6"/>
      <c r="L3964" s="14"/>
      <c r="M3964" s="14"/>
      <c r="N3964" s="14"/>
      <c r="O3964" s="14"/>
      <c r="P3964" s="14"/>
      <c r="Q3964" s="14"/>
      <c r="R3964" s="14"/>
      <c r="S3964" s="14"/>
      <c r="T3964" s="13"/>
    </row>
    <row r="3965" spans="1:20" x14ac:dyDescent="0.3">
      <c r="A3965" t="str">
        <f t="shared" si="122"/>
        <v/>
      </c>
      <c r="B3965" t="str">
        <f t="shared" si="123"/>
        <v/>
      </c>
      <c r="C3965" s="5"/>
      <c r="D3965" s="5"/>
      <c r="E3965" s="5"/>
      <c r="F3965" s="5"/>
      <c r="G3965" s="5"/>
      <c r="H3965" s="5"/>
      <c r="I3965" s="5"/>
      <c r="J3965" s="5"/>
      <c r="K3965" s="6"/>
      <c r="L3965" s="14"/>
      <c r="M3965" s="14"/>
      <c r="N3965" s="14"/>
      <c r="O3965" s="14"/>
      <c r="P3965" s="14"/>
      <c r="Q3965" s="14"/>
      <c r="R3965" s="14"/>
      <c r="S3965" s="14"/>
      <c r="T3965" s="13"/>
    </row>
    <row r="3966" spans="1:20" x14ac:dyDescent="0.3">
      <c r="A3966" t="str">
        <f t="shared" si="122"/>
        <v/>
      </c>
      <c r="B3966" t="str">
        <f t="shared" si="123"/>
        <v/>
      </c>
      <c r="C3966" s="5"/>
      <c r="D3966" s="5"/>
      <c r="E3966" s="5"/>
      <c r="F3966" s="5"/>
      <c r="G3966" s="5"/>
      <c r="H3966" s="5"/>
      <c r="I3966" s="5"/>
      <c r="J3966" s="5"/>
      <c r="K3966" s="6"/>
      <c r="L3966" s="14"/>
      <c r="M3966" s="14"/>
      <c r="N3966" s="14"/>
      <c r="O3966" s="14"/>
      <c r="P3966" s="14"/>
      <c r="Q3966" s="14"/>
      <c r="R3966" s="14"/>
      <c r="S3966" s="14"/>
      <c r="T3966" s="13"/>
    </row>
    <row r="3967" spans="1:20" x14ac:dyDescent="0.3">
      <c r="A3967" t="str">
        <f t="shared" si="122"/>
        <v/>
      </c>
      <c r="B3967" t="str">
        <f t="shared" si="123"/>
        <v/>
      </c>
      <c r="C3967" s="5"/>
      <c r="D3967" s="5"/>
      <c r="E3967" s="5"/>
      <c r="F3967" s="5"/>
      <c r="G3967" s="5"/>
      <c r="H3967" s="5"/>
      <c r="I3967" s="5"/>
      <c r="J3967" s="5"/>
      <c r="K3967" s="6"/>
      <c r="L3967" s="14"/>
      <c r="M3967" s="14"/>
      <c r="N3967" s="14"/>
      <c r="O3967" s="14"/>
      <c r="P3967" s="14"/>
      <c r="Q3967" s="14"/>
      <c r="R3967" s="14"/>
      <c r="S3967" s="14"/>
      <c r="T3967" s="13"/>
    </row>
    <row r="3968" spans="1:20" x14ac:dyDescent="0.3">
      <c r="A3968" t="str">
        <f t="shared" si="122"/>
        <v/>
      </c>
      <c r="B3968" t="str">
        <f t="shared" si="123"/>
        <v/>
      </c>
      <c r="C3968" s="5"/>
      <c r="D3968" s="5"/>
      <c r="E3968" s="5"/>
      <c r="F3968" s="5"/>
      <c r="G3968" s="5"/>
      <c r="H3968" s="5"/>
      <c r="I3968" s="5"/>
      <c r="J3968" s="5"/>
      <c r="K3968" s="6"/>
      <c r="L3968" s="14"/>
      <c r="M3968" s="14"/>
      <c r="N3968" s="14"/>
      <c r="O3968" s="14"/>
      <c r="P3968" s="14"/>
      <c r="Q3968" s="14"/>
      <c r="R3968" s="14"/>
      <c r="S3968" s="14"/>
      <c r="T3968" s="13"/>
    </row>
    <row r="3969" spans="1:20" x14ac:dyDescent="0.3">
      <c r="A3969" t="str">
        <f t="shared" si="122"/>
        <v/>
      </c>
      <c r="B3969" t="str">
        <f t="shared" si="123"/>
        <v/>
      </c>
      <c r="C3969" s="5"/>
      <c r="D3969" s="5"/>
      <c r="E3969" s="5"/>
      <c r="F3969" s="5"/>
      <c r="G3969" s="5"/>
      <c r="H3969" s="5"/>
      <c r="I3969" s="5"/>
      <c r="J3969" s="5"/>
      <c r="K3969" s="6"/>
      <c r="L3969" s="14"/>
      <c r="M3969" s="14"/>
      <c r="N3969" s="14"/>
      <c r="O3969" s="14"/>
      <c r="P3969" s="14"/>
      <c r="Q3969" s="14"/>
      <c r="R3969" s="14"/>
      <c r="S3969" s="14"/>
      <c r="T3969" s="13"/>
    </row>
    <row r="3970" spans="1:20" x14ac:dyDescent="0.3">
      <c r="A3970" t="str">
        <f t="shared" si="122"/>
        <v/>
      </c>
      <c r="B3970" t="str">
        <f t="shared" si="123"/>
        <v/>
      </c>
      <c r="C3970" s="5"/>
      <c r="D3970" s="5"/>
      <c r="E3970" s="5"/>
      <c r="F3970" s="5"/>
      <c r="G3970" s="5"/>
      <c r="H3970" s="5"/>
      <c r="I3970" s="5"/>
      <c r="J3970" s="5"/>
      <c r="K3970" s="6"/>
      <c r="L3970" s="14"/>
      <c r="M3970" s="14"/>
      <c r="N3970" s="14"/>
      <c r="O3970" s="14"/>
      <c r="P3970" s="14"/>
      <c r="Q3970" s="14"/>
      <c r="R3970" s="14"/>
      <c r="S3970" s="14"/>
      <c r="T3970" s="13"/>
    </row>
    <row r="3971" spans="1:20" x14ac:dyDescent="0.3">
      <c r="A3971" t="str">
        <f t="shared" ref="A3971:A4034" si="124">J3971&amp;I3971</f>
        <v/>
      </c>
      <c r="B3971" t="str">
        <f t="shared" ref="B3971:B4034" si="125">F3971&amp;J3971&amp;I3971</f>
        <v/>
      </c>
      <c r="C3971" s="5"/>
      <c r="D3971" s="5"/>
      <c r="E3971" s="5"/>
      <c r="F3971" s="5"/>
      <c r="G3971" s="5"/>
      <c r="H3971" s="5"/>
      <c r="I3971" s="5"/>
      <c r="J3971" s="5"/>
      <c r="K3971" s="6"/>
      <c r="L3971" s="14"/>
      <c r="M3971" s="14"/>
      <c r="N3971" s="14"/>
      <c r="O3971" s="14"/>
      <c r="P3971" s="14"/>
      <c r="Q3971" s="14"/>
      <c r="R3971" s="14"/>
      <c r="S3971" s="14"/>
      <c r="T3971" s="13"/>
    </row>
    <row r="3972" spans="1:20" x14ac:dyDescent="0.3">
      <c r="A3972" t="str">
        <f t="shared" si="124"/>
        <v/>
      </c>
      <c r="B3972" t="str">
        <f t="shared" si="125"/>
        <v/>
      </c>
      <c r="C3972" s="5"/>
      <c r="D3972" s="5"/>
      <c r="E3972" s="5"/>
      <c r="F3972" s="5"/>
      <c r="G3972" s="5"/>
      <c r="H3972" s="5"/>
      <c r="I3972" s="5"/>
      <c r="J3972" s="5"/>
      <c r="K3972" s="6"/>
      <c r="L3972" s="14"/>
      <c r="M3972" s="14"/>
      <c r="N3972" s="14"/>
      <c r="O3972" s="14"/>
      <c r="P3972" s="14"/>
      <c r="Q3972" s="14"/>
      <c r="R3972" s="14"/>
      <c r="S3972" s="14"/>
      <c r="T3972" s="13"/>
    </row>
    <row r="3973" spans="1:20" x14ac:dyDescent="0.3">
      <c r="A3973" t="str">
        <f t="shared" si="124"/>
        <v/>
      </c>
      <c r="B3973" t="str">
        <f t="shared" si="125"/>
        <v/>
      </c>
      <c r="C3973" s="5"/>
      <c r="D3973" s="5"/>
      <c r="E3973" s="5"/>
      <c r="F3973" s="5"/>
      <c r="G3973" s="5"/>
      <c r="H3973" s="5"/>
      <c r="I3973" s="5"/>
      <c r="J3973" s="5"/>
      <c r="K3973" s="6"/>
      <c r="L3973" s="14"/>
      <c r="M3973" s="14"/>
      <c r="N3973" s="14"/>
      <c r="O3973" s="14"/>
      <c r="P3973" s="14"/>
      <c r="Q3973" s="14"/>
      <c r="R3973" s="14"/>
      <c r="S3973" s="14"/>
      <c r="T3973" s="13"/>
    </row>
    <row r="3974" spans="1:20" x14ac:dyDescent="0.3">
      <c r="A3974" t="str">
        <f t="shared" si="124"/>
        <v/>
      </c>
      <c r="B3974" t="str">
        <f t="shared" si="125"/>
        <v/>
      </c>
      <c r="C3974" s="5"/>
      <c r="D3974" s="5"/>
      <c r="E3974" s="5"/>
      <c r="F3974" s="5"/>
      <c r="G3974" s="5"/>
      <c r="H3974" s="5"/>
      <c r="I3974" s="5"/>
      <c r="J3974" s="5"/>
      <c r="K3974" s="6"/>
      <c r="L3974" s="14"/>
      <c r="M3974" s="14"/>
      <c r="N3974" s="14"/>
      <c r="O3974" s="14"/>
      <c r="P3974" s="14"/>
      <c r="Q3974" s="14"/>
      <c r="R3974" s="14"/>
      <c r="S3974" s="14"/>
      <c r="T3974" s="13"/>
    </row>
    <row r="3975" spans="1:20" x14ac:dyDescent="0.3">
      <c r="A3975" t="str">
        <f t="shared" si="124"/>
        <v/>
      </c>
      <c r="B3975" t="str">
        <f t="shared" si="125"/>
        <v/>
      </c>
      <c r="C3975" s="5"/>
      <c r="D3975" s="5"/>
      <c r="E3975" s="5"/>
      <c r="F3975" s="5"/>
      <c r="G3975" s="5"/>
      <c r="H3975" s="5"/>
      <c r="I3975" s="5"/>
      <c r="J3975" s="5"/>
      <c r="K3975" s="6"/>
      <c r="L3975" s="14"/>
      <c r="M3975" s="14"/>
      <c r="N3975" s="14"/>
      <c r="O3975" s="14"/>
      <c r="P3975" s="14"/>
      <c r="Q3975" s="14"/>
      <c r="R3975" s="14"/>
      <c r="S3975" s="14"/>
      <c r="T3975" s="13"/>
    </row>
    <row r="3976" spans="1:20" x14ac:dyDescent="0.3">
      <c r="A3976" t="str">
        <f t="shared" si="124"/>
        <v/>
      </c>
      <c r="B3976" t="str">
        <f t="shared" si="125"/>
        <v/>
      </c>
      <c r="C3976" s="5"/>
      <c r="D3976" s="5"/>
      <c r="E3976" s="5"/>
      <c r="F3976" s="5"/>
      <c r="G3976" s="5"/>
      <c r="H3976" s="5"/>
      <c r="I3976" s="5"/>
      <c r="J3976" s="5"/>
      <c r="K3976" s="6"/>
      <c r="L3976" s="14"/>
      <c r="M3976" s="14"/>
      <c r="N3976" s="14"/>
      <c r="O3976" s="14"/>
      <c r="P3976" s="14"/>
      <c r="Q3976" s="14"/>
      <c r="R3976" s="14"/>
      <c r="S3976" s="14"/>
      <c r="T3976" s="13"/>
    </row>
    <row r="3977" spans="1:20" x14ac:dyDescent="0.3">
      <c r="A3977" t="str">
        <f t="shared" si="124"/>
        <v/>
      </c>
      <c r="B3977" t="str">
        <f t="shared" si="125"/>
        <v/>
      </c>
      <c r="C3977" s="5"/>
      <c r="D3977" s="5"/>
      <c r="E3977" s="5"/>
      <c r="F3977" s="5"/>
      <c r="G3977" s="5"/>
      <c r="H3977" s="5"/>
      <c r="I3977" s="5"/>
      <c r="J3977" s="5"/>
      <c r="K3977" s="6"/>
      <c r="L3977" s="14"/>
      <c r="M3977" s="14"/>
      <c r="N3977" s="14"/>
      <c r="O3977" s="14"/>
      <c r="P3977" s="14"/>
      <c r="Q3977" s="14"/>
      <c r="R3977" s="14"/>
      <c r="S3977" s="14"/>
      <c r="T3977" s="13"/>
    </row>
    <row r="3978" spans="1:20" x14ac:dyDescent="0.3">
      <c r="A3978" t="str">
        <f t="shared" si="124"/>
        <v/>
      </c>
      <c r="B3978" t="str">
        <f t="shared" si="125"/>
        <v/>
      </c>
      <c r="C3978" s="5"/>
      <c r="D3978" s="5"/>
      <c r="E3978" s="5"/>
      <c r="F3978" s="5"/>
      <c r="G3978" s="5"/>
      <c r="H3978" s="5"/>
      <c r="I3978" s="5"/>
      <c r="J3978" s="5"/>
      <c r="K3978" s="6"/>
      <c r="L3978" s="14"/>
      <c r="M3978" s="14"/>
      <c r="N3978" s="14"/>
      <c r="O3978" s="14"/>
      <c r="P3978" s="14"/>
      <c r="Q3978" s="14"/>
      <c r="R3978" s="14"/>
      <c r="S3978" s="14"/>
      <c r="T3978" s="13"/>
    </row>
    <row r="3979" spans="1:20" x14ac:dyDescent="0.3">
      <c r="A3979" t="str">
        <f t="shared" si="124"/>
        <v/>
      </c>
      <c r="B3979" t="str">
        <f t="shared" si="125"/>
        <v/>
      </c>
      <c r="C3979" s="5"/>
      <c r="D3979" s="5"/>
      <c r="E3979" s="5"/>
      <c r="F3979" s="5"/>
      <c r="G3979" s="5"/>
      <c r="H3979" s="5"/>
      <c r="I3979" s="5"/>
      <c r="J3979" s="5"/>
      <c r="K3979" s="6"/>
      <c r="L3979" s="14"/>
      <c r="M3979" s="14"/>
      <c r="N3979" s="14"/>
      <c r="O3979" s="14"/>
      <c r="P3979" s="14"/>
      <c r="Q3979" s="14"/>
      <c r="R3979" s="14"/>
      <c r="S3979" s="14"/>
      <c r="T3979" s="13"/>
    </row>
    <row r="3980" spans="1:20" x14ac:dyDescent="0.3">
      <c r="A3980" t="str">
        <f t="shared" si="124"/>
        <v/>
      </c>
      <c r="B3980" t="str">
        <f t="shared" si="125"/>
        <v/>
      </c>
      <c r="C3980" s="5"/>
      <c r="D3980" s="5"/>
      <c r="E3980" s="5"/>
      <c r="F3980" s="5"/>
      <c r="G3980" s="5"/>
      <c r="H3980" s="5"/>
      <c r="I3980" s="5"/>
      <c r="J3980" s="5"/>
      <c r="K3980" s="6"/>
      <c r="L3980" s="14"/>
      <c r="M3980" s="14"/>
      <c r="N3980" s="14"/>
      <c r="O3980" s="14"/>
      <c r="P3980" s="14"/>
      <c r="Q3980" s="14"/>
      <c r="R3980" s="14"/>
      <c r="S3980" s="14"/>
      <c r="T3980" s="13"/>
    </row>
    <row r="3981" spans="1:20" x14ac:dyDescent="0.3">
      <c r="A3981" t="str">
        <f t="shared" si="124"/>
        <v/>
      </c>
      <c r="B3981" t="str">
        <f t="shared" si="125"/>
        <v/>
      </c>
      <c r="C3981" s="5"/>
      <c r="D3981" s="5"/>
      <c r="E3981" s="5"/>
      <c r="F3981" s="5"/>
      <c r="G3981" s="5"/>
      <c r="H3981" s="5"/>
      <c r="I3981" s="5"/>
      <c r="J3981" s="5"/>
      <c r="K3981" s="6"/>
      <c r="L3981" s="14"/>
      <c r="M3981" s="14"/>
      <c r="N3981" s="14"/>
      <c r="O3981" s="14"/>
      <c r="P3981" s="14"/>
      <c r="Q3981" s="14"/>
      <c r="R3981" s="14"/>
      <c r="S3981" s="14"/>
      <c r="T3981" s="13"/>
    </row>
    <row r="3982" spans="1:20" x14ac:dyDescent="0.3">
      <c r="A3982" t="str">
        <f t="shared" si="124"/>
        <v/>
      </c>
      <c r="B3982" t="str">
        <f t="shared" si="125"/>
        <v/>
      </c>
      <c r="C3982" s="5"/>
      <c r="D3982" s="5"/>
      <c r="E3982" s="5"/>
      <c r="F3982" s="5"/>
      <c r="G3982" s="5"/>
      <c r="H3982" s="5"/>
      <c r="I3982" s="5"/>
      <c r="J3982" s="5"/>
      <c r="K3982" s="6"/>
      <c r="L3982" s="14"/>
      <c r="M3982" s="14"/>
      <c r="N3982" s="14"/>
      <c r="O3982" s="14"/>
      <c r="P3982" s="14"/>
      <c r="Q3982" s="14"/>
      <c r="R3982" s="14"/>
      <c r="S3982" s="14"/>
      <c r="T3982" s="13"/>
    </row>
    <row r="3983" spans="1:20" x14ac:dyDescent="0.3">
      <c r="A3983" t="str">
        <f t="shared" si="124"/>
        <v/>
      </c>
      <c r="B3983" t="str">
        <f t="shared" si="125"/>
        <v/>
      </c>
      <c r="C3983" s="5"/>
      <c r="D3983" s="5"/>
      <c r="E3983" s="5"/>
      <c r="F3983" s="5"/>
      <c r="G3983" s="5"/>
      <c r="H3983" s="5"/>
      <c r="I3983" s="5"/>
      <c r="J3983" s="5"/>
      <c r="K3983" s="6"/>
      <c r="L3983" s="14"/>
      <c r="M3983" s="14"/>
      <c r="N3983" s="14"/>
      <c r="O3983" s="14"/>
      <c r="P3983" s="14"/>
      <c r="Q3983" s="14"/>
      <c r="R3983" s="14"/>
      <c r="S3983" s="14"/>
      <c r="T3983" s="13"/>
    </row>
    <row r="3984" spans="1:20" x14ac:dyDescent="0.3">
      <c r="A3984" t="str">
        <f t="shared" si="124"/>
        <v/>
      </c>
      <c r="B3984" t="str">
        <f t="shared" si="125"/>
        <v/>
      </c>
      <c r="C3984" s="5"/>
      <c r="D3984" s="5"/>
      <c r="E3984" s="5"/>
      <c r="F3984" s="5"/>
      <c r="G3984" s="5"/>
      <c r="H3984" s="5"/>
      <c r="I3984" s="5"/>
      <c r="J3984" s="5"/>
      <c r="K3984" s="6"/>
      <c r="L3984" s="14"/>
      <c r="M3984" s="14"/>
      <c r="N3984" s="14"/>
      <c r="O3984" s="14"/>
      <c r="P3984" s="14"/>
      <c r="Q3984" s="14"/>
      <c r="R3984" s="14"/>
      <c r="S3984" s="14"/>
      <c r="T3984" s="13"/>
    </row>
    <row r="3985" spans="1:20" x14ac:dyDescent="0.3">
      <c r="A3985" t="str">
        <f t="shared" si="124"/>
        <v/>
      </c>
      <c r="B3985" t="str">
        <f t="shared" si="125"/>
        <v/>
      </c>
      <c r="C3985" s="5"/>
      <c r="D3985" s="5"/>
      <c r="E3985" s="5"/>
      <c r="F3985" s="5"/>
      <c r="G3985" s="5"/>
      <c r="H3985" s="5"/>
      <c r="I3985" s="5"/>
      <c r="J3985" s="5"/>
      <c r="K3985" s="6"/>
      <c r="L3985" s="14"/>
      <c r="M3985" s="14"/>
      <c r="N3985" s="14"/>
      <c r="O3985" s="14"/>
      <c r="P3985" s="14"/>
      <c r="Q3985" s="14"/>
      <c r="R3985" s="14"/>
      <c r="S3985" s="14"/>
      <c r="T3985" s="13"/>
    </row>
    <row r="3986" spans="1:20" x14ac:dyDescent="0.3">
      <c r="A3986" t="str">
        <f t="shared" si="124"/>
        <v/>
      </c>
      <c r="B3986" t="str">
        <f t="shared" si="125"/>
        <v/>
      </c>
      <c r="C3986" s="5"/>
      <c r="D3986" s="5"/>
      <c r="E3986" s="5"/>
      <c r="F3986" s="5"/>
      <c r="G3986" s="5"/>
      <c r="H3986" s="5"/>
      <c r="I3986" s="5"/>
      <c r="J3986" s="5"/>
      <c r="K3986" s="6"/>
      <c r="L3986" s="14"/>
      <c r="M3986" s="14"/>
      <c r="N3986" s="14"/>
      <c r="O3986" s="14"/>
      <c r="P3986" s="14"/>
      <c r="Q3986" s="14"/>
      <c r="R3986" s="14"/>
      <c r="S3986" s="14"/>
      <c r="T3986" s="13"/>
    </row>
    <row r="3987" spans="1:20" x14ac:dyDescent="0.3">
      <c r="A3987" t="str">
        <f t="shared" si="124"/>
        <v/>
      </c>
      <c r="B3987" t="str">
        <f t="shared" si="125"/>
        <v/>
      </c>
      <c r="C3987" s="5"/>
      <c r="D3987" s="5"/>
      <c r="E3987" s="5"/>
      <c r="F3987" s="5"/>
      <c r="G3987" s="5"/>
      <c r="H3987" s="5"/>
      <c r="I3987" s="5"/>
      <c r="J3987" s="5"/>
      <c r="K3987" s="6"/>
      <c r="L3987" s="14"/>
      <c r="M3987" s="14"/>
      <c r="N3987" s="14"/>
      <c r="O3987" s="14"/>
      <c r="P3987" s="14"/>
      <c r="Q3987" s="14"/>
      <c r="R3987" s="14"/>
      <c r="S3987" s="14"/>
      <c r="T3987" s="13"/>
    </row>
    <row r="3988" spans="1:20" x14ac:dyDescent="0.3">
      <c r="A3988" t="str">
        <f t="shared" si="124"/>
        <v/>
      </c>
      <c r="B3988" t="str">
        <f t="shared" si="125"/>
        <v/>
      </c>
      <c r="C3988" s="5"/>
      <c r="D3988" s="5"/>
      <c r="E3988" s="5"/>
      <c r="F3988" s="5"/>
      <c r="G3988" s="5"/>
      <c r="H3988" s="5"/>
      <c r="I3988" s="5"/>
      <c r="J3988" s="5"/>
      <c r="K3988" s="6"/>
      <c r="L3988" s="14"/>
      <c r="M3988" s="14"/>
      <c r="N3988" s="14"/>
      <c r="O3988" s="14"/>
      <c r="P3988" s="14"/>
      <c r="Q3988" s="14"/>
      <c r="R3988" s="14"/>
      <c r="S3988" s="14"/>
      <c r="T3988" s="13"/>
    </row>
    <row r="3989" spans="1:20" x14ac:dyDescent="0.3">
      <c r="A3989" t="str">
        <f t="shared" si="124"/>
        <v/>
      </c>
      <c r="B3989" t="str">
        <f t="shared" si="125"/>
        <v/>
      </c>
      <c r="C3989" s="5"/>
      <c r="D3989" s="5"/>
      <c r="E3989" s="5"/>
      <c r="F3989" s="5"/>
      <c r="G3989" s="5"/>
      <c r="H3989" s="5"/>
      <c r="I3989" s="5"/>
      <c r="J3989" s="5"/>
      <c r="K3989" s="6"/>
      <c r="L3989" s="14"/>
      <c r="M3989" s="14"/>
      <c r="N3989" s="14"/>
      <c r="O3989" s="14"/>
      <c r="P3989" s="14"/>
      <c r="Q3989" s="14"/>
      <c r="R3989" s="14"/>
      <c r="S3989" s="14"/>
      <c r="T3989" s="13"/>
    </row>
    <row r="3990" spans="1:20" x14ac:dyDescent="0.3">
      <c r="A3990" t="str">
        <f t="shared" si="124"/>
        <v/>
      </c>
      <c r="B3990" t="str">
        <f t="shared" si="125"/>
        <v/>
      </c>
      <c r="C3990" s="5"/>
      <c r="D3990" s="5"/>
      <c r="E3990" s="5"/>
      <c r="F3990" s="5"/>
      <c r="G3990" s="5"/>
      <c r="H3990" s="5"/>
      <c r="I3990" s="5"/>
      <c r="J3990" s="5"/>
      <c r="K3990" s="6"/>
      <c r="L3990" s="14"/>
      <c r="M3990" s="14"/>
      <c r="N3990" s="14"/>
      <c r="O3990" s="14"/>
      <c r="P3990" s="14"/>
      <c r="Q3990" s="14"/>
      <c r="R3990" s="14"/>
      <c r="S3990" s="14"/>
      <c r="T3990" s="13"/>
    </row>
    <row r="3991" spans="1:20" x14ac:dyDescent="0.3">
      <c r="A3991" t="str">
        <f t="shared" si="124"/>
        <v/>
      </c>
      <c r="B3991" t="str">
        <f t="shared" si="125"/>
        <v/>
      </c>
      <c r="C3991" s="5"/>
      <c r="D3991" s="5"/>
      <c r="E3991" s="5"/>
      <c r="F3991" s="5"/>
      <c r="G3991" s="5"/>
      <c r="H3991" s="5"/>
      <c r="I3991" s="5"/>
      <c r="J3991" s="5"/>
      <c r="K3991" s="6"/>
      <c r="L3991" s="14"/>
      <c r="M3991" s="14"/>
      <c r="N3991" s="14"/>
      <c r="O3991" s="14"/>
      <c r="P3991" s="14"/>
      <c r="Q3991" s="14"/>
      <c r="R3991" s="14"/>
      <c r="S3991" s="14"/>
      <c r="T3991" s="13"/>
    </row>
    <row r="3992" spans="1:20" x14ac:dyDescent="0.3">
      <c r="A3992" t="str">
        <f t="shared" si="124"/>
        <v/>
      </c>
      <c r="B3992" t="str">
        <f t="shared" si="125"/>
        <v/>
      </c>
      <c r="C3992" s="5"/>
      <c r="D3992" s="5"/>
      <c r="E3992" s="5"/>
      <c r="F3992" s="5"/>
      <c r="G3992" s="5"/>
      <c r="H3992" s="5"/>
      <c r="I3992" s="5"/>
      <c r="J3992" s="5"/>
      <c r="K3992" s="6"/>
      <c r="L3992" s="14"/>
      <c r="M3992" s="14"/>
      <c r="N3992" s="14"/>
      <c r="O3992" s="14"/>
      <c r="P3992" s="14"/>
      <c r="Q3992" s="14"/>
      <c r="R3992" s="14"/>
      <c r="S3992" s="14"/>
      <c r="T3992" s="13"/>
    </row>
    <row r="3993" spans="1:20" x14ac:dyDescent="0.3">
      <c r="A3993" t="str">
        <f t="shared" si="124"/>
        <v/>
      </c>
      <c r="B3993" t="str">
        <f t="shared" si="125"/>
        <v/>
      </c>
      <c r="C3993" s="5"/>
      <c r="D3993" s="5"/>
      <c r="E3993" s="5"/>
      <c r="F3993" s="5"/>
      <c r="G3993" s="5"/>
      <c r="H3993" s="5"/>
      <c r="I3993" s="5"/>
      <c r="J3993" s="5"/>
      <c r="K3993" s="6"/>
      <c r="L3993" s="14"/>
      <c r="M3993" s="14"/>
      <c r="N3993" s="14"/>
      <c r="O3993" s="14"/>
      <c r="P3993" s="14"/>
      <c r="Q3993" s="14"/>
      <c r="R3993" s="14"/>
      <c r="S3993" s="14"/>
      <c r="T3993" s="13"/>
    </row>
    <row r="3994" spans="1:20" x14ac:dyDescent="0.3">
      <c r="A3994" t="str">
        <f t="shared" si="124"/>
        <v/>
      </c>
      <c r="B3994" t="str">
        <f t="shared" si="125"/>
        <v/>
      </c>
      <c r="C3994" s="5"/>
      <c r="D3994" s="5"/>
      <c r="E3994" s="5"/>
      <c r="F3994" s="5"/>
      <c r="G3994" s="5"/>
      <c r="H3994" s="5"/>
      <c r="I3994" s="5"/>
      <c r="J3994" s="5"/>
      <c r="K3994" s="6"/>
      <c r="L3994" s="14"/>
      <c r="M3994" s="14"/>
      <c r="N3994" s="14"/>
      <c r="O3994" s="14"/>
      <c r="P3994" s="14"/>
      <c r="Q3994" s="14"/>
      <c r="R3994" s="14"/>
      <c r="S3994" s="14"/>
      <c r="T3994" s="13"/>
    </row>
    <row r="3995" spans="1:20" x14ac:dyDescent="0.3">
      <c r="A3995" t="str">
        <f t="shared" si="124"/>
        <v/>
      </c>
      <c r="B3995" t="str">
        <f t="shared" si="125"/>
        <v/>
      </c>
      <c r="C3995" s="5"/>
      <c r="D3995" s="5"/>
      <c r="E3995" s="5"/>
      <c r="F3995" s="5"/>
      <c r="G3995" s="5"/>
      <c r="H3995" s="5"/>
      <c r="I3995" s="5"/>
      <c r="J3995" s="5"/>
      <c r="K3995" s="6"/>
      <c r="L3995" s="14"/>
      <c r="M3995" s="14"/>
      <c r="N3995" s="14"/>
      <c r="O3995" s="14"/>
      <c r="P3995" s="14"/>
      <c r="Q3995" s="14"/>
      <c r="R3995" s="14"/>
      <c r="S3995" s="14"/>
      <c r="T3995" s="13"/>
    </row>
    <row r="3996" spans="1:20" x14ac:dyDescent="0.3">
      <c r="A3996" t="str">
        <f t="shared" si="124"/>
        <v/>
      </c>
      <c r="B3996" t="str">
        <f t="shared" si="125"/>
        <v/>
      </c>
      <c r="C3996" s="5"/>
      <c r="D3996" s="5"/>
      <c r="E3996" s="5"/>
      <c r="F3996" s="5"/>
      <c r="G3996" s="5"/>
      <c r="H3996" s="5"/>
      <c r="I3996" s="5"/>
      <c r="J3996" s="5"/>
      <c r="K3996" s="6"/>
      <c r="L3996" s="14"/>
      <c r="M3996" s="14"/>
      <c r="N3996" s="14"/>
      <c r="O3996" s="14"/>
      <c r="P3996" s="14"/>
      <c r="Q3996" s="14"/>
      <c r="R3996" s="14"/>
      <c r="S3996" s="14"/>
      <c r="T3996" s="13"/>
    </row>
    <row r="3997" spans="1:20" x14ac:dyDescent="0.3">
      <c r="A3997" t="str">
        <f t="shared" si="124"/>
        <v/>
      </c>
      <c r="B3997" t="str">
        <f t="shared" si="125"/>
        <v/>
      </c>
      <c r="C3997" s="5"/>
      <c r="D3997" s="5"/>
      <c r="E3997" s="5"/>
      <c r="F3997" s="5"/>
      <c r="G3997" s="5"/>
      <c r="H3997" s="5"/>
      <c r="I3997" s="5"/>
      <c r="J3997" s="5"/>
      <c r="K3997" s="6"/>
      <c r="L3997" s="14"/>
      <c r="M3997" s="14"/>
      <c r="N3997" s="14"/>
      <c r="O3997" s="14"/>
      <c r="P3997" s="14"/>
      <c r="Q3997" s="14"/>
      <c r="R3997" s="14"/>
      <c r="S3997" s="14"/>
      <c r="T3997" s="13"/>
    </row>
    <row r="3998" spans="1:20" x14ac:dyDescent="0.3">
      <c r="A3998" t="str">
        <f t="shared" si="124"/>
        <v/>
      </c>
      <c r="B3998" t="str">
        <f t="shared" si="125"/>
        <v/>
      </c>
      <c r="C3998" s="5"/>
      <c r="D3998" s="5"/>
      <c r="E3998" s="5"/>
      <c r="F3998" s="5"/>
      <c r="G3998" s="5"/>
      <c r="H3998" s="5"/>
      <c r="I3998" s="5"/>
      <c r="J3998" s="5"/>
      <c r="K3998" s="6"/>
      <c r="L3998" s="14"/>
      <c r="M3998" s="14"/>
      <c r="N3998" s="14"/>
      <c r="O3998" s="14"/>
      <c r="P3998" s="14"/>
      <c r="Q3998" s="14"/>
      <c r="R3998" s="14"/>
      <c r="S3998" s="14"/>
      <c r="T3998" s="13"/>
    </row>
    <row r="3999" spans="1:20" x14ac:dyDescent="0.3">
      <c r="A3999" t="str">
        <f t="shared" si="124"/>
        <v/>
      </c>
      <c r="B3999" t="str">
        <f t="shared" si="125"/>
        <v/>
      </c>
      <c r="C3999" s="5"/>
      <c r="D3999" s="5"/>
      <c r="E3999" s="5"/>
      <c r="F3999" s="5"/>
      <c r="G3999" s="5"/>
      <c r="H3999" s="5"/>
      <c r="I3999" s="5"/>
      <c r="J3999" s="5"/>
      <c r="K3999" s="6"/>
      <c r="L3999" s="14"/>
      <c r="M3999" s="14"/>
      <c r="N3999" s="14"/>
      <c r="O3999" s="14"/>
      <c r="P3999" s="14"/>
      <c r="Q3999" s="14"/>
      <c r="R3999" s="14"/>
      <c r="S3999" s="14"/>
      <c r="T3999" s="13"/>
    </row>
    <row r="4000" spans="1:20" x14ac:dyDescent="0.3">
      <c r="A4000" t="str">
        <f t="shared" si="124"/>
        <v/>
      </c>
      <c r="B4000" t="str">
        <f t="shared" si="125"/>
        <v/>
      </c>
      <c r="C4000" s="5"/>
      <c r="D4000" s="5"/>
      <c r="E4000" s="5"/>
      <c r="F4000" s="5"/>
      <c r="G4000" s="5"/>
      <c r="H4000" s="5"/>
      <c r="I4000" s="5"/>
      <c r="J4000" s="5"/>
      <c r="K4000" s="6"/>
      <c r="L4000" s="14"/>
      <c r="M4000" s="14"/>
      <c r="N4000" s="14"/>
      <c r="O4000" s="14"/>
      <c r="P4000" s="14"/>
      <c r="Q4000" s="14"/>
      <c r="R4000" s="14"/>
      <c r="S4000" s="14"/>
      <c r="T4000" s="13"/>
    </row>
    <row r="4001" spans="1:20" x14ac:dyDescent="0.3">
      <c r="A4001" t="str">
        <f t="shared" si="124"/>
        <v/>
      </c>
      <c r="B4001" t="str">
        <f t="shared" si="125"/>
        <v/>
      </c>
      <c r="C4001" s="5"/>
      <c r="D4001" s="5"/>
      <c r="E4001" s="5"/>
      <c r="F4001" s="5"/>
      <c r="G4001" s="5"/>
      <c r="H4001" s="5"/>
      <c r="I4001" s="5"/>
      <c r="J4001" s="5"/>
      <c r="K4001" s="6"/>
      <c r="L4001" s="14"/>
      <c r="M4001" s="14"/>
      <c r="N4001" s="14"/>
      <c r="O4001" s="14"/>
      <c r="P4001" s="14"/>
      <c r="Q4001" s="14"/>
      <c r="R4001" s="14"/>
      <c r="S4001" s="14"/>
      <c r="T4001" s="13"/>
    </row>
    <row r="4002" spans="1:20" x14ac:dyDescent="0.3">
      <c r="A4002" t="str">
        <f t="shared" si="124"/>
        <v/>
      </c>
      <c r="B4002" t="str">
        <f t="shared" si="125"/>
        <v/>
      </c>
      <c r="C4002" s="5"/>
      <c r="D4002" s="5"/>
      <c r="E4002" s="5"/>
      <c r="F4002" s="5"/>
      <c r="G4002" s="5"/>
      <c r="H4002" s="5"/>
      <c r="I4002" s="5"/>
      <c r="J4002" s="5"/>
      <c r="K4002" s="6"/>
      <c r="L4002" s="14"/>
      <c r="M4002" s="14"/>
      <c r="N4002" s="14"/>
      <c r="O4002" s="14"/>
      <c r="P4002" s="14"/>
      <c r="Q4002" s="14"/>
      <c r="R4002" s="14"/>
      <c r="S4002" s="14"/>
      <c r="T4002" s="13"/>
    </row>
    <row r="4003" spans="1:20" x14ac:dyDescent="0.3">
      <c r="A4003" t="str">
        <f t="shared" si="124"/>
        <v/>
      </c>
      <c r="B4003" t="str">
        <f t="shared" si="125"/>
        <v/>
      </c>
      <c r="C4003" s="5"/>
      <c r="D4003" s="5"/>
      <c r="E4003" s="5"/>
      <c r="F4003" s="5"/>
      <c r="G4003" s="5"/>
      <c r="H4003" s="5"/>
      <c r="I4003" s="5"/>
      <c r="J4003" s="5"/>
      <c r="K4003" s="6"/>
      <c r="L4003" s="14"/>
      <c r="M4003" s="14"/>
      <c r="N4003" s="14"/>
      <c r="O4003" s="14"/>
      <c r="P4003" s="14"/>
      <c r="Q4003" s="14"/>
      <c r="R4003" s="14"/>
      <c r="S4003" s="14"/>
      <c r="T4003" s="13"/>
    </row>
    <row r="4004" spans="1:20" x14ac:dyDescent="0.3">
      <c r="A4004" t="str">
        <f t="shared" si="124"/>
        <v/>
      </c>
      <c r="B4004" t="str">
        <f t="shared" si="125"/>
        <v/>
      </c>
      <c r="C4004" s="5"/>
      <c r="D4004" s="5"/>
      <c r="E4004" s="5"/>
      <c r="F4004" s="5"/>
      <c r="G4004" s="5"/>
      <c r="H4004" s="5"/>
      <c r="I4004" s="5"/>
      <c r="J4004" s="5"/>
      <c r="K4004" s="6"/>
      <c r="L4004" s="14"/>
      <c r="M4004" s="14"/>
      <c r="N4004" s="14"/>
      <c r="O4004" s="14"/>
      <c r="P4004" s="14"/>
      <c r="Q4004" s="14"/>
      <c r="R4004" s="14"/>
      <c r="S4004" s="14"/>
      <c r="T4004" s="13"/>
    </row>
    <row r="4005" spans="1:20" x14ac:dyDescent="0.3">
      <c r="A4005" t="str">
        <f t="shared" si="124"/>
        <v/>
      </c>
      <c r="B4005" t="str">
        <f t="shared" si="125"/>
        <v/>
      </c>
      <c r="C4005" s="5"/>
      <c r="D4005" s="5"/>
      <c r="E4005" s="5"/>
      <c r="F4005" s="5"/>
      <c r="G4005" s="5"/>
      <c r="H4005" s="5"/>
      <c r="I4005" s="5"/>
      <c r="J4005" s="5"/>
      <c r="K4005" s="6"/>
      <c r="L4005" s="14"/>
      <c r="M4005" s="14"/>
      <c r="N4005" s="14"/>
      <c r="O4005" s="14"/>
      <c r="P4005" s="14"/>
      <c r="Q4005" s="14"/>
      <c r="R4005" s="14"/>
      <c r="S4005" s="14"/>
      <c r="T4005" s="13"/>
    </row>
    <row r="4006" spans="1:20" x14ac:dyDescent="0.3">
      <c r="A4006" t="str">
        <f t="shared" si="124"/>
        <v/>
      </c>
      <c r="B4006" t="str">
        <f t="shared" si="125"/>
        <v/>
      </c>
      <c r="C4006" s="5"/>
      <c r="D4006" s="5"/>
      <c r="E4006" s="5"/>
      <c r="F4006" s="5"/>
      <c r="G4006" s="5"/>
      <c r="H4006" s="5"/>
      <c r="I4006" s="5"/>
      <c r="J4006" s="5"/>
      <c r="K4006" s="6"/>
      <c r="L4006" s="14"/>
      <c r="M4006" s="14"/>
      <c r="N4006" s="14"/>
      <c r="O4006" s="14"/>
      <c r="P4006" s="14"/>
      <c r="Q4006" s="14"/>
      <c r="R4006" s="14"/>
      <c r="S4006" s="14"/>
      <c r="T4006" s="13"/>
    </row>
    <row r="4007" spans="1:20" x14ac:dyDescent="0.3">
      <c r="A4007" t="str">
        <f t="shared" si="124"/>
        <v/>
      </c>
      <c r="B4007" t="str">
        <f t="shared" si="125"/>
        <v/>
      </c>
      <c r="C4007" s="5"/>
      <c r="D4007" s="5"/>
      <c r="E4007" s="5"/>
      <c r="F4007" s="5"/>
      <c r="G4007" s="5"/>
      <c r="H4007" s="5"/>
      <c r="I4007" s="5"/>
      <c r="J4007" s="5"/>
      <c r="K4007" s="6"/>
      <c r="L4007" s="14"/>
      <c r="M4007" s="14"/>
      <c r="N4007" s="14"/>
      <c r="O4007" s="14"/>
      <c r="P4007" s="14"/>
      <c r="Q4007" s="14"/>
      <c r="R4007" s="14"/>
      <c r="S4007" s="14"/>
      <c r="T4007" s="13"/>
    </row>
    <row r="4008" spans="1:20" x14ac:dyDescent="0.3">
      <c r="A4008" t="str">
        <f t="shared" si="124"/>
        <v/>
      </c>
      <c r="B4008" t="str">
        <f t="shared" si="125"/>
        <v/>
      </c>
      <c r="C4008" s="5"/>
      <c r="D4008" s="5"/>
      <c r="E4008" s="5"/>
      <c r="F4008" s="5"/>
      <c r="G4008" s="5"/>
      <c r="H4008" s="5"/>
      <c r="I4008" s="5"/>
      <c r="J4008" s="5"/>
      <c r="K4008" s="6"/>
      <c r="L4008" s="14"/>
      <c r="M4008" s="14"/>
      <c r="N4008" s="14"/>
      <c r="O4008" s="14"/>
      <c r="P4008" s="14"/>
      <c r="Q4008" s="14"/>
      <c r="R4008" s="14"/>
      <c r="S4008" s="14"/>
      <c r="T4008" s="13"/>
    </row>
    <row r="4009" spans="1:20" x14ac:dyDescent="0.3">
      <c r="A4009" t="str">
        <f t="shared" si="124"/>
        <v/>
      </c>
      <c r="B4009" t="str">
        <f t="shared" si="125"/>
        <v/>
      </c>
      <c r="C4009" s="5"/>
      <c r="D4009" s="5"/>
      <c r="E4009" s="5"/>
      <c r="F4009" s="5"/>
      <c r="G4009" s="5"/>
      <c r="H4009" s="5"/>
      <c r="I4009" s="5"/>
      <c r="J4009" s="5"/>
      <c r="K4009" s="6"/>
      <c r="L4009" s="14"/>
      <c r="M4009" s="14"/>
      <c r="N4009" s="14"/>
      <c r="O4009" s="14"/>
      <c r="P4009" s="14"/>
      <c r="Q4009" s="14"/>
      <c r="R4009" s="14"/>
      <c r="S4009" s="14"/>
      <c r="T4009" s="13"/>
    </row>
    <row r="4010" spans="1:20" x14ac:dyDescent="0.3">
      <c r="A4010" t="str">
        <f t="shared" si="124"/>
        <v/>
      </c>
      <c r="B4010" t="str">
        <f t="shared" si="125"/>
        <v/>
      </c>
      <c r="C4010" s="5"/>
      <c r="D4010" s="5"/>
      <c r="E4010" s="5"/>
      <c r="F4010" s="5"/>
      <c r="G4010" s="5"/>
      <c r="H4010" s="5"/>
      <c r="I4010" s="5"/>
      <c r="J4010" s="5"/>
      <c r="K4010" s="6"/>
      <c r="L4010" s="14"/>
      <c r="M4010" s="14"/>
      <c r="N4010" s="14"/>
      <c r="O4010" s="14"/>
      <c r="P4010" s="14"/>
      <c r="Q4010" s="14"/>
      <c r="R4010" s="14"/>
      <c r="S4010" s="14"/>
      <c r="T4010" s="13"/>
    </row>
    <row r="4011" spans="1:20" x14ac:dyDescent="0.3">
      <c r="A4011" t="str">
        <f t="shared" si="124"/>
        <v/>
      </c>
      <c r="B4011" t="str">
        <f t="shared" si="125"/>
        <v/>
      </c>
      <c r="C4011" s="5"/>
      <c r="D4011" s="5"/>
      <c r="E4011" s="5"/>
      <c r="F4011" s="5"/>
      <c r="G4011" s="5"/>
      <c r="H4011" s="5"/>
      <c r="I4011" s="5"/>
      <c r="J4011" s="5"/>
      <c r="K4011" s="6"/>
      <c r="L4011" s="14"/>
      <c r="M4011" s="14"/>
      <c r="N4011" s="14"/>
      <c r="O4011" s="14"/>
      <c r="P4011" s="14"/>
      <c r="Q4011" s="14"/>
      <c r="R4011" s="14"/>
      <c r="S4011" s="14"/>
      <c r="T4011" s="13"/>
    </row>
    <row r="4012" spans="1:20" x14ac:dyDescent="0.3">
      <c r="A4012" t="str">
        <f t="shared" si="124"/>
        <v/>
      </c>
      <c r="B4012" t="str">
        <f t="shared" si="125"/>
        <v/>
      </c>
      <c r="C4012" s="5"/>
      <c r="D4012" s="5"/>
      <c r="E4012" s="5"/>
      <c r="F4012" s="5"/>
      <c r="G4012" s="5"/>
      <c r="H4012" s="5"/>
      <c r="I4012" s="5"/>
      <c r="J4012" s="5"/>
      <c r="K4012" s="6"/>
      <c r="L4012" s="14"/>
      <c r="M4012" s="14"/>
      <c r="N4012" s="14"/>
      <c r="O4012" s="14"/>
      <c r="P4012" s="14"/>
      <c r="Q4012" s="14"/>
      <c r="R4012" s="14"/>
      <c r="S4012" s="14"/>
      <c r="T4012" s="13"/>
    </row>
    <row r="4013" spans="1:20" x14ac:dyDescent="0.3">
      <c r="A4013" t="str">
        <f t="shared" si="124"/>
        <v/>
      </c>
      <c r="B4013" t="str">
        <f t="shared" si="125"/>
        <v/>
      </c>
      <c r="C4013" s="5"/>
      <c r="D4013" s="5"/>
      <c r="E4013" s="5"/>
      <c r="F4013" s="5"/>
      <c r="G4013" s="5"/>
      <c r="H4013" s="5"/>
      <c r="I4013" s="5"/>
      <c r="J4013" s="5"/>
      <c r="K4013" s="6"/>
      <c r="L4013" s="14"/>
      <c r="M4013" s="14"/>
      <c r="N4013" s="14"/>
      <c r="O4013" s="14"/>
      <c r="P4013" s="14"/>
      <c r="Q4013" s="14"/>
      <c r="R4013" s="14"/>
      <c r="S4013" s="14"/>
      <c r="T4013" s="13"/>
    </row>
    <row r="4014" spans="1:20" x14ac:dyDescent="0.3">
      <c r="A4014" t="str">
        <f t="shared" si="124"/>
        <v/>
      </c>
      <c r="B4014" t="str">
        <f t="shared" si="125"/>
        <v/>
      </c>
      <c r="C4014" s="5"/>
      <c r="D4014" s="5"/>
      <c r="E4014" s="5"/>
      <c r="F4014" s="5"/>
      <c r="G4014" s="5"/>
      <c r="H4014" s="5"/>
      <c r="I4014" s="5"/>
      <c r="J4014" s="5"/>
      <c r="K4014" s="6"/>
      <c r="L4014" s="14"/>
      <c r="M4014" s="14"/>
      <c r="N4014" s="14"/>
      <c r="O4014" s="14"/>
      <c r="P4014" s="14"/>
      <c r="Q4014" s="14"/>
      <c r="R4014" s="14"/>
      <c r="S4014" s="14"/>
      <c r="T4014" s="13"/>
    </row>
    <row r="4015" spans="1:20" x14ac:dyDescent="0.3">
      <c r="A4015" t="str">
        <f t="shared" si="124"/>
        <v/>
      </c>
      <c r="B4015" t="str">
        <f t="shared" si="125"/>
        <v/>
      </c>
      <c r="C4015" s="5"/>
      <c r="D4015" s="5"/>
      <c r="E4015" s="5"/>
      <c r="F4015" s="5"/>
      <c r="G4015" s="5"/>
      <c r="H4015" s="5"/>
      <c r="I4015" s="5"/>
      <c r="J4015" s="5"/>
      <c r="K4015" s="6"/>
      <c r="L4015" s="14"/>
      <c r="M4015" s="14"/>
      <c r="N4015" s="14"/>
      <c r="O4015" s="14"/>
      <c r="P4015" s="14"/>
      <c r="Q4015" s="14"/>
      <c r="R4015" s="14"/>
      <c r="S4015" s="14"/>
      <c r="T4015" s="13"/>
    </row>
    <row r="4016" spans="1:20" x14ac:dyDescent="0.3">
      <c r="A4016" t="str">
        <f t="shared" si="124"/>
        <v/>
      </c>
      <c r="B4016" t="str">
        <f t="shared" si="125"/>
        <v/>
      </c>
      <c r="C4016" s="5"/>
      <c r="D4016" s="5"/>
      <c r="E4016" s="5"/>
      <c r="F4016" s="5"/>
      <c r="G4016" s="5"/>
      <c r="H4016" s="5"/>
      <c r="I4016" s="5"/>
      <c r="J4016" s="5"/>
      <c r="K4016" s="6"/>
      <c r="L4016" s="14"/>
      <c r="M4016" s="14"/>
      <c r="N4016" s="14"/>
      <c r="O4016" s="14"/>
      <c r="P4016" s="14"/>
      <c r="Q4016" s="14"/>
      <c r="R4016" s="14"/>
      <c r="S4016" s="14"/>
      <c r="T4016" s="13"/>
    </row>
    <row r="4017" spans="1:20" x14ac:dyDescent="0.3">
      <c r="A4017" t="str">
        <f t="shared" si="124"/>
        <v/>
      </c>
      <c r="B4017" t="str">
        <f t="shared" si="125"/>
        <v/>
      </c>
      <c r="C4017" s="5"/>
      <c r="D4017" s="5"/>
      <c r="E4017" s="5"/>
      <c r="F4017" s="5"/>
      <c r="G4017" s="5"/>
      <c r="H4017" s="5"/>
      <c r="I4017" s="5"/>
      <c r="J4017" s="5"/>
      <c r="K4017" s="6"/>
      <c r="L4017" s="14"/>
      <c r="M4017" s="14"/>
      <c r="N4017" s="14"/>
      <c r="O4017" s="14"/>
      <c r="P4017" s="14"/>
      <c r="Q4017" s="14"/>
      <c r="R4017" s="14"/>
      <c r="S4017" s="14"/>
      <c r="T4017" s="13"/>
    </row>
    <row r="4018" spans="1:20" x14ac:dyDescent="0.3">
      <c r="A4018" t="str">
        <f t="shared" si="124"/>
        <v/>
      </c>
      <c r="B4018" t="str">
        <f t="shared" si="125"/>
        <v/>
      </c>
      <c r="C4018" s="5"/>
      <c r="D4018" s="5"/>
      <c r="E4018" s="5"/>
      <c r="F4018" s="5"/>
      <c r="G4018" s="5"/>
      <c r="H4018" s="5"/>
      <c r="I4018" s="5"/>
      <c r="J4018" s="5"/>
      <c r="K4018" s="6"/>
      <c r="L4018" s="14"/>
      <c r="M4018" s="14"/>
      <c r="N4018" s="14"/>
      <c r="O4018" s="14"/>
      <c r="P4018" s="14"/>
      <c r="Q4018" s="14"/>
      <c r="R4018" s="14"/>
      <c r="S4018" s="14"/>
      <c r="T4018" s="13"/>
    </row>
    <row r="4019" spans="1:20" x14ac:dyDescent="0.3">
      <c r="A4019" t="str">
        <f t="shared" si="124"/>
        <v/>
      </c>
      <c r="B4019" t="str">
        <f t="shared" si="125"/>
        <v/>
      </c>
      <c r="C4019" s="5"/>
      <c r="D4019" s="5"/>
      <c r="E4019" s="5"/>
      <c r="F4019" s="5"/>
      <c r="G4019" s="5"/>
      <c r="H4019" s="5"/>
      <c r="I4019" s="5"/>
      <c r="J4019" s="5"/>
      <c r="K4019" s="6"/>
      <c r="L4019" s="14"/>
      <c r="M4019" s="14"/>
      <c r="N4019" s="14"/>
      <c r="O4019" s="14"/>
      <c r="P4019" s="14"/>
      <c r="Q4019" s="14"/>
      <c r="R4019" s="14"/>
      <c r="S4019" s="14"/>
      <c r="T4019" s="13"/>
    </row>
    <row r="4020" spans="1:20" x14ac:dyDescent="0.3">
      <c r="A4020" t="str">
        <f t="shared" si="124"/>
        <v/>
      </c>
      <c r="B4020" t="str">
        <f t="shared" si="125"/>
        <v/>
      </c>
      <c r="C4020" s="5"/>
      <c r="D4020" s="5"/>
      <c r="E4020" s="5"/>
      <c r="F4020" s="5"/>
      <c r="G4020" s="5"/>
      <c r="H4020" s="5"/>
      <c r="I4020" s="5"/>
      <c r="J4020" s="5"/>
      <c r="K4020" s="6"/>
      <c r="L4020" s="14"/>
      <c r="M4020" s="14"/>
      <c r="N4020" s="14"/>
      <c r="O4020" s="14"/>
      <c r="P4020" s="14"/>
      <c r="Q4020" s="14"/>
      <c r="R4020" s="14"/>
      <c r="S4020" s="14"/>
      <c r="T4020" s="13"/>
    </row>
    <row r="4021" spans="1:20" x14ac:dyDescent="0.3">
      <c r="A4021" t="str">
        <f t="shared" si="124"/>
        <v/>
      </c>
      <c r="B4021" t="str">
        <f t="shared" si="125"/>
        <v/>
      </c>
      <c r="C4021" s="5"/>
      <c r="D4021" s="5"/>
      <c r="E4021" s="5"/>
      <c r="F4021" s="5"/>
      <c r="G4021" s="5"/>
      <c r="H4021" s="5"/>
      <c r="I4021" s="5"/>
      <c r="J4021" s="5"/>
      <c r="K4021" s="6"/>
      <c r="L4021" s="14"/>
      <c r="M4021" s="14"/>
      <c r="N4021" s="14"/>
      <c r="O4021" s="14"/>
      <c r="P4021" s="14"/>
      <c r="Q4021" s="14"/>
      <c r="R4021" s="14"/>
      <c r="S4021" s="14"/>
      <c r="T4021" s="13"/>
    </row>
    <row r="4022" spans="1:20" x14ac:dyDescent="0.3">
      <c r="A4022" t="str">
        <f t="shared" si="124"/>
        <v/>
      </c>
      <c r="B4022" t="str">
        <f t="shared" si="125"/>
        <v/>
      </c>
      <c r="C4022" s="5"/>
      <c r="D4022" s="5"/>
      <c r="E4022" s="5"/>
      <c r="F4022" s="5"/>
      <c r="G4022" s="5"/>
      <c r="H4022" s="5"/>
      <c r="I4022" s="5"/>
      <c r="J4022" s="5"/>
      <c r="K4022" s="6"/>
      <c r="L4022" s="14"/>
      <c r="M4022" s="14"/>
      <c r="N4022" s="14"/>
      <c r="O4022" s="14"/>
      <c r="P4022" s="14"/>
      <c r="Q4022" s="14"/>
      <c r="R4022" s="14"/>
      <c r="S4022" s="14"/>
      <c r="T4022" s="13"/>
    </row>
    <row r="4023" spans="1:20" x14ac:dyDescent="0.3">
      <c r="A4023" t="str">
        <f t="shared" si="124"/>
        <v/>
      </c>
      <c r="B4023" t="str">
        <f t="shared" si="125"/>
        <v/>
      </c>
      <c r="C4023" s="5"/>
      <c r="D4023" s="5"/>
      <c r="E4023" s="5"/>
      <c r="F4023" s="5"/>
      <c r="G4023" s="5"/>
      <c r="H4023" s="5"/>
      <c r="I4023" s="5"/>
      <c r="J4023" s="5"/>
      <c r="K4023" s="6"/>
      <c r="L4023" s="14"/>
      <c r="M4023" s="14"/>
      <c r="N4023" s="14"/>
      <c r="O4023" s="14"/>
      <c r="P4023" s="14"/>
      <c r="Q4023" s="14"/>
      <c r="R4023" s="14"/>
      <c r="S4023" s="14"/>
      <c r="T4023" s="13"/>
    </row>
    <row r="4024" spans="1:20" x14ac:dyDescent="0.3">
      <c r="A4024" t="str">
        <f t="shared" si="124"/>
        <v/>
      </c>
      <c r="B4024" t="str">
        <f t="shared" si="125"/>
        <v/>
      </c>
      <c r="C4024" s="5"/>
      <c r="D4024" s="5"/>
      <c r="E4024" s="5"/>
      <c r="F4024" s="5"/>
      <c r="G4024" s="5"/>
      <c r="H4024" s="5"/>
      <c r="I4024" s="5"/>
      <c r="J4024" s="5"/>
      <c r="K4024" s="6"/>
      <c r="L4024" s="14"/>
      <c r="M4024" s="14"/>
      <c r="N4024" s="14"/>
      <c r="O4024" s="14"/>
      <c r="P4024" s="14"/>
      <c r="Q4024" s="14"/>
      <c r="R4024" s="14"/>
      <c r="S4024" s="14"/>
      <c r="T4024" s="13"/>
    </row>
    <row r="4025" spans="1:20" x14ac:dyDescent="0.3">
      <c r="A4025" t="str">
        <f t="shared" si="124"/>
        <v/>
      </c>
      <c r="B4025" t="str">
        <f t="shared" si="125"/>
        <v/>
      </c>
      <c r="C4025" s="5"/>
      <c r="D4025" s="5"/>
      <c r="E4025" s="5"/>
      <c r="F4025" s="5"/>
      <c r="G4025" s="5"/>
      <c r="H4025" s="5"/>
      <c r="I4025" s="5"/>
      <c r="J4025" s="5"/>
      <c r="K4025" s="6"/>
      <c r="L4025" s="14"/>
      <c r="M4025" s="14"/>
      <c r="N4025" s="14"/>
      <c r="O4025" s="14"/>
      <c r="P4025" s="14"/>
      <c r="Q4025" s="14"/>
      <c r="R4025" s="14"/>
      <c r="S4025" s="14"/>
      <c r="T4025" s="13"/>
    </row>
    <row r="4026" spans="1:20" x14ac:dyDescent="0.3">
      <c r="A4026" t="str">
        <f t="shared" si="124"/>
        <v/>
      </c>
      <c r="B4026" t="str">
        <f t="shared" si="125"/>
        <v/>
      </c>
      <c r="C4026" s="5"/>
      <c r="D4026" s="5"/>
      <c r="E4026" s="5"/>
      <c r="F4026" s="5"/>
      <c r="G4026" s="5"/>
      <c r="H4026" s="5"/>
      <c r="I4026" s="5"/>
      <c r="J4026" s="5"/>
      <c r="K4026" s="6"/>
      <c r="L4026" s="14"/>
      <c r="M4026" s="14"/>
      <c r="N4026" s="14"/>
      <c r="O4026" s="14"/>
      <c r="P4026" s="14"/>
      <c r="Q4026" s="14"/>
      <c r="R4026" s="14"/>
      <c r="S4026" s="14"/>
      <c r="T4026" s="13"/>
    </row>
    <row r="4027" spans="1:20" x14ac:dyDescent="0.3">
      <c r="A4027" t="str">
        <f t="shared" si="124"/>
        <v/>
      </c>
      <c r="B4027" t="str">
        <f t="shared" si="125"/>
        <v/>
      </c>
      <c r="C4027" s="5"/>
      <c r="D4027" s="5"/>
      <c r="E4027" s="5"/>
      <c r="F4027" s="5"/>
      <c r="G4027" s="5"/>
      <c r="H4027" s="5"/>
      <c r="I4027" s="5"/>
      <c r="J4027" s="5"/>
      <c r="K4027" s="6"/>
      <c r="L4027" s="14"/>
      <c r="M4027" s="14"/>
      <c r="N4027" s="14"/>
      <c r="O4027" s="14"/>
      <c r="P4027" s="14"/>
      <c r="Q4027" s="14"/>
      <c r="R4027" s="14"/>
      <c r="S4027" s="14"/>
      <c r="T4027" s="13"/>
    </row>
    <row r="4028" spans="1:20" x14ac:dyDescent="0.3">
      <c r="A4028" t="str">
        <f t="shared" si="124"/>
        <v/>
      </c>
      <c r="B4028" t="str">
        <f t="shared" si="125"/>
        <v/>
      </c>
      <c r="C4028" s="5"/>
      <c r="D4028" s="5"/>
      <c r="E4028" s="5"/>
      <c r="F4028" s="5"/>
      <c r="G4028" s="5"/>
      <c r="H4028" s="5"/>
      <c r="I4028" s="5"/>
      <c r="J4028" s="5"/>
      <c r="K4028" s="6"/>
      <c r="L4028" s="14"/>
      <c r="M4028" s="14"/>
      <c r="N4028" s="14"/>
      <c r="O4028" s="14"/>
      <c r="P4028" s="14"/>
      <c r="Q4028" s="14"/>
      <c r="R4028" s="14"/>
      <c r="S4028" s="14"/>
      <c r="T4028" s="13"/>
    </row>
    <row r="4029" spans="1:20" x14ac:dyDescent="0.3">
      <c r="A4029" t="str">
        <f t="shared" si="124"/>
        <v/>
      </c>
      <c r="B4029" t="str">
        <f t="shared" si="125"/>
        <v/>
      </c>
      <c r="C4029" s="5"/>
      <c r="D4029" s="5"/>
      <c r="E4029" s="5"/>
      <c r="F4029" s="5"/>
      <c r="G4029" s="5"/>
      <c r="H4029" s="5"/>
      <c r="I4029" s="5"/>
      <c r="J4029" s="5"/>
      <c r="K4029" s="6"/>
      <c r="L4029" s="14"/>
      <c r="M4029" s="14"/>
      <c r="N4029" s="14"/>
      <c r="O4029" s="14"/>
      <c r="P4029" s="14"/>
      <c r="Q4029" s="14"/>
      <c r="R4029" s="14"/>
      <c r="S4029" s="14"/>
      <c r="T4029" s="13"/>
    </row>
    <row r="4030" spans="1:20" x14ac:dyDescent="0.3">
      <c r="A4030" t="str">
        <f t="shared" si="124"/>
        <v/>
      </c>
      <c r="B4030" t="str">
        <f t="shared" si="125"/>
        <v/>
      </c>
      <c r="C4030" s="5"/>
      <c r="D4030" s="5"/>
      <c r="E4030" s="5"/>
      <c r="F4030" s="5"/>
      <c r="G4030" s="5"/>
      <c r="H4030" s="5"/>
      <c r="I4030" s="5"/>
      <c r="J4030" s="5"/>
      <c r="K4030" s="6"/>
      <c r="L4030" s="14"/>
      <c r="M4030" s="14"/>
      <c r="N4030" s="14"/>
      <c r="O4030" s="14"/>
      <c r="P4030" s="14"/>
      <c r="Q4030" s="14"/>
      <c r="R4030" s="14"/>
      <c r="S4030" s="14"/>
      <c r="T4030" s="13"/>
    </row>
    <row r="4031" spans="1:20" x14ac:dyDescent="0.3">
      <c r="A4031" t="str">
        <f t="shared" si="124"/>
        <v/>
      </c>
      <c r="B4031" t="str">
        <f t="shared" si="125"/>
        <v/>
      </c>
      <c r="C4031" s="5"/>
      <c r="D4031" s="5"/>
      <c r="E4031" s="5"/>
      <c r="F4031" s="5"/>
      <c r="G4031" s="5"/>
      <c r="H4031" s="5"/>
      <c r="I4031" s="5"/>
      <c r="J4031" s="5"/>
      <c r="K4031" s="6"/>
      <c r="L4031" s="14"/>
      <c r="M4031" s="14"/>
      <c r="N4031" s="14"/>
      <c r="O4031" s="14"/>
      <c r="P4031" s="14"/>
      <c r="Q4031" s="14"/>
      <c r="R4031" s="14"/>
      <c r="S4031" s="14"/>
      <c r="T4031" s="13"/>
    </row>
    <row r="4032" spans="1:20" x14ac:dyDescent="0.3">
      <c r="A4032" t="str">
        <f t="shared" si="124"/>
        <v/>
      </c>
      <c r="B4032" t="str">
        <f t="shared" si="125"/>
        <v/>
      </c>
      <c r="C4032" s="5"/>
      <c r="D4032" s="5"/>
      <c r="E4032" s="5"/>
      <c r="F4032" s="5"/>
      <c r="G4032" s="5"/>
      <c r="H4032" s="5"/>
      <c r="I4032" s="5"/>
      <c r="J4032" s="5"/>
      <c r="K4032" s="6"/>
      <c r="L4032" s="14"/>
      <c r="M4032" s="14"/>
      <c r="N4032" s="14"/>
      <c r="O4032" s="14"/>
      <c r="P4032" s="14"/>
      <c r="Q4032" s="14"/>
      <c r="R4032" s="14"/>
      <c r="S4032" s="14"/>
      <c r="T4032" s="13"/>
    </row>
    <row r="4033" spans="1:20" x14ac:dyDescent="0.3">
      <c r="A4033" t="str">
        <f t="shared" si="124"/>
        <v/>
      </c>
      <c r="B4033" t="str">
        <f t="shared" si="125"/>
        <v/>
      </c>
      <c r="C4033" s="5"/>
      <c r="D4033" s="5"/>
      <c r="E4033" s="5"/>
      <c r="F4033" s="5"/>
      <c r="G4033" s="5"/>
      <c r="H4033" s="5"/>
      <c r="I4033" s="5"/>
      <c r="J4033" s="5"/>
      <c r="K4033" s="6"/>
      <c r="L4033" s="14"/>
      <c r="M4033" s="14"/>
      <c r="N4033" s="14"/>
      <c r="O4033" s="14"/>
      <c r="P4033" s="14"/>
      <c r="Q4033" s="14"/>
      <c r="R4033" s="14"/>
      <c r="S4033" s="14"/>
      <c r="T4033" s="13"/>
    </row>
    <row r="4034" spans="1:20" x14ac:dyDescent="0.3">
      <c r="A4034" t="str">
        <f t="shared" si="124"/>
        <v/>
      </c>
      <c r="B4034" t="str">
        <f t="shared" si="125"/>
        <v/>
      </c>
      <c r="C4034" s="5"/>
      <c r="D4034" s="5"/>
      <c r="E4034" s="5"/>
      <c r="F4034" s="5"/>
      <c r="G4034" s="5"/>
      <c r="H4034" s="5"/>
      <c r="I4034" s="5"/>
      <c r="J4034" s="5"/>
      <c r="K4034" s="6"/>
      <c r="L4034" s="14"/>
      <c r="M4034" s="14"/>
      <c r="N4034" s="14"/>
      <c r="O4034" s="14"/>
      <c r="P4034" s="14"/>
      <c r="Q4034" s="14"/>
      <c r="R4034" s="14"/>
      <c r="S4034" s="14"/>
      <c r="T4034" s="13"/>
    </row>
    <row r="4035" spans="1:20" x14ac:dyDescent="0.3">
      <c r="A4035" t="str">
        <f t="shared" ref="A4035:A4098" si="126">J4035&amp;I4035</f>
        <v/>
      </c>
      <c r="B4035" t="str">
        <f t="shared" ref="B4035:B4098" si="127">F4035&amp;J4035&amp;I4035</f>
        <v/>
      </c>
      <c r="C4035" s="5"/>
      <c r="D4035" s="5"/>
      <c r="E4035" s="5"/>
      <c r="F4035" s="5"/>
      <c r="G4035" s="5"/>
      <c r="H4035" s="5"/>
      <c r="I4035" s="5"/>
      <c r="J4035" s="5"/>
      <c r="K4035" s="6"/>
      <c r="L4035" s="14"/>
      <c r="M4035" s="14"/>
      <c r="N4035" s="14"/>
      <c r="O4035" s="14"/>
      <c r="P4035" s="14"/>
      <c r="Q4035" s="14"/>
      <c r="R4035" s="14"/>
      <c r="S4035" s="14"/>
      <c r="T4035" s="13"/>
    </row>
    <row r="4036" spans="1:20" x14ac:dyDescent="0.3">
      <c r="A4036" t="str">
        <f t="shared" si="126"/>
        <v/>
      </c>
      <c r="B4036" t="str">
        <f t="shared" si="127"/>
        <v/>
      </c>
      <c r="C4036" s="5"/>
      <c r="D4036" s="5"/>
      <c r="E4036" s="5"/>
      <c r="F4036" s="5"/>
      <c r="G4036" s="5"/>
      <c r="H4036" s="5"/>
      <c r="I4036" s="5"/>
      <c r="J4036" s="5"/>
      <c r="K4036" s="6"/>
      <c r="L4036" s="14"/>
      <c r="M4036" s="14"/>
      <c r="N4036" s="14"/>
      <c r="O4036" s="14"/>
      <c r="P4036" s="14"/>
      <c r="Q4036" s="14"/>
      <c r="R4036" s="14"/>
      <c r="S4036" s="14"/>
      <c r="T4036" s="13"/>
    </row>
    <row r="4037" spans="1:20" x14ac:dyDescent="0.3">
      <c r="A4037" t="str">
        <f t="shared" si="126"/>
        <v/>
      </c>
      <c r="B4037" t="str">
        <f t="shared" si="127"/>
        <v/>
      </c>
      <c r="C4037" s="5"/>
      <c r="D4037" s="5"/>
      <c r="E4037" s="5"/>
      <c r="F4037" s="5"/>
      <c r="G4037" s="5"/>
      <c r="H4037" s="5"/>
      <c r="I4037" s="5"/>
      <c r="J4037" s="5"/>
      <c r="K4037" s="6"/>
      <c r="L4037" s="14"/>
      <c r="M4037" s="14"/>
      <c r="N4037" s="14"/>
      <c r="O4037" s="14"/>
      <c r="P4037" s="14"/>
      <c r="Q4037" s="14"/>
      <c r="R4037" s="14"/>
      <c r="S4037" s="14"/>
      <c r="T4037" s="13"/>
    </row>
    <row r="4038" spans="1:20" x14ac:dyDescent="0.3">
      <c r="A4038" t="str">
        <f t="shared" si="126"/>
        <v/>
      </c>
      <c r="B4038" t="str">
        <f t="shared" si="127"/>
        <v/>
      </c>
      <c r="C4038" s="5"/>
      <c r="D4038" s="5"/>
      <c r="E4038" s="5"/>
      <c r="F4038" s="5"/>
      <c r="G4038" s="5"/>
      <c r="H4038" s="5"/>
      <c r="I4038" s="5"/>
      <c r="J4038" s="5"/>
      <c r="K4038" s="6"/>
      <c r="L4038" s="14"/>
      <c r="M4038" s="14"/>
      <c r="N4038" s="14"/>
      <c r="O4038" s="14"/>
      <c r="P4038" s="14"/>
      <c r="Q4038" s="14"/>
      <c r="R4038" s="14"/>
      <c r="S4038" s="14"/>
      <c r="T4038" s="13"/>
    </row>
    <row r="4039" spans="1:20" x14ac:dyDescent="0.3">
      <c r="A4039" t="str">
        <f t="shared" si="126"/>
        <v/>
      </c>
      <c r="B4039" t="str">
        <f t="shared" si="127"/>
        <v/>
      </c>
      <c r="C4039" s="5"/>
      <c r="D4039" s="5"/>
      <c r="E4039" s="5"/>
      <c r="F4039" s="5"/>
      <c r="G4039" s="5"/>
      <c r="H4039" s="5"/>
      <c r="I4039" s="5"/>
      <c r="J4039" s="5"/>
      <c r="K4039" s="6"/>
      <c r="L4039" s="14"/>
      <c r="M4039" s="14"/>
      <c r="N4039" s="14"/>
      <c r="O4039" s="14"/>
      <c r="P4039" s="14"/>
      <c r="Q4039" s="14"/>
      <c r="R4039" s="14"/>
      <c r="S4039" s="14"/>
      <c r="T4039" s="13"/>
    </row>
    <row r="4040" spans="1:20" x14ac:dyDescent="0.3">
      <c r="A4040" t="str">
        <f t="shared" si="126"/>
        <v/>
      </c>
      <c r="B4040" t="str">
        <f t="shared" si="127"/>
        <v/>
      </c>
      <c r="C4040" s="5"/>
      <c r="D4040" s="5"/>
      <c r="E4040" s="5"/>
      <c r="F4040" s="5"/>
      <c r="G4040" s="5"/>
      <c r="H4040" s="5"/>
      <c r="I4040" s="5"/>
      <c r="J4040" s="5"/>
      <c r="K4040" s="6"/>
      <c r="L4040" s="14"/>
      <c r="M4040" s="14"/>
      <c r="N4040" s="14"/>
      <c r="O4040" s="14"/>
      <c r="P4040" s="14"/>
      <c r="Q4040" s="14"/>
      <c r="R4040" s="14"/>
      <c r="S4040" s="14"/>
      <c r="T4040" s="13"/>
    </row>
    <row r="4041" spans="1:20" x14ac:dyDescent="0.3">
      <c r="A4041" t="str">
        <f t="shared" si="126"/>
        <v/>
      </c>
      <c r="B4041" t="str">
        <f t="shared" si="127"/>
        <v/>
      </c>
      <c r="C4041" s="5"/>
      <c r="D4041" s="5"/>
      <c r="E4041" s="5"/>
      <c r="F4041" s="5"/>
      <c r="G4041" s="5"/>
      <c r="H4041" s="5"/>
      <c r="I4041" s="5"/>
      <c r="J4041" s="5"/>
      <c r="K4041" s="6"/>
      <c r="L4041" s="14"/>
      <c r="M4041" s="14"/>
      <c r="N4041" s="14"/>
      <c r="O4041" s="14"/>
      <c r="P4041" s="14"/>
      <c r="Q4041" s="14"/>
      <c r="R4041" s="14"/>
      <c r="S4041" s="14"/>
      <c r="T4041" s="13"/>
    </row>
    <row r="4042" spans="1:20" x14ac:dyDescent="0.3">
      <c r="A4042" t="str">
        <f t="shared" si="126"/>
        <v/>
      </c>
      <c r="B4042" t="str">
        <f t="shared" si="127"/>
        <v/>
      </c>
      <c r="C4042" s="5"/>
      <c r="D4042" s="5"/>
      <c r="E4042" s="5"/>
      <c r="F4042" s="5"/>
      <c r="G4042" s="5"/>
      <c r="H4042" s="5"/>
      <c r="I4042" s="5"/>
      <c r="J4042" s="5"/>
      <c r="K4042" s="6"/>
      <c r="L4042" s="14"/>
      <c r="M4042" s="14"/>
      <c r="N4042" s="14"/>
      <c r="O4042" s="14"/>
      <c r="P4042" s="14"/>
      <c r="Q4042" s="14"/>
      <c r="R4042" s="14"/>
      <c r="S4042" s="14"/>
      <c r="T4042" s="13"/>
    </row>
    <row r="4043" spans="1:20" x14ac:dyDescent="0.3">
      <c r="A4043" t="str">
        <f t="shared" si="126"/>
        <v/>
      </c>
      <c r="B4043" t="str">
        <f t="shared" si="127"/>
        <v/>
      </c>
      <c r="C4043" s="5"/>
      <c r="D4043" s="5"/>
      <c r="E4043" s="5"/>
      <c r="F4043" s="5"/>
      <c r="G4043" s="5"/>
      <c r="H4043" s="5"/>
      <c r="I4043" s="5"/>
      <c r="J4043" s="5"/>
      <c r="K4043" s="6"/>
      <c r="L4043" s="14"/>
      <c r="M4043" s="14"/>
      <c r="N4043" s="14"/>
      <c r="O4043" s="14"/>
      <c r="P4043" s="14"/>
      <c r="Q4043" s="14"/>
      <c r="R4043" s="14"/>
      <c r="S4043" s="14"/>
      <c r="T4043" s="13"/>
    </row>
    <row r="4044" spans="1:20" x14ac:dyDescent="0.3">
      <c r="A4044" t="str">
        <f t="shared" si="126"/>
        <v/>
      </c>
      <c r="B4044" t="str">
        <f t="shared" si="127"/>
        <v/>
      </c>
      <c r="C4044" s="5"/>
      <c r="D4044" s="5"/>
      <c r="E4044" s="5"/>
      <c r="F4044" s="5"/>
      <c r="G4044" s="5"/>
      <c r="H4044" s="5"/>
      <c r="I4044" s="5"/>
      <c r="J4044" s="5"/>
      <c r="K4044" s="6"/>
      <c r="L4044" s="14"/>
      <c r="M4044" s="14"/>
      <c r="N4044" s="14"/>
      <c r="O4044" s="14"/>
      <c r="P4044" s="14"/>
      <c r="Q4044" s="14"/>
      <c r="R4044" s="14"/>
      <c r="S4044" s="14"/>
      <c r="T4044" s="13"/>
    </row>
    <row r="4045" spans="1:20" x14ac:dyDescent="0.3">
      <c r="A4045" t="str">
        <f t="shared" si="126"/>
        <v/>
      </c>
      <c r="B4045" t="str">
        <f t="shared" si="127"/>
        <v/>
      </c>
      <c r="C4045" s="5"/>
      <c r="D4045" s="5"/>
      <c r="E4045" s="5"/>
      <c r="F4045" s="5"/>
      <c r="G4045" s="5"/>
      <c r="H4045" s="5"/>
      <c r="I4045" s="5"/>
      <c r="J4045" s="5"/>
      <c r="K4045" s="6"/>
      <c r="L4045" s="14"/>
      <c r="M4045" s="14"/>
      <c r="N4045" s="14"/>
      <c r="O4045" s="14"/>
      <c r="P4045" s="14"/>
      <c r="Q4045" s="14"/>
      <c r="R4045" s="14"/>
      <c r="S4045" s="14"/>
      <c r="T4045" s="13"/>
    </row>
    <row r="4046" spans="1:20" x14ac:dyDescent="0.3">
      <c r="A4046" t="str">
        <f t="shared" si="126"/>
        <v/>
      </c>
      <c r="B4046" t="str">
        <f t="shared" si="127"/>
        <v/>
      </c>
      <c r="C4046" s="5"/>
      <c r="D4046" s="5"/>
      <c r="E4046" s="5"/>
      <c r="F4046" s="5"/>
      <c r="G4046" s="5"/>
      <c r="H4046" s="5"/>
      <c r="I4046" s="5"/>
      <c r="J4046" s="5"/>
      <c r="K4046" s="6"/>
      <c r="L4046" s="14"/>
      <c r="M4046" s="14"/>
      <c r="N4046" s="14"/>
      <c r="O4046" s="14"/>
      <c r="P4046" s="14"/>
      <c r="Q4046" s="14"/>
      <c r="R4046" s="14"/>
      <c r="S4046" s="14"/>
      <c r="T4046" s="13"/>
    </row>
    <row r="4047" spans="1:20" x14ac:dyDescent="0.3">
      <c r="A4047" t="str">
        <f t="shared" si="126"/>
        <v/>
      </c>
      <c r="B4047" t="str">
        <f t="shared" si="127"/>
        <v/>
      </c>
      <c r="C4047" s="5"/>
      <c r="D4047" s="5"/>
      <c r="E4047" s="5"/>
      <c r="F4047" s="5"/>
      <c r="G4047" s="5"/>
      <c r="H4047" s="5"/>
      <c r="I4047" s="5"/>
      <c r="J4047" s="5"/>
      <c r="K4047" s="6"/>
      <c r="L4047" s="14"/>
      <c r="M4047" s="14"/>
      <c r="N4047" s="14"/>
      <c r="O4047" s="14"/>
      <c r="P4047" s="14"/>
      <c r="Q4047" s="14"/>
      <c r="R4047" s="14"/>
      <c r="S4047" s="14"/>
      <c r="T4047" s="13"/>
    </row>
    <row r="4048" spans="1:20" x14ac:dyDescent="0.3">
      <c r="A4048" t="str">
        <f t="shared" si="126"/>
        <v/>
      </c>
      <c r="B4048" t="str">
        <f t="shared" si="127"/>
        <v/>
      </c>
      <c r="C4048" s="5"/>
      <c r="D4048" s="5"/>
      <c r="E4048" s="5"/>
      <c r="F4048" s="5"/>
      <c r="G4048" s="5"/>
      <c r="H4048" s="5"/>
      <c r="I4048" s="5"/>
      <c r="J4048" s="5"/>
      <c r="K4048" s="6"/>
      <c r="L4048" s="14"/>
      <c r="M4048" s="14"/>
      <c r="N4048" s="14"/>
      <c r="O4048" s="14"/>
      <c r="P4048" s="14"/>
      <c r="Q4048" s="14"/>
      <c r="R4048" s="14"/>
      <c r="S4048" s="14"/>
      <c r="T4048" s="13"/>
    </row>
    <row r="4049" spans="1:20" x14ac:dyDescent="0.3">
      <c r="A4049" t="str">
        <f t="shared" si="126"/>
        <v/>
      </c>
      <c r="B4049" t="str">
        <f t="shared" si="127"/>
        <v/>
      </c>
      <c r="C4049" s="5"/>
      <c r="D4049" s="5"/>
      <c r="E4049" s="5"/>
      <c r="F4049" s="5"/>
      <c r="G4049" s="5"/>
      <c r="H4049" s="5"/>
      <c r="I4049" s="5"/>
      <c r="J4049" s="5"/>
      <c r="K4049" s="6"/>
      <c r="L4049" s="14"/>
      <c r="M4049" s="14"/>
      <c r="N4049" s="14"/>
      <c r="O4049" s="14"/>
      <c r="P4049" s="14"/>
      <c r="Q4049" s="14"/>
      <c r="R4049" s="14"/>
      <c r="S4049" s="14"/>
      <c r="T4049" s="13"/>
    </row>
    <row r="4050" spans="1:20" x14ac:dyDescent="0.3">
      <c r="A4050" t="str">
        <f t="shared" si="126"/>
        <v/>
      </c>
      <c r="B4050" t="str">
        <f t="shared" si="127"/>
        <v/>
      </c>
      <c r="C4050" s="5"/>
      <c r="D4050" s="5"/>
      <c r="E4050" s="5"/>
      <c r="F4050" s="5"/>
      <c r="G4050" s="5"/>
      <c r="H4050" s="5"/>
      <c r="I4050" s="5"/>
      <c r="J4050" s="5"/>
      <c r="K4050" s="6"/>
      <c r="L4050" s="14"/>
      <c r="M4050" s="14"/>
      <c r="N4050" s="14"/>
      <c r="O4050" s="14"/>
      <c r="P4050" s="14"/>
      <c r="Q4050" s="14"/>
      <c r="R4050" s="14"/>
      <c r="S4050" s="14"/>
      <c r="T4050" s="13"/>
    </row>
    <row r="4051" spans="1:20" x14ac:dyDescent="0.3">
      <c r="A4051" t="str">
        <f t="shared" si="126"/>
        <v/>
      </c>
      <c r="B4051" t="str">
        <f t="shared" si="127"/>
        <v/>
      </c>
      <c r="C4051" s="5"/>
      <c r="D4051" s="5"/>
      <c r="E4051" s="5"/>
      <c r="F4051" s="5"/>
      <c r="G4051" s="5"/>
      <c r="H4051" s="5"/>
      <c r="I4051" s="5"/>
      <c r="J4051" s="5"/>
      <c r="K4051" s="6"/>
      <c r="L4051" s="14"/>
      <c r="M4051" s="14"/>
      <c r="N4051" s="14"/>
      <c r="O4051" s="14"/>
      <c r="P4051" s="14"/>
      <c r="Q4051" s="14"/>
      <c r="R4051" s="14"/>
      <c r="S4051" s="14"/>
      <c r="T4051" s="13"/>
    </row>
    <row r="4052" spans="1:20" x14ac:dyDescent="0.3">
      <c r="A4052" t="str">
        <f t="shared" si="126"/>
        <v/>
      </c>
      <c r="B4052" t="str">
        <f t="shared" si="127"/>
        <v/>
      </c>
      <c r="C4052" s="5"/>
      <c r="D4052" s="5"/>
      <c r="E4052" s="5"/>
      <c r="F4052" s="5"/>
      <c r="G4052" s="5"/>
      <c r="H4052" s="5"/>
      <c r="I4052" s="5"/>
      <c r="J4052" s="5"/>
      <c r="K4052" s="6"/>
      <c r="L4052" s="14"/>
      <c r="M4052" s="14"/>
      <c r="N4052" s="14"/>
      <c r="O4052" s="14"/>
      <c r="P4052" s="14"/>
      <c r="Q4052" s="14"/>
      <c r="R4052" s="14"/>
      <c r="S4052" s="14"/>
      <c r="T4052" s="13"/>
    </row>
    <row r="4053" spans="1:20" x14ac:dyDescent="0.3">
      <c r="A4053" t="str">
        <f t="shared" si="126"/>
        <v/>
      </c>
      <c r="B4053" t="str">
        <f t="shared" si="127"/>
        <v/>
      </c>
      <c r="C4053" s="5"/>
      <c r="D4053" s="5"/>
      <c r="E4053" s="5"/>
      <c r="F4053" s="5"/>
      <c r="G4053" s="5"/>
      <c r="H4053" s="5"/>
      <c r="I4053" s="5"/>
      <c r="J4053" s="5"/>
      <c r="K4053" s="6"/>
      <c r="L4053" s="14"/>
      <c r="M4053" s="14"/>
      <c r="N4053" s="14"/>
      <c r="O4053" s="14"/>
      <c r="P4053" s="14"/>
      <c r="Q4053" s="14"/>
      <c r="R4053" s="14"/>
      <c r="S4053" s="14"/>
      <c r="T4053" s="13"/>
    </row>
    <row r="4054" spans="1:20" x14ac:dyDescent="0.3">
      <c r="A4054" t="str">
        <f t="shared" si="126"/>
        <v/>
      </c>
      <c r="B4054" t="str">
        <f t="shared" si="127"/>
        <v/>
      </c>
      <c r="C4054" s="5"/>
      <c r="D4054" s="5"/>
      <c r="E4054" s="5"/>
      <c r="F4054" s="5"/>
      <c r="G4054" s="5"/>
      <c r="H4054" s="5"/>
      <c r="I4054" s="5"/>
      <c r="J4054" s="5"/>
      <c r="K4054" s="6"/>
      <c r="L4054" s="14"/>
      <c r="M4054" s="14"/>
      <c r="N4054" s="14"/>
      <c r="O4054" s="14"/>
      <c r="P4054" s="14"/>
      <c r="Q4054" s="14"/>
      <c r="R4054" s="14"/>
      <c r="S4054" s="14"/>
      <c r="T4054" s="13"/>
    </row>
    <row r="4055" spans="1:20" x14ac:dyDescent="0.3">
      <c r="A4055" t="str">
        <f t="shared" si="126"/>
        <v/>
      </c>
      <c r="B4055" t="str">
        <f t="shared" si="127"/>
        <v/>
      </c>
      <c r="C4055" s="5"/>
      <c r="D4055" s="5"/>
      <c r="E4055" s="5"/>
      <c r="F4055" s="5"/>
      <c r="G4055" s="5"/>
      <c r="H4055" s="5"/>
      <c r="I4055" s="5"/>
      <c r="J4055" s="5"/>
      <c r="K4055" s="6"/>
      <c r="L4055" s="14"/>
      <c r="M4055" s="14"/>
      <c r="N4055" s="14"/>
      <c r="O4055" s="14"/>
      <c r="P4055" s="14"/>
      <c r="Q4055" s="14"/>
      <c r="R4055" s="14"/>
      <c r="S4055" s="14"/>
      <c r="T4055" s="13"/>
    </row>
    <row r="4056" spans="1:20" x14ac:dyDescent="0.3">
      <c r="A4056" t="str">
        <f t="shared" si="126"/>
        <v/>
      </c>
      <c r="B4056" t="str">
        <f t="shared" si="127"/>
        <v/>
      </c>
      <c r="C4056" s="5"/>
      <c r="D4056" s="5"/>
      <c r="E4056" s="5"/>
      <c r="F4056" s="5"/>
      <c r="G4056" s="5"/>
      <c r="H4056" s="5"/>
      <c r="I4056" s="5"/>
      <c r="J4056" s="5"/>
      <c r="K4056" s="6"/>
      <c r="L4056" s="14"/>
      <c r="M4056" s="14"/>
      <c r="N4056" s="14"/>
      <c r="O4056" s="14"/>
      <c r="P4056" s="14"/>
      <c r="Q4056" s="14"/>
      <c r="R4056" s="14"/>
      <c r="S4056" s="14"/>
      <c r="T4056" s="13"/>
    </row>
    <row r="4057" spans="1:20" x14ac:dyDescent="0.3">
      <c r="A4057" t="str">
        <f t="shared" si="126"/>
        <v/>
      </c>
      <c r="B4057" t="str">
        <f t="shared" si="127"/>
        <v/>
      </c>
      <c r="C4057" s="5"/>
      <c r="D4057" s="5"/>
      <c r="E4057" s="5"/>
      <c r="F4057" s="5"/>
      <c r="G4057" s="5"/>
      <c r="H4057" s="5"/>
      <c r="I4057" s="5"/>
      <c r="J4057" s="5"/>
      <c r="K4057" s="6"/>
      <c r="L4057" s="14"/>
      <c r="M4057" s="14"/>
      <c r="N4057" s="14"/>
      <c r="O4057" s="14"/>
      <c r="P4057" s="14"/>
      <c r="Q4057" s="14"/>
      <c r="R4057" s="14"/>
      <c r="S4057" s="14"/>
      <c r="T4057" s="13"/>
    </row>
    <row r="4058" spans="1:20" x14ac:dyDescent="0.3">
      <c r="A4058" t="str">
        <f t="shared" si="126"/>
        <v/>
      </c>
      <c r="B4058" t="str">
        <f t="shared" si="127"/>
        <v/>
      </c>
      <c r="C4058" s="5"/>
      <c r="D4058" s="5"/>
      <c r="E4058" s="5"/>
      <c r="F4058" s="5"/>
      <c r="G4058" s="5"/>
      <c r="H4058" s="5"/>
      <c r="I4058" s="5"/>
      <c r="J4058" s="5"/>
      <c r="K4058" s="6"/>
      <c r="L4058" s="14"/>
      <c r="M4058" s="14"/>
      <c r="N4058" s="14"/>
      <c r="O4058" s="14"/>
      <c r="P4058" s="14"/>
      <c r="Q4058" s="14"/>
      <c r="R4058" s="14"/>
      <c r="S4058" s="14"/>
      <c r="T4058" s="13"/>
    </row>
    <row r="4059" spans="1:20" x14ac:dyDescent="0.3">
      <c r="A4059" t="str">
        <f t="shared" si="126"/>
        <v/>
      </c>
      <c r="B4059" t="str">
        <f t="shared" si="127"/>
        <v/>
      </c>
      <c r="C4059" s="5"/>
      <c r="D4059" s="5"/>
      <c r="E4059" s="5"/>
      <c r="F4059" s="5"/>
      <c r="G4059" s="5"/>
      <c r="H4059" s="5"/>
      <c r="I4059" s="5"/>
      <c r="J4059" s="5"/>
      <c r="K4059" s="6"/>
      <c r="L4059" s="14"/>
      <c r="M4059" s="14"/>
      <c r="N4059" s="14"/>
      <c r="O4059" s="14"/>
      <c r="P4059" s="14"/>
      <c r="Q4059" s="14"/>
      <c r="R4059" s="14"/>
      <c r="S4059" s="14"/>
      <c r="T4059" s="13"/>
    </row>
    <row r="4060" spans="1:20" x14ac:dyDescent="0.3">
      <c r="A4060" t="str">
        <f t="shared" si="126"/>
        <v/>
      </c>
      <c r="B4060" t="str">
        <f t="shared" si="127"/>
        <v/>
      </c>
      <c r="C4060" s="5"/>
      <c r="D4060" s="5"/>
      <c r="E4060" s="5"/>
      <c r="F4060" s="5"/>
      <c r="G4060" s="5"/>
      <c r="H4060" s="5"/>
      <c r="I4060" s="5"/>
      <c r="J4060" s="5"/>
      <c r="K4060" s="6"/>
      <c r="L4060" s="14"/>
      <c r="M4060" s="14"/>
      <c r="N4060" s="14"/>
      <c r="O4060" s="14"/>
      <c r="P4060" s="14"/>
      <c r="Q4060" s="14"/>
      <c r="R4060" s="14"/>
      <c r="S4060" s="14"/>
      <c r="T4060" s="13"/>
    </row>
    <row r="4061" spans="1:20" x14ac:dyDescent="0.3">
      <c r="A4061" t="str">
        <f t="shared" si="126"/>
        <v/>
      </c>
      <c r="B4061" t="str">
        <f t="shared" si="127"/>
        <v/>
      </c>
      <c r="C4061" s="5"/>
      <c r="D4061" s="5"/>
      <c r="E4061" s="5"/>
      <c r="F4061" s="5"/>
      <c r="G4061" s="5"/>
      <c r="H4061" s="5"/>
      <c r="I4061" s="5"/>
      <c r="J4061" s="5"/>
      <c r="K4061" s="6"/>
      <c r="L4061" s="14"/>
      <c r="M4061" s="14"/>
      <c r="N4061" s="14"/>
      <c r="O4061" s="14"/>
      <c r="P4061" s="14"/>
      <c r="Q4061" s="14"/>
      <c r="R4061" s="14"/>
      <c r="S4061" s="14"/>
      <c r="T4061" s="13"/>
    </row>
    <row r="4062" spans="1:20" x14ac:dyDescent="0.3">
      <c r="A4062" t="str">
        <f t="shared" si="126"/>
        <v/>
      </c>
      <c r="B4062" t="str">
        <f t="shared" si="127"/>
        <v/>
      </c>
      <c r="C4062" s="5"/>
      <c r="D4062" s="5"/>
      <c r="E4062" s="5"/>
      <c r="F4062" s="5"/>
      <c r="G4062" s="5"/>
      <c r="H4062" s="5"/>
      <c r="I4062" s="5"/>
      <c r="J4062" s="5"/>
      <c r="K4062" s="6"/>
      <c r="L4062" s="14"/>
      <c r="M4062" s="14"/>
      <c r="N4062" s="14"/>
      <c r="O4062" s="14"/>
      <c r="P4062" s="14"/>
      <c r="Q4062" s="14"/>
      <c r="R4062" s="14"/>
      <c r="S4062" s="14"/>
      <c r="T4062" s="13"/>
    </row>
    <row r="4063" spans="1:20" x14ac:dyDescent="0.3">
      <c r="A4063" t="str">
        <f t="shared" si="126"/>
        <v/>
      </c>
      <c r="B4063" t="str">
        <f t="shared" si="127"/>
        <v/>
      </c>
      <c r="C4063" s="5"/>
      <c r="D4063" s="5"/>
      <c r="E4063" s="5"/>
      <c r="F4063" s="5"/>
      <c r="G4063" s="5"/>
      <c r="H4063" s="5"/>
      <c r="I4063" s="5"/>
      <c r="J4063" s="5"/>
      <c r="K4063" s="6"/>
      <c r="L4063" s="14"/>
      <c r="M4063" s="14"/>
      <c r="N4063" s="14"/>
      <c r="O4063" s="14"/>
      <c r="P4063" s="14"/>
      <c r="Q4063" s="14"/>
      <c r="R4063" s="14"/>
      <c r="S4063" s="14"/>
      <c r="T4063" s="13"/>
    </row>
    <row r="4064" spans="1:20" x14ac:dyDescent="0.3">
      <c r="A4064" t="str">
        <f t="shared" si="126"/>
        <v/>
      </c>
      <c r="B4064" t="str">
        <f t="shared" si="127"/>
        <v/>
      </c>
      <c r="C4064" s="5"/>
      <c r="D4064" s="5"/>
      <c r="E4064" s="5"/>
      <c r="F4064" s="5"/>
      <c r="G4064" s="5"/>
      <c r="H4064" s="5"/>
      <c r="I4064" s="5"/>
      <c r="J4064" s="5"/>
      <c r="K4064" s="6"/>
      <c r="L4064" s="14"/>
      <c r="M4064" s="14"/>
      <c r="N4064" s="14"/>
      <c r="O4064" s="14"/>
      <c r="P4064" s="14"/>
      <c r="Q4064" s="14"/>
      <c r="R4064" s="14"/>
      <c r="S4064" s="14"/>
      <c r="T4064" s="13"/>
    </row>
    <row r="4065" spans="1:20" x14ac:dyDescent="0.3">
      <c r="A4065" t="str">
        <f t="shared" si="126"/>
        <v/>
      </c>
      <c r="B4065" t="str">
        <f t="shared" si="127"/>
        <v/>
      </c>
      <c r="C4065" s="5"/>
      <c r="D4065" s="5"/>
      <c r="E4065" s="5"/>
      <c r="F4065" s="5"/>
      <c r="G4065" s="5"/>
      <c r="H4065" s="5"/>
      <c r="I4065" s="5"/>
      <c r="J4065" s="5"/>
      <c r="K4065" s="6"/>
      <c r="L4065" s="14"/>
      <c r="M4065" s="14"/>
      <c r="N4065" s="14"/>
      <c r="O4065" s="14"/>
      <c r="P4065" s="14"/>
      <c r="Q4065" s="14"/>
      <c r="R4065" s="14"/>
      <c r="S4065" s="14"/>
      <c r="T4065" s="13"/>
    </row>
    <row r="4066" spans="1:20" x14ac:dyDescent="0.3">
      <c r="A4066" t="str">
        <f t="shared" si="126"/>
        <v/>
      </c>
      <c r="B4066" t="str">
        <f t="shared" si="127"/>
        <v/>
      </c>
      <c r="C4066" s="5"/>
      <c r="D4066" s="5"/>
      <c r="E4066" s="5"/>
      <c r="F4066" s="5"/>
      <c r="G4066" s="5"/>
      <c r="H4066" s="5"/>
      <c r="I4066" s="5"/>
      <c r="J4066" s="5"/>
      <c r="K4066" s="6"/>
      <c r="L4066" s="14"/>
      <c r="M4066" s="14"/>
      <c r="N4066" s="14"/>
      <c r="O4066" s="14"/>
      <c r="P4066" s="14"/>
      <c r="Q4066" s="14"/>
      <c r="R4066" s="14"/>
      <c r="S4066" s="14"/>
      <c r="T4066" s="13"/>
    </row>
    <row r="4067" spans="1:20" x14ac:dyDescent="0.3">
      <c r="A4067" t="str">
        <f t="shared" si="126"/>
        <v/>
      </c>
      <c r="B4067" t="str">
        <f t="shared" si="127"/>
        <v/>
      </c>
      <c r="C4067" s="5"/>
      <c r="D4067" s="5"/>
      <c r="E4067" s="5"/>
      <c r="F4067" s="5"/>
      <c r="G4067" s="5"/>
      <c r="H4067" s="5"/>
      <c r="I4067" s="5"/>
      <c r="J4067" s="5"/>
      <c r="K4067" s="6"/>
      <c r="L4067" s="14"/>
      <c r="M4067" s="14"/>
      <c r="N4067" s="14"/>
      <c r="O4067" s="14"/>
      <c r="P4067" s="14"/>
      <c r="Q4067" s="14"/>
      <c r="R4067" s="14"/>
      <c r="S4067" s="14"/>
      <c r="T4067" s="13"/>
    </row>
    <row r="4068" spans="1:20" x14ac:dyDescent="0.3">
      <c r="A4068" t="str">
        <f t="shared" si="126"/>
        <v/>
      </c>
      <c r="B4068" t="str">
        <f t="shared" si="127"/>
        <v/>
      </c>
      <c r="C4068" s="5"/>
      <c r="D4068" s="5"/>
      <c r="E4068" s="5"/>
      <c r="F4068" s="5"/>
      <c r="G4068" s="5"/>
      <c r="H4068" s="5"/>
      <c r="I4068" s="5"/>
      <c r="J4068" s="5"/>
      <c r="K4068" s="6"/>
      <c r="L4068" s="14"/>
      <c r="M4068" s="14"/>
      <c r="N4068" s="14"/>
      <c r="O4068" s="14"/>
      <c r="P4068" s="14"/>
      <c r="Q4068" s="14"/>
      <c r="R4068" s="14"/>
      <c r="S4068" s="14"/>
      <c r="T4068" s="13"/>
    </row>
    <row r="4069" spans="1:20" x14ac:dyDescent="0.3">
      <c r="A4069" t="str">
        <f t="shared" si="126"/>
        <v/>
      </c>
      <c r="B4069" t="str">
        <f t="shared" si="127"/>
        <v/>
      </c>
      <c r="C4069" s="5"/>
      <c r="D4069" s="5"/>
      <c r="E4069" s="5"/>
      <c r="F4069" s="5"/>
      <c r="G4069" s="5"/>
      <c r="H4069" s="5"/>
      <c r="I4069" s="5"/>
      <c r="J4069" s="5"/>
      <c r="K4069" s="6"/>
      <c r="L4069" s="14"/>
      <c r="M4069" s="14"/>
      <c r="N4069" s="14"/>
      <c r="O4069" s="14"/>
      <c r="P4069" s="14"/>
      <c r="Q4069" s="14"/>
      <c r="R4069" s="14"/>
      <c r="S4069" s="14"/>
      <c r="T4069" s="13"/>
    </row>
    <row r="4070" spans="1:20" x14ac:dyDescent="0.3">
      <c r="A4070" t="str">
        <f t="shared" si="126"/>
        <v/>
      </c>
      <c r="B4070" t="str">
        <f t="shared" si="127"/>
        <v/>
      </c>
      <c r="C4070" s="5"/>
      <c r="D4070" s="5"/>
      <c r="E4070" s="5"/>
      <c r="F4070" s="5"/>
      <c r="G4070" s="5"/>
      <c r="H4070" s="5"/>
      <c r="I4070" s="5"/>
      <c r="J4070" s="5"/>
      <c r="K4070" s="6"/>
      <c r="L4070" s="14"/>
      <c r="M4070" s="14"/>
      <c r="N4070" s="14"/>
      <c r="O4070" s="14"/>
      <c r="P4070" s="14"/>
      <c r="Q4070" s="14"/>
      <c r="R4070" s="14"/>
      <c r="S4070" s="14"/>
      <c r="T4070" s="13"/>
    </row>
    <row r="4071" spans="1:20" x14ac:dyDescent="0.3">
      <c r="A4071" t="str">
        <f t="shared" si="126"/>
        <v/>
      </c>
      <c r="B4071" t="str">
        <f t="shared" si="127"/>
        <v/>
      </c>
      <c r="C4071" s="5"/>
      <c r="D4071" s="5"/>
      <c r="E4071" s="5"/>
      <c r="F4071" s="5"/>
      <c r="G4071" s="5"/>
      <c r="H4071" s="5"/>
      <c r="I4071" s="5"/>
      <c r="J4071" s="5"/>
      <c r="K4071" s="6"/>
      <c r="L4071" s="14"/>
      <c r="M4071" s="14"/>
      <c r="N4071" s="14"/>
      <c r="O4071" s="14"/>
      <c r="P4071" s="14"/>
      <c r="Q4071" s="14"/>
      <c r="R4071" s="14"/>
      <c r="S4071" s="14"/>
      <c r="T4071" s="13"/>
    </row>
    <row r="4072" spans="1:20" x14ac:dyDescent="0.3">
      <c r="A4072" t="str">
        <f t="shared" si="126"/>
        <v/>
      </c>
      <c r="B4072" t="str">
        <f t="shared" si="127"/>
        <v/>
      </c>
      <c r="C4072" s="5"/>
      <c r="D4072" s="5"/>
      <c r="E4072" s="5"/>
      <c r="F4072" s="5"/>
      <c r="G4072" s="5"/>
      <c r="H4072" s="5"/>
      <c r="I4072" s="5"/>
      <c r="J4072" s="5"/>
      <c r="K4072" s="6"/>
      <c r="L4072" s="14"/>
      <c r="M4072" s="14"/>
      <c r="N4072" s="14"/>
      <c r="O4072" s="14"/>
      <c r="P4072" s="14"/>
      <c r="Q4072" s="14"/>
      <c r="R4072" s="14"/>
      <c r="S4072" s="14"/>
      <c r="T4072" s="13"/>
    </row>
    <row r="4073" spans="1:20" x14ac:dyDescent="0.3">
      <c r="A4073" t="str">
        <f t="shared" si="126"/>
        <v/>
      </c>
      <c r="B4073" t="str">
        <f t="shared" si="127"/>
        <v/>
      </c>
      <c r="C4073" s="5"/>
      <c r="D4073" s="5"/>
      <c r="E4073" s="5"/>
      <c r="F4073" s="5"/>
      <c r="G4073" s="5"/>
      <c r="H4073" s="5"/>
      <c r="I4073" s="5"/>
      <c r="J4073" s="5"/>
      <c r="K4073" s="6"/>
      <c r="L4073" s="14"/>
      <c r="M4073" s="14"/>
      <c r="N4073" s="14"/>
      <c r="O4073" s="14"/>
      <c r="P4073" s="14"/>
      <c r="Q4073" s="14"/>
      <c r="R4073" s="14"/>
      <c r="S4073" s="14"/>
      <c r="T4073" s="13"/>
    </row>
    <row r="4074" spans="1:20" x14ac:dyDescent="0.3">
      <c r="A4074" t="str">
        <f t="shared" si="126"/>
        <v/>
      </c>
      <c r="B4074" t="str">
        <f t="shared" si="127"/>
        <v/>
      </c>
      <c r="C4074" s="5"/>
      <c r="D4074" s="5"/>
      <c r="E4074" s="5"/>
      <c r="F4074" s="5"/>
      <c r="G4074" s="5"/>
      <c r="H4074" s="5"/>
      <c r="I4074" s="5"/>
      <c r="J4074" s="5"/>
      <c r="K4074" s="6"/>
      <c r="L4074" s="14"/>
      <c r="M4074" s="14"/>
      <c r="N4074" s="14"/>
      <c r="O4074" s="14"/>
      <c r="P4074" s="14"/>
      <c r="Q4074" s="14"/>
      <c r="R4074" s="14"/>
      <c r="S4074" s="14"/>
      <c r="T4074" s="13"/>
    </row>
    <row r="4075" spans="1:20" x14ac:dyDescent="0.3">
      <c r="A4075" t="str">
        <f t="shared" si="126"/>
        <v/>
      </c>
      <c r="B4075" t="str">
        <f t="shared" si="127"/>
        <v/>
      </c>
      <c r="C4075" s="5"/>
      <c r="D4075" s="5"/>
      <c r="E4075" s="5"/>
      <c r="F4075" s="5"/>
      <c r="G4075" s="5"/>
      <c r="H4075" s="5"/>
      <c r="I4075" s="5"/>
      <c r="J4075" s="5"/>
      <c r="K4075" s="6"/>
      <c r="L4075" s="14"/>
      <c r="M4075" s="14"/>
      <c r="N4075" s="14"/>
      <c r="O4075" s="14"/>
      <c r="P4075" s="14"/>
      <c r="Q4075" s="14"/>
      <c r="R4075" s="14"/>
      <c r="S4075" s="14"/>
      <c r="T4075" s="13"/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2026-10-13T12:38:12Z</dcterms:modified>
  <cp:category/>
  <cp:contentStatus/>
</cp:coreProperties>
</file>