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0380C5D3-1DE5-423F-B6D6-E00AF28060BA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<sst xmlns="http://schemas.openxmlformats.org/spreadsheetml/2006/main" count="27910" uniqueCount="1782">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</sst>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topLeftCell="A4" zoomScaleNormal="100" workbookViewId="0">
      <selection activeCell="T2" sqref="T2:T3969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0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370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7357</v>
      </c>
      <c r="R6" s="14">
        <v>0</v>
      </c>
      <c r="S6" s="14">
        <v>0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15000</v>
      </c>
      <c r="R8" s="14">
        <v>0</v>
      </c>
      <c r="S8" s="14">
        <v>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0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25000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0</v>
      </c>
      <c r="R16" s="14">
        <v>0</v>
      </c>
      <c r="S16" s="14">
        <v>2000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0</v>
      </c>
      <c r="R17" s="14">
        <v>0</v>
      </c>
      <c r="S17" s="14">
        <v>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24000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48000</v>
      </c>
      <c r="R26" s="14">
        <v>0</v>
      </c>
      <c r="S26" s="14">
        <v>48000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618.12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7255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50000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1500</v>
      </c>
      <c r="R32" s="14">
        <v>0</v>
      </c>
      <c r="S32" s="14">
        <v>7925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3000</v>
      </c>
      <c r="R33" s="14">
        <v>0</v>
      </c>
      <c r="S33" s="14">
        <v>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0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0</v>
      </c>
      <c r="R48" s="14">
        <v>0</v>
      </c>
      <c r="S48" s="14">
        <v>0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0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27000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0</v>
      </c>
      <c r="R54" s="14">
        <v>0</v>
      </c>
      <c r="S54" s="14">
        <v>0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0</v>
      </c>
      <c r="R57" s="14">
        <v>0</v>
      </c>
      <c r="S57" s="14">
        <v>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1200</v>
      </c>
      <c r="R63" s="14">
        <v>0</v>
      </c>
      <c r="S63" s="14">
        <v>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363.6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128000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660</v>
      </c>
      <c r="R67" s="14">
        <v>0</v>
      </c>
      <c r="S67" s="14">
        <v>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25000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1500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2300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0</v>
      </c>
      <c r="R94" s="14">
        <v>0</v>
      </c>
      <c r="S94" s="14">
        <v>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316000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0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0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10325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3900</v>
      </c>
      <c r="R120" s="14">
        <v>0</v>
      </c>
      <c r="S120" s="14">
        <v>0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16000</v>
      </c>
      <c r="R121" s="14">
        <v>0</v>
      </c>
      <c r="S121" s="14">
        <v>16000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0</v>
      </c>
      <c r="R122" s="14">
        <v>0</v>
      </c>
      <c r="S122" s="14">
        <v>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1250</v>
      </c>
      <c r="R125" s="14">
        <v>0</v>
      </c>
      <c r="S125" s="14">
        <v>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23000</v>
      </c>
      <c r="R135" s="14">
        <v>0</v>
      </c>
      <c r="S135" s="14">
        <v>23000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48960</v>
      </c>
      <c r="R136" s="14">
        <v>0</v>
      </c>
      <c r="S136" s="14">
        <v>48960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474400</v>
      </c>
      <c r="R137" s="14">
        <v>0</v>
      </c>
      <c r="S137" s="14">
        <v>948416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840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300000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237600</v>
      </c>
      <c r="R142" s="14">
        <v>0</v>
      </c>
      <c r="S142" s="14">
        <v>140939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3000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4200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1000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0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284.88</v>
      </c>
      <c r="R167" s="14">
        <v>0</v>
      </c>
      <c r="S167" s="14">
        <v>381.84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1500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108</v>
      </c>
      <c r="R184" s="14">
        <v>0</v>
      </c>
      <c r="S184" s="14">
        <v>1078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0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400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12240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4050</v>
      </c>
      <c r="R188" s="14">
        <v>0</v>
      </c>
      <c r="S188" s="14">
        <v>3000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2000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520.20000000000005</v>
      </c>
      <c r="R200" s="14">
        <v>0</v>
      </c>
      <c r="S200" s="14">
        <v>1500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50</v>
      </c>
      <c r="R201" s="14">
        <v>0</v>
      </c>
      <c r="S201" s="14">
        <v>386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600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3640</v>
      </c>
      <c r="R211" s="14">
        <v>0</v>
      </c>
      <c r="S211" s="14">
        <v>6200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150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775.68</v>
      </c>
      <c r="R213" s="14">
        <v>0</v>
      </c>
      <c r="S213" s="14">
        <v>1400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800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0</v>
      </c>
      <c r="R225" s="14">
        <v>0</v>
      </c>
      <c r="S225" s="14">
        <v>350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0</v>
      </c>
      <c r="R226" s="14">
        <v>0</v>
      </c>
      <c r="S226" s="14">
        <v>450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300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0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310.08</v>
      </c>
      <c r="R246" s="14">
        <v>0</v>
      </c>
      <c r="S246" s="14">
        <v>600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70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14.4</v>
      </c>
      <c r="R251" s="14">
        <v>0</v>
      </c>
      <c r="S251" s="14">
        <v>100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75</v>
      </c>
      <c r="R254" s="14">
        <v>0</v>
      </c>
      <c r="S254" s="14">
        <v>86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367.2</v>
      </c>
      <c r="R255" s="14">
        <v>0</v>
      </c>
      <c r="S255" s="14">
        <v>734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345.6</v>
      </c>
      <c r="R259" s="14">
        <v>0</v>
      </c>
      <c r="S259" s="14">
        <v>346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291720</v>
      </c>
      <c r="R260" s="14">
        <v>0</v>
      </c>
      <c r="S260" s="14">
        <v>291720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864</v>
      </c>
      <c r="R262" s="14">
        <v>0</v>
      </c>
      <c r="S262" s="14">
        <v>0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0</v>
      </c>
      <c r="R263" s="14">
        <v>0</v>
      </c>
      <c r="S263" s="14">
        <v>30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60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0</v>
      </c>
      <c r="R267" s="14">
        <v>0</v>
      </c>
      <c r="S267" s="14">
        <v>40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60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0</v>
      </c>
      <c r="R275" s="14">
        <v>0</v>
      </c>
      <c r="S275" s="14">
        <v>70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241.92</v>
      </c>
      <c r="R301" s="14">
        <v>0</v>
      </c>
      <c r="S301" s="14">
        <v>542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590.4</v>
      </c>
      <c r="R302" s="14">
        <v>0</v>
      </c>
      <c r="S302" s="14">
        <v>1800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1800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2056.3200000000002</v>
      </c>
      <c r="R304" s="14">
        <v>0</v>
      </c>
      <c r="S304" s="14">
        <v>3500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652.79999999999995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500</v>
      </c>
      <c r="R306" s="14">
        <v>0</v>
      </c>
      <c r="S306" s="14">
        <v>1000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0</v>
      </c>
      <c r="R309" s="14">
        <v>0</v>
      </c>
      <c r="S309" s="14">
        <v>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1500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1200</v>
      </c>
      <c r="R311" s="14">
        <v>0</v>
      </c>
      <c r="S311" s="14">
        <v>3000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1200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4569.24</v>
      </c>
      <c r="R314" s="14">
        <v>0</v>
      </c>
      <c r="S314" s="14">
        <v>4569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2000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4200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261.12</v>
      </c>
      <c r="R323" s="14">
        <v>0</v>
      </c>
      <c r="S323" s="14">
        <v>670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523.79999999999995</v>
      </c>
      <c r="R324" s="14">
        <v>0</v>
      </c>
      <c r="S324" s="14">
        <v>832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172.8</v>
      </c>
      <c r="R325" s="14">
        <v>0</v>
      </c>
      <c r="S325" s="14">
        <v>400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24480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288</v>
      </c>
      <c r="R328" s="14">
        <v>0</v>
      </c>
      <c r="S328" s="14">
        <v>850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295.91999999999996</v>
      </c>
      <c r="R329" s="14">
        <v>0</v>
      </c>
      <c r="S329" s="14">
        <v>600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1300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0</v>
      </c>
      <c r="R334" s="14">
        <v>0</v>
      </c>
      <c r="S334" s="14">
        <v>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0</v>
      </c>
      <c r="R336" s="14">
        <v>0</v>
      </c>
      <c r="S336" s="14">
        <v>24480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3024</v>
      </c>
      <c r="R344" s="14">
        <v>0</v>
      </c>
      <c r="S344" s="14">
        <v>7024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2523.36</v>
      </c>
      <c r="R346" s="14">
        <v>0</v>
      </c>
      <c r="S346" s="14">
        <v>1725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53400</v>
      </c>
      <c r="R347" s="14">
        <v>0</v>
      </c>
      <c r="S347" s="14">
        <v>26700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0</v>
      </c>
      <c r="R348" s="14">
        <v>0</v>
      </c>
      <c r="S348" s="14">
        <v>6.6966666666666672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26880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63700</v>
      </c>
      <c r="R350" s="14">
        <v>0</v>
      </c>
      <c r="S350" s="14">
        <v>76440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0</v>
      </c>
      <c r="R351" s="14">
        <v>0</v>
      </c>
      <c r="S351" s="14">
        <v>26108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2000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2390</v>
      </c>
      <c r="R353" s="14">
        <v>0</v>
      </c>
      <c r="S353" s="14">
        <v>16370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6185.68</v>
      </c>
      <c r="R356" s="14">
        <v>0</v>
      </c>
      <c r="S356" s="14">
        <v>25700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0</v>
      </c>
      <c r="R359" s="14">
        <v>0</v>
      </c>
      <c r="S359" s="14">
        <v>255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4294.8</v>
      </c>
      <c r="R361" s="14">
        <v>0</v>
      </c>
      <c r="S361" s="14">
        <v>9000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2258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2000</v>
      </c>
      <c r="R364" s="14">
        <v>0</v>
      </c>
      <c r="S364" s="14">
        <v>1000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8484</v>
      </c>
      <c r="R365" s="14">
        <v>0</v>
      </c>
      <c r="S365" s="14">
        <v>7900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787.8</v>
      </c>
      <c r="R366" s="14">
        <v>0</v>
      </c>
      <c r="S366" s="14">
        <v>5988.0589999999993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810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700</v>
      </c>
      <c r="R369" s="14">
        <v>0</v>
      </c>
      <c r="S369" s="14">
        <v>700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3640</v>
      </c>
      <c r="R370" s="14">
        <v>0</v>
      </c>
      <c r="S370" s="14">
        <v>18738.094499999996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3600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0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0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0</v>
      </c>
      <c r="R380" s="14">
        <v>0</v>
      </c>
      <c r="S380" s="14">
        <v>4141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1820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300</v>
      </c>
      <c r="R385" s="14">
        <v>0</v>
      </c>
      <c r="S385" s="14">
        <v>240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740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0</v>
      </c>
      <c r="R391" s="14">
        <v>0</v>
      </c>
      <c r="S391" s="14">
        <v>298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1344</v>
      </c>
      <c r="R393" s="14">
        <v>0</v>
      </c>
      <c r="S393" s="14">
        <v>1500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429.25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500</v>
      </c>
      <c r="R397" s="14">
        <v>0</v>
      </c>
      <c r="S397" s="14">
        <v>500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14.4</v>
      </c>
      <c r="R398" s="14">
        <v>0</v>
      </c>
      <c r="S398" s="14">
        <v>14.4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975</v>
      </c>
      <c r="R399" s="14">
        <v>0</v>
      </c>
      <c r="S399" s="14">
        <v>4000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0</v>
      </c>
      <c r="R400" s="14">
        <v>0</v>
      </c>
      <c r="S400" s="14">
        <v>2663.154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640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23.6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300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2100</v>
      </c>
      <c r="R409" s="14">
        <v>0</v>
      </c>
      <c r="S409" s="14">
        <v>6610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810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180.48</v>
      </c>
      <c r="R413" s="14">
        <v>0</v>
      </c>
      <c r="S413" s="14">
        <v>800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3640</v>
      </c>
      <c r="R417" s="14">
        <v>0</v>
      </c>
      <c r="S417" s="14">
        <v>2702.9494999999993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606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2024.0400000000002</v>
      </c>
      <c r="R423" s="14">
        <v>0</v>
      </c>
      <c r="S423" s="14">
        <v>2048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0</v>
      </c>
      <c r="R424" s="14">
        <v>0</v>
      </c>
      <c r="S424" s="14">
        <v>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0</v>
      </c>
      <c r="R426" s="14">
        <v>0</v>
      </c>
      <c r="S426" s="14">
        <v>1380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0</v>
      </c>
      <c r="R427" s="14">
        <v>0</v>
      </c>
      <c r="S427" s="14">
        <v>52.373333333333335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230.4</v>
      </c>
      <c r="R433" s="14">
        <v>0</v>
      </c>
      <c r="S433" s="14">
        <v>230.4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78.72</v>
      </c>
      <c r="R436" s="14">
        <v>0</v>
      </c>
      <c r="S436" s="14">
        <v>400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90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14.4</v>
      </c>
      <c r="R439" s="14">
        <v>0</v>
      </c>
      <c r="S439" s="14">
        <v>14.4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0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0</v>
      </c>
      <c r="R442" s="14">
        <v>0</v>
      </c>
      <c r="S442" s="14">
        <v>500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100</v>
      </c>
      <c r="R443" s="14">
        <v>0</v>
      </c>
      <c r="S443" s="14">
        <v>144.16666666666669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480</v>
      </c>
      <c r="R446" s="14">
        <v>0</v>
      </c>
      <c r="S446" s="14">
        <v>240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1555</v>
      </c>
      <c r="R448" s="14">
        <v>0</v>
      </c>
      <c r="S448" s="14">
        <v>2425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500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0</v>
      </c>
      <c r="R460" s="14">
        <v>0</v>
      </c>
      <c r="S460" s="14">
        <v>219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0</v>
      </c>
      <c r="R461" s="14">
        <v>0</v>
      </c>
      <c r="S461" s="14">
        <v>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0</v>
      </c>
      <c r="R462" s="14">
        <v>0</v>
      </c>
      <c r="S462" s="14">
        <v>623.39949999999999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2815.2</v>
      </c>
      <c r="R465" s="14">
        <v>0</v>
      </c>
      <c r="S465" s="14">
        <v>11000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500</v>
      </c>
      <c r="R467" s="14">
        <v>0</v>
      </c>
      <c r="S467" s="14">
        <v>1495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8.9600000000000009</v>
      </c>
      <c r="R469" s="14">
        <v>0</v>
      </c>
      <c r="S469" s="14">
        <v>8.9600000000000009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0</v>
      </c>
      <c r="R470" s="14">
        <v>0</v>
      </c>
      <c r="S470" s="14">
        <v>34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300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54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81.272500000000008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16</v>
      </c>
      <c r="R475" s="14">
        <v>0</v>
      </c>
      <c r="S475" s="14">
        <v>40.666666666666664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242.4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100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0</v>
      </c>
      <c r="R480" s="14">
        <v>0</v>
      </c>
      <c r="S480" s="14">
        <v>73.333333333333343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400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441.55999999999995</v>
      </c>
      <c r="R484" s="14">
        <v>0</v>
      </c>
      <c r="S484" s="14">
        <v>181.51999999999998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211.2</v>
      </c>
      <c r="R485" s="14">
        <v>0</v>
      </c>
      <c r="S485" s="14">
        <v>680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60</v>
      </c>
      <c r="R487" s="14">
        <v>0</v>
      </c>
      <c r="S487" s="14">
        <v>107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0</v>
      </c>
      <c r="R489" s="14">
        <v>0</v>
      </c>
      <c r="S489" s="14">
        <v>16.333333333333332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239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94.8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36.36</v>
      </c>
      <c r="R495" s="14">
        <v>0</v>
      </c>
      <c r="S495" s="14">
        <v>1000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180</v>
      </c>
      <c r="R496" s="14">
        <v>0</v>
      </c>
      <c r="S496" s="14">
        <v>180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121.2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32.04</v>
      </c>
      <c r="R499" s="14">
        <v>0</v>
      </c>
      <c r="S499" s="14">
        <v>32.04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180</v>
      </c>
      <c r="R500" s="14">
        <v>0</v>
      </c>
      <c r="S500" s="14">
        <v>308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0</v>
      </c>
      <c r="R501" s="14">
        <v>0</v>
      </c>
      <c r="S501" s="14">
        <v>213.33333333333334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400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125</v>
      </c>
      <c r="R508" s="14">
        <v>0</v>
      </c>
      <c r="S508" s="14">
        <v>281.25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69.813333333333333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250</v>
      </c>
      <c r="R510" s="14">
        <v>0</v>
      </c>
      <c r="S510" s="14">
        <v>150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300</v>
      </c>
      <c r="R512" s="14">
        <v>0</v>
      </c>
      <c r="S512" s="14">
        <v>300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318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366.66666666666669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0</v>
      </c>
      <c r="R527" s="14">
        <v>0</v>
      </c>
      <c r="S527" s="14">
        <v>45.099999999999994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150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100.8</v>
      </c>
      <c r="R533" s="14">
        <v>0</v>
      </c>
      <c r="S533" s="14">
        <v>275.29999999999995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0</v>
      </c>
      <c r="R538" s="14">
        <v>0</v>
      </c>
      <c r="S538" s="14">
        <v>100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14.4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0</v>
      </c>
      <c r="R540" s="14">
        <v>0</v>
      </c>
      <c r="S540" s="14">
        <v>60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200</v>
      </c>
      <c r="R543" s="14">
        <v>0</v>
      </c>
      <c r="S543" s="14">
        <v>182.12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206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187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121.2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0</v>
      </c>
      <c r="R564" s="14">
        <v>0</v>
      </c>
      <c r="S564" s="14">
        <v>62.916666666666671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500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116.66666666666667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231.32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120</v>
      </c>
      <c r="R569" s="14">
        <v>0</v>
      </c>
      <c r="S569" s="14">
        <v>229.66666666666666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0</v>
      </c>
      <c r="R570" s="14">
        <v>0</v>
      </c>
      <c r="S570" s="14">
        <v>70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13.5</v>
      </c>
      <c r="R571" s="14">
        <v>0</v>
      </c>
      <c r="S571" s="14">
        <v>13.5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116.4</v>
      </c>
      <c r="R577" s="14">
        <v>0</v>
      </c>
      <c r="S577" s="14">
        <v>79.680000000000007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142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20</v>
      </c>
      <c r="R580" s="14">
        <v>0</v>
      </c>
      <c r="S580" s="14">
        <v>20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47.4</v>
      </c>
      <c r="R583" s="14">
        <v>0</v>
      </c>
      <c r="S583" s="14">
        <v>47.4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90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14.4</v>
      </c>
      <c r="R597" s="14">
        <v>0</v>
      </c>
      <c r="S597" s="14">
        <v>910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40</v>
      </c>
      <c r="R598" s="14">
        <v>0</v>
      </c>
      <c r="S598" s="14">
        <v>40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0</v>
      </c>
      <c r="R599" s="14">
        <v>0</v>
      </c>
      <c r="S599" s="14">
        <v>119.28999999999999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0</v>
      </c>
      <c r="R600" s="14">
        <v>0</v>
      </c>
      <c r="S600" s="14">
        <v>0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0</v>
      </c>
      <c r="R604" s="14">
        <v>0</v>
      </c>
      <c r="S604" s="14">
        <v>43.333333333333336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30</v>
      </c>
      <c r="R606" s="14">
        <v>0</v>
      </c>
      <c r="S606" s="14">
        <v>30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20</v>
      </c>
      <c r="R607" s="14">
        <v>0</v>
      </c>
      <c r="S607" s="14">
        <v>20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0</v>
      </c>
      <c r="R611" s="14">
        <v>0</v>
      </c>
      <c r="S611" s="14">
        <v>28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100</v>
      </c>
      <c r="R612" s="14">
        <v>0</v>
      </c>
      <c r="S612" s="14">
        <v>30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50.33</v>
      </c>
      <c r="R614" s="14">
        <v>0</v>
      </c>
      <c r="S614" s="14">
        <v>11.53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60</v>
      </c>
      <c r="R615" s="14">
        <v>0</v>
      </c>
      <c r="S615" s="14">
        <v>60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77.84</v>
      </c>
      <c r="R618" s="14">
        <v>0</v>
      </c>
      <c r="S618" s="14">
        <v>77.84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0</v>
      </c>
      <c r="R619" s="14">
        <v>0</v>
      </c>
      <c r="S619" s="14">
        <v>42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0</v>
      </c>
      <c r="R624" s="14">
        <v>0</v>
      </c>
      <c r="S624" s="14">
        <v>26.879999999999995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0</v>
      </c>
      <c r="R625" s="14">
        <v>0</v>
      </c>
      <c r="S625" s="14">
        <v>68.319999999999993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36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0</v>
      </c>
      <c r="R628" s="14">
        <v>0</v>
      </c>
      <c r="S628" s="14">
        <v>67.75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0</v>
      </c>
      <c r="R629" s="14">
        <v>0</v>
      </c>
      <c r="S629" s="14">
        <v>5.9533333333333331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0</v>
      </c>
      <c r="R631" s="14">
        <v>0</v>
      </c>
      <c r="S631" s="14">
        <v>7.5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47.4</v>
      </c>
      <c r="R634" s="14">
        <v>0</v>
      </c>
      <c r="S634" s="14">
        <v>0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153</v>
      </c>
      <c r="R636" s="14">
        <v>0</v>
      </c>
      <c r="S636" s="14">
        <v>97.92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182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24</v>
      </c>
      <c r="R640" s="14">
        <v>0</v>
      </c>
      <c r="S640" s="14">
        <v>17.588333333333331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13.701666666666668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165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52.900000000000006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0</v>
      </c>
      <c r="R645" s="14">
        <v>0</v>
      </c>
      <c r="S645" s="14">
        <v>103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28</v>
      </c>
      <c r="R647" s="14">
        <v>0</v>
      </c>
      <c r="S647" s="14">
        <v>23.333333333333336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0</v>
      </c>
      <c r="R648" s="14">
        <v>0</v>
      </c>
      <c r="S648" s="14">
        <v>32.446666666666665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0</v>
      </c>
      <c r="R649" s="14">
        <v>0</v>
      </c>
      <c r="S649" s="14">
        <v>124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300</v>
      </c>
      <c r="R652" s="14">
        <v>0</v>
      </c>
      <c r="S652" s="14">
        <v>277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53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41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25</v>
      </c>
      <c r="R664" s="14">
        <v>0</v>
      </c>
      <c r="S664" s="14">
        <v>25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44.583333333333329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12.24</v>
      </c>
      <c r="R666" s="14">
        <v>0</v>
      </c>
      <c r="S666" s="14">
        <v>12.24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0</v>
      </c>
      <c r="R667" s="14">
        <v>0</v>
      </c>
      <c r="S667" s="14">
        <v>24.166666666666664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0</v>
      </c>
      <c r="R668" s="14">
        <v>0</v>
      </c>
      <c r="S668" s="14">
        <v>228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77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0</v>
      </c>
      <c r="R674" s="14">
        <v>0</v>
      </c>
      <c r="S674" s="14">
        <v>15.453333333333333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60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0</v>
      </c>
      <c r="R679" s="14">
        <v>0</v>
      </c>
      <c r="S679" s="14">
        <v>19.125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62.72</v>
      </c>
      <c r="R680" s="14">
        <v>0</v>
      </c>
      <c r="S680" s="14">
        <v>125.03999999999999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48</v>
      </c>
      <c r="R683" s="14">
        <v>0</v>
      </c>
      <c r="S683" s="14">
        <v>48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384</v>
      </c>
      <c r="R685" s="14">
        <v>0</v>
      </c>
      <c r="S685" s="14">
        <v>285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25</v>
      </c>
      <c r="R686" s="14">
        <v>0</v>
      </c>
      <c r="S686" s="14">
        <v>25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0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12</v>
      </c>
      <c r="R688" s="14">
        <v>0</v>
      </c>
      <c r="S688" s="14">
        <v>12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30</v>
      </c>
      <c r="R689" s="14">
        <v>0</v>
      </c>
      <c r="S689" s="14">
        <v>30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0</v>
      </c>
      <c r="R692" s="14">
        <v>0</v>
      </c>
      <c r="S692" s="14">
        <v>3.75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15</v>
      </c>
      <c r="R698" s="14">
        <v>0</v>
      </c>
      <c r="S698" s="14">
        <v>15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25</v>
      </c>
      <c r="R700" s="14">
        <v>0</v>
      </c>
      <c r="S700" s="14">
        <v>25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0</v>
      </c>
      <c r="R706" s="14">
        <v>0</v>
      </c>
      <c r="S706" s="14">
        <v>14.166666666666668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86.84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40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0</v>
      </c>
      <c r="R713" s="14">
        <v>0</v>
      </c>
      <c r="S713" s="14">
        <v>347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9.6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0</v>
      </c>
      <c r="R722" s="14">
        <v>0</v>
      </c>
      <c r="S722" s="14">
        <v>12.64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4.4800000000000004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36</v>
      </c>
      <c r="R724" s="14">
        <v>0</v>
      </c>
      <c r="S724" s="14">
        <v>83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16.48</v>
      </c>
      <c r="R728" s="14">
        <v>0</v>
      </c>
      <c r="S728" s="14">
        <v>20.96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0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29.759999999999998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0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20</v>
      </c>
      <c r="R738" s="14">
        <v>0</v>
      </c>
      <c r="S738" s="14">
        <v>20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0</v>
      </c>
      <c r="R740" s="14">
        <v>0</v>
      </c>
      <c r="S740" s="14">
        <v>20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20</v>
      </c>
      <c r="R743" s="14">
        <v>0</v>
      </c>
      <c r="S743" s="14">
        <v>10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15</v>
      </c>
      <c r="R744" s="14">
        <v>0</v>
      </c>
      <c r="S744" s="14">
        <v>15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9.6</v>
      </c>
      <c r="R745" s="14">
        <v>0</v>
      </c>
      <c r="S745" s="14">
        <v>9.6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71.8</v>
      </c>
      <c r="R746" s="14">
        <v>0</v>
      </c>
      <c r="S746" s="14">
        <v>71.8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15</v>
      </c>
      <c r="R749" s="14">
        <v>0</v>
      </c>
      <c r="S749" s="14">
        <v>15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30.574583333333333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11.77</v>
      </c>
      <c r="R754" s="14">
        <v>0</v>
      </c>
      <c r="S754" s="14">
        <v>12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0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44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152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0</v>
      </c>
      <c r="R765" s="14">
        <v>0</v>
      </c>
      <c r="S765" s="14">
        <v>17.048333333333336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0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0</v>
      </c>
      <c r="R769" s="14">
        <v>0</v>
      </c>
      <c r="S769" s="14">
        <v>121.19999999999999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1200</v>
      </c>
      <c r="R770" s="14">
        <v>0</v>
      </c>
      <c r="S770" s="14">
        <v>2987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8.9600000000000009</v>
      </c>
      <c r="R776" s="14">
        <v>0</v>
      </c>
      <c r="S776" s="14">
        <v>4.4800000000000004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39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0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8.8016666666666659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225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0</v>
      </c>
      <c r="R787" s="14">
        <v>0</v>
      </c>
      <c r="S787" s="14">
        <v>51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0</v>
      </c>
      <c r="R788" s="14">
        <v>0</v>
      </c>
      <c r="S788" s="14">
        <v>7.75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192</v>
      </c>
      <c r="R790" s="14">
        <v>0</v>
      </c>
      <c r="S790" s="14">
        <v>87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60</v>
      </c>
      <c r="R793" s="14">
        <v>0</v>
      </c>
      <c r="S793" s="14">
        <v>20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0</v>
      </c>
      <c r="R795" s="14">
        <v>0</v>
      </c>
      <c r="S795" s="14">
        <v>33.333333333333336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130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15</v>
      </c>
      <c r="R797" s="14">
        <v>0</v>
      </c>
      <c r="S797" s="14">
        <v>15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23.19</v>
      </c>
      <c r="R798" s="14">
        <v>0</v>
      </c>
      <c r="S798" s="14">
        <v>23.19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0</v>
      </c>
      <c r="R800" s="14">
        <v>0</v>
      </c>
      <c r="S800" s="14">
        <v>1.0833333333333333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95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10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15</v>
      </c>
      <c r="R806" s="14">
        <v>0</v>
      </c>
      <c r="S806" s="14">
        <v>10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10</v>
      </c>
      <c r="R807" s="14">
        <v>0</v>
      </c>
      <c r="S807" s="14">
        <v>10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0</v>
      </c>
      <c r="R808" s="14">
        <v>0</v>
      </c>
      <c r="S808" s="14">
        <v>17.5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48</v>
      </c>
      <c r="R809" s="14">
        <v>0</v>
      </c>
      <c r="S809" s="14">
        <v>45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15</v>
      </c>
      <c r="R812" s="14">
        <v>0</v>
      </c>
      <c r="S812" s="14">
        <v>15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15</v>
      </c>
      <c r="R815" s="14">
        <v>0</v>
      </c>
      <c r="S815" s="14">
        <v>5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23.26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12.5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150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10</v>
      </c>
      <c r="R820" s="14">
        <v>0</v>
      </c>
      <c r="S820" s="14">
        <v>10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138</v>
      </c>
      <c r="R824" s="14">
        <v>0</v>
      </c>
      <c r="S824" s="14">
        <v>92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540</v>
      </c>
      <c r="R825" s="14">
        <v>0</v>
      </c>
      <c r="S825" s="14">
        <v>360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6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21.653333333333332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360</v>
      </c>
      <c r="R829" s="14">
        <v>0</v>
      </c>
      <c r="S829" s="14">
        <v>378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0</v>
      </c>
      <c r="R830" s="14">
        <v>0</v>
      </c>
      <c r="S830" s="14">
        <v>21.25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25</v>
      </c>
      <c r="R832" s="14">
        <v>0</v>
      </c>
      <c r="S832" s="14">
        <v>15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0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15</v>
      </c>
      <c r="R838" s="14">
        <v>0</v>
      </c>
      <c r="S838" s="14">
        <v>47.916666666666671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10</v>
      </c>
      <c r="R843" s="14">
        <v>0</v>
      </c>
      <c r="S843" s="14">
        <v>5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120</v>
      </c>
      <c r="R845" s="14">
        <v>0</v>
      </c>
      <c r="S845" s="14">
        <v>180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73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50.16</v>
      </c>
      <c r="R847" s="14">
        <v>0</v>
      </c>
      <c r="S847" s="14">
        <v>114.35999999999999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0</v>
      </c>
      <c r="R852" s="14">
        <v>0</v>
      </c>
      <c r="S852" s="14">
        <v>50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12.76</v>
      </c>
      <c r="R855" s="14">
        <v>0</v>
      </c>
      <c r="S855" s="14">
        <v>12.76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120</v>
      </c>
      <c r="R857" s="14">
        <v>0</v>
      </c>
      <c r="S857" s="14">
        <v>60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6.0833333333333339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0</v>
      </c>
      <c r="R861" s="14">
        <v>0</v>
      </c>
      <c r="S861" s="14">
        <v>33.18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0.75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0</v>
      </c>
      <c r="R865" s="14">
        <v>0</v>
      </c>
      <c r="S865" s="14">
        <v>10.453333333333333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6</v>
      </c>
      <c r="R866" s="14">
        <v>0</v>
      </c>
      <c r="S866" s="14">
        <v>6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108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13.6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110.16</v>
      </c>
      <c r="R873" s="14">
        <v>0</v>
      </c>
      <c r="S873" s="14">
        <v>48.96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15.36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0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0</v>
      </c>
      <c r="R879" s="14">
        <v>0</v>
      </c>
      <c r="S879" s="14">
        <v>132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26.499999999999996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0.45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0</v>
      </c>
      <c r="R885" s="14">
        <v>0</v>
      </c>
      <c r="S885" s="14">
        <v>22.916666666666668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220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10</v>
      </c>
      <c r="R891" s="14">
        <v>0</v>
      </c>
      <c r="S891" s="14">
        <v>10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145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5</v>
      </c>
      <c r="R900" s="14">
        <v>0</v>
      </c>
      <c r="S900" s="14">
        <v>5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0</v>
      </c>
      <c r="R906" s="14">
        <v>0</v>
      </c>
      <c r="S906" s="14">
        <v>2.916666666666667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46.400000000000006</v>
      </c>
      <c r="R908" s="14">
        <v>0</v>
      </c>
      <c r="S908" s="14">
        <v>46.400000000000006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180</v>
      </c>
      <c r="R914" s="14">
        <v>0</v>
      </c>
      <c r="S914" s="14">
        <v>321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0</v>
      </c>
      <c r="R916" s="14">
        <v>0</v>
      </c>
      <c r="S916" s="14">
        <v>1.5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0</v>
      </c>
      <c r="R918" s="14">
        <v>0</v>
      </c>
      <c r="S918" s="14">
        <v>68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48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60</v>
      </c>
      <c r="R925" s="14">
        <v>0</v>
      </c>
      <c r="S925" s="14">
        <v>85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64.64</v>
      </c>
      <c r="R926" s="14">
        <v>0</v>
      </c>
      <c r="S926" s="14">
        <v>27.28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1.92</v>
      </c>
      <c r="R928" s="14">
        <v>0</v>
      </c>
      <c r="S928" s="14">
        <v>1.92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1.92</v>
      </c>
      <c r="R931" s="14">
        <v>0</v>
      </c>
      <c r="S931" s="14">
        <v>1.92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0</v>
      </c>
      <c r="R932" s="14">
        <v>0</v>
      </c>
      <c r="S932" s="14">
        <v>3.3600000000000003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7.68</v>
      </c>
      <c r="R936" s="14">
        <v>0</v>
      </c>
      <c r="S936" s="14">
        <v>2.56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9.6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852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3.64</v>
      </c>
      <c r="R950" s="14">
        <v>0</v>
      </c>
      <c r="S950" s="14">
        <v>3.64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0</v>
      </c>
      <c r="R952" s="14">
        <v>0</v>
      </c>
      <c r="S952" s="14">
        <v>40739.919999999998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0</v>
      </c>
      <c r="R953" s="14">
        <v>0</v>
      </c>
      <c r="S953" s="14">
        <v>6.7966666666666669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0</v>
      </c>
      <c r="R957" s="14">
        <v>0</v>
      </c>
      <c r="S957" s="14">
        <v>52861.38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0</v>
      </c>
      <c r="R958" s="14">
        <v>0</v>
      </c>
      <c r="S958" s="14">
        <v>95.846666666666678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12.239999999999998</v>
      </c>
      <c r="R960" s="14">
        <v>0</v>
      </c>
      <c r="S960" s="14">
        <v>12.239999999999998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492</v>
      </c>
      <c r="R962" s="14">
        <v>0</v>
      </c>
      <c r="S962" s="14">
        <v>936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0</v>
      </c>
      <c r="R965" s="14">
        <v>0</v>
      </c>
      <c r="S965" s="14">
        <v>29348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0</v>
      </c>
      <c r="R971" s="14">
        <v>0</v>
      </c>
      <c r="S971" s="14">
        <v>26.413333333333334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-100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0</v>
      </c>
      <c r="R975" s="14">
        <v>0</v>
      </c>
      <c r="S975" s="14">
        <v>104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28957.200000000001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14570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0</v>
      </c>
      <c r="R984" s="14">
        <v>0</v>
      </c>
      <c r="S984" s="14">
        <v>406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0</v>
      </c>
      <c r="R987" s="14">
        <v>0</v>
      </c>
      <c r="S987" s="14">
        <v>9100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0</v>
      </c>
      <c r="R989" s="14">
        <v>0</v>
      </c>
      <c r="S989" s="14">
        <v>58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0</v>
      </c>
      <c r="R991" s="14">
        <v>0</v>
      </c>
      <c r="S991" s="14">
        <v>75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0</v>
      </c>
      <c r="R992" s="14">
        <v>0</v>
      </c>
      <c r="S992" s="14">
        <v>43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11.51</v>
      </c>
      <c r="R993" s="14">
        <v>0</v>
      </c>
      <c r="S993" s="14">
        <v>11.51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28845.599999999999</v>
      </c>
      <c r="R998" s="14">
        <v>0</v>
      </c>
      <c r="S998" s="14">
        <v>28846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70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12014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0</v>
      </c>
      <c r="R1001" s="14">
        <v>0</v>
      </c>
      <c r="S1001" s="14">
        <v>50.600000000000009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7077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0</v>
      </c>
      <c r="R1004" s="14">
        <v>0</v>
      </c>
      <c r="S1004" s="14">
        <v>96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64.400000000000006</v>
      </c>
      <c r="R1009" s="14">
        <v>0</v>
      </c>
      <c r="S1009" s="14">
        <v>64.400000000000006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240</v>
      </c>
      <c r="R1015" s="14">
        <v>0</v>
      </c>
      <c r="S1015" s="14">
        <v>492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151.19999999999999</v>
      </c>
      <c r="R1017" s="14">
        <v>0</v>
      </c>
      <c r="S1017" s="14">
        <v>151.19999999999999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0</v>
      </c>
      <c r="R1018" s="14">
        <v>0</v>
      </c>
      <c r="S1018" s="14">
        <v>40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6548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0</v>
      </c>
      <c r="R1020" s="14">
        <v>0</v>
      </c>
      <c r="S1020" s="14">
        <v>13647.04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18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190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492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149.27999999999997</v>
      </c>
      <c r="R1027" s="14">
        <v>0</v>
      </c>
      <c r="S1027" s="14">
        <v>149.27999999999997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10</v>
      </c>
      <c r="R1029" s="14">
        <v>0</v>
      </c>
      <c r="S1029" s="14">
        <v>10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0</v>
      </c>
      <c r="R1031" s="14">
        <v>0</v>
      </c>
      <c r="S1031" s="14">
        <v>12972.6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84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6341.6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0</v>
      </c>
      <c r="R1038" s="14">
        <v>0</v>
      </c>
      <c r="S1038" s="14">
        <v>109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5.6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0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0</v>
      </c>
      <c r="R1045" s="14">
        <v>0</v>
      </c>
      <c r="S1045" s="14">
        <v>72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6000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0</v>
      </c>
      <c r="R1047" s="14">
        <v>0</v>
      </c>
      <c r="S1047" s="14">
        <v>24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4400</v>
      </c>
      <c r="R1048" s="14">
        <v>0</v>
      </c>
      <c r="S1048" s="14">
        <v>10400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120</v>
      </c>
      <c r="R1049" s="14">
        <v>0</v>
      </c>
      <c r="S1049" s="14">
        <v>90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0</v>
      </c>
      <c r="R1050" s="14">
        <v>0</v>
      </c>
      <c r="S1050" s="14">
        <v>6310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0</v>
      </c>
      <c r="R1053" s="14">
        <v>0</v>
      </c>
      <c r="S1053" s="14">
        <v>5740.8333333333339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7600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5825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5151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0</v>
      </c>
      <c r="R1064" s="14">
        <v>0</v>
      </c>
      <c r="S1064" s="14">
        <v>120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1</v>
      </c>
      <c r="R1065" s="14">
        <v>0</v>
      </c>
      <c r="S1065" s="14">
        <v>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72</v>
      </c>
      <c r="R1068" s="14">
        <v>0</v>
      </c>
      <c r="S1068" s="14">
        <v>180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180</v>
      </c>
      <c r="R1070" s="14">
        <v>0</v>
      </c>
      <c r="S1070" s="14">
        <v>323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0</v>
      </c>
      <c r="R1075" s="14">
        <v>0</v>
      </c>
      <c r="S1075" s="14">
        <v>25480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480</v>
      </c>
      <c r="R1079" s="14">
        <v>0</v>
      </c>
      <c r="S1079" s="14">
        <v>2700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60</v>
      </c>
      <c r="R1085" s="14">
        <v>0</v>
      </c>
      <c r="S1085" s="14">
        <v>82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9100</v>
      </c>
      <c r="R1087" s="14">
        <v>0</v>
      </c>
      <c r="S1087" s="14">
        <v>14200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412.08</v>
      </c>
      <c r="R1089" s="14">
        <v>0</v>
      </c>
      <c r="S1089" s="14">
        <v>8000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87.68</v>
      </c>
      <c r="R1092" s="14">
        <v>0</v>
      </c>
      <c r="S1092" s="14">
        <v>49.28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4500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5000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120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0</v>
      </c>
      <c r="R1101" s="14">
        <v>0</v>
      </c>
      <c r="S1101" s="14">
        <v>8920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300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120</v>
      </c>
      <c r="R1106" s="14">
        <v>0</v>
      </c>
      <c r="S1106" s="14">
        <v>310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4000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45.239999999999995</v>
      </c>
      <c r="R1112" s="14">
        <v>0</v>
      </c>
      <c r="S1112" s="14">
        <v>45.239999999999995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0</v>
      </c>
      <c r="R1113" s="14">
        <v>0</v>
      </c>
      <c r="S1113" s="14">
        <v>117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1820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17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0</v>
      </c>
      <c r="R1116" s="14">
        <v>0</v>
      </c>
      <c r="S1116" s="14">
        <v>269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5000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4641.6666666666661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-72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815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0</v>
      </c>
      <c r="R1127" s="14">
        <v>0</v>
      </c>
      <c r="S1127" s="14">
        <v>300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1788.4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185</v>
      </c>
      <c r="R1131" s="14">
        <v>0</v>
      </c>
      <c r="S1131" s="14">
        <v>2571.3934999999997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648</v>
      </c>
      <c r="R1133" s="14">
        <v>0</v>
      </c>
      <c r="S1133" s="14">
        <v>48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1500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2000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0</v>
      </c>
      <c r="R1144" s="14">
        <v>0</v>
      </c>
      <c r="S1144" s="14">
        <v>823.39099999999996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0</v>
      </c>
      <c r="R1150" s="14">
        <v>0</v>
      </c>
      <c r="S1150" s="14">
        <v>145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0.33333333333333331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0</v>
      </c>
      <c r="R1155" s="14">
        <v>0</v>
      </c>
      <c r="S1155" s="14">
        <v>4177.1785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0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0</v>
      </c>
      <c r="R1158" s="14">
        <v>0</v>
      </c>
      <c r="S1158" s="14">
        <v>3640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2000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6151.6799999999994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8000</v>
      </c>
      <c r="R1168" s="14">
        <v>0</v>
      </c>
      <c r="S1168" s="14">
        <v>4000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133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-60</v>
      </c>
      <c r="R1174" s="14">
        <v>0</v>
      </c>
      <c r="S1174" s="14">
        <v>4500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5880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0</v>
      </c>
      <c r="R1176" s="14">
        <v>0</v>
      </c>
      <c r="S1176" s="14">
        <v>47.5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0</v>
      </c>
      <c r="R1177" s="14">
        <v>0</v>
      </c>
      <c r="S1177" s="14">
        <v>4.5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0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0</v>
      </c>
      <c r="R1179" s="14">
        <v>0</v>
      </c>
      <c r="S1179" s="14">
        <v>60.180000000000007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116.06</v>
      </c>
      <c r="R1181" s="14">
        <v>0</v>
      </c>
      <c r="S1181" s="14">
        <v>68.989999999999995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0</v>
      </c>
      <c r="R1182" s="14">
        <v>0</v>
      </c>
      <c r="S1182" s="14">
        <v>1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2</v>
      </c>
      <c r="R1183" s="14">
        <v>0</v>
      </c>
      <c r="S1183" s="14">
        <v>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60</v>
      </c>
      <c r="R1186" s="14">
        <v>0</v>
      </c>
      <c r="S1186" s="14">
        <v>55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827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2000</v>
      </c>
      <c r="R1190" s="14">
        <v>0</v>
      </c>
      <c r="S1190" s="14">
        <v>4000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5151</v>
      </c>
      <c r="R1191" s="14">
        <v>0</v>
      </c>
      <c r="S1191" s="14">
        <v>1030.2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1921.2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-40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22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1.25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4.4800000000000004</v>
      </c>
      <c r="R1204" s="14">
        <v>0</v>
      </c>
      <c r="S1204" s="14">
        <v>4.4800000000000004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276</v>
      </c>
      <c r="R1205" s="14">
        <v>0</v>
      </c>
      <c r="S1205" s="14">
        <v>355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6.84</v>
      </c>
      <c r="R1207" s="14">
        <v>0</v>
      </c>
      <c r="S1207" s="14">
        <v>6.84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1035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0</v>
      </c>
      <c r="R1212" s="14">
        <v>0</v>
      </c>
      <c r="S1212" s="14">
        <v>22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980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0</v>
      </c>
      <c r="R1217" s="14">
        <v>0</v>
      </c>
      <c r="S1217" s="14">
        <v>1400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64.8</v>
      </c>
      <c r="R1218" s="14">
        <v>0</v>
      </c>
      <c r="S1218" s="14">
        <v>64.8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700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46.88</v>
      </c>
      <c r="R1221" s="14">
        <v>0</v>
      </c>
      <c r="S1221" s="14">
        <v>71.446666666666658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95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150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46</v>
      </c>
      <c r="R1229" s="14">
        <v>0</v>
      </c>
      <c r="S1229" s="14">
        <v>46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475</v>
      </c>
      <c r="R1230" s="14">
        <v>0</v>
      </c>
      <c r="S1230" s="14">
        <v>750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0</v>
      </c>
      <c r="R1232" s="14">
        <v>0</v>
      </c>
      <c r="S1232" s="14">
        <v>110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0</v>
      </c>
      <c r="R1235" s="14">
        <v>0</v>
      </c>
      <c r="S1235" s="14">
        <v>3920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1500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1260.472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300</v>
      </c>
      <c r="R1238" s="14">
        <v>0</v>
      </c>
      <c r="S1238" s="14">
        <v>583.33333333333326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639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0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3620</v>
      </c>
      <c r="R1244" s="14">
        <v>0</v>
      </c>
      <c r="S1244" s="14">
        <v>1542.4333333333334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-58.260000000000005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900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77.433333333333337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120</v>
      </c>
      <c r="R1251" s="14">
        <v>0</v>
      </c>
      <c r="S1251" s="14">
        <v>173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221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2.1</v>
      </c>
      <c r="R1258" s="14">
        <v>0</v>
      </c>
      <c r="S1258" s="14">
        <v>11.905000000000001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0</v>
      </c>
      <c r="R1260" s="14">
        <v>0</v>
      </c>
      <c r="S1260" s="14">
        <v>62.5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3640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432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323.2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273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2151.4364999999993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18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0.75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0</v>
      </c>
      <c r="R1287" s="14">
        <v>0</v>
      </c>
      <c r="S1287" s="14">
        <v>45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0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0</v>
      </c>
      <c r="R1291" s="14">
        <v>0</v>
      </c>
      <c r="S1291" s="14">
        <v>150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500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0</v>
      </c>
      <c r="R1302" s="14">
        <v>0</v>
      </c>
      <c r="S1302" s="14">
        <v>102.77000000000001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0</v>
      </c>
      <c r="R1306" s="14">
        <v>0</v>
      </c>
      <c r="S1306" s="14">
        <v>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120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0</v>
      </c>
      <c r="R1308" s="14">
        <v>0</v>
      </c>
      <c r="S1308" s="14">
        <v>150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500</v>
      </c>
      <c r="R1309" s="14">
        <v>0</v>
      </c>
      <c r="S1309" s="14">
        <v>725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0</v>
      </c>
      <c r="R1313" s="14">
        <v>0</v>
      </c>
      <c r="S1313" s="14">
        <v>1063.68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2000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700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0</v>
      </c>
      <c r="R1320" s="14">
        <v>0</v>
      </c>
      <c r="S1320" s="14">
        <v>1000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0</v>
      </c>
      <c r="R1321" s="14">
        <v>0</v>
      </c>
      <c r="S1321" s="14">
        <v>443.26050000000004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1400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0</v>
      </c>
      <c r="R1325" s="14">
        <v>0</v>
      </c>
      <c r="S1325" s="14">
        <v>53.333333333333336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9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1820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0</v>
      </c>
      <c r="R1334" s="14">
        <v>0</v>
      </c>
      <c r="S1334" s="14">
        <v>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0</v>
      </c>
      <c r="R1336" s="14">
        <v>0</v>
      </c>
      <c r="S1336" s="14">
        <v>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0</v>
      </c>
      <c r="R1342" s="14">
        <v>0</v>
      </c>
      <c r="S1342" s="14">
        <v>756.48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1500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4.8</v>
      </c>
      <c r="R1350" s="14">
        <v>0</v>
      </c>
      <c r="S1350" s="14">
        <v>10.399999999999999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45.28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0</v>
      </c>
      <c r="R1357" s="14">
        <v>0</v>
      </c>
      <c r="S1357" s="14">
        <v>910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606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1960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1000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0</v>
      </c>
      <c r="R1363" s="14">
        <v>0</v>
      </c>
      <c r="S1363" s="14">
        <v>-20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3386.88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14</v>
      </c>
      <c r="R1369" s="14">
        <v>0</v>
      </c>
      <c r="S1369" s="14">
        <v>18.099083333333333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137</v>
      </c>
      <c r="R1370" s="14">
        <v>0</v>
      </c>
      <c r="S1370" s="14">
        <v>67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189.6</v>
      </c>
      <c r="R1373" s="14">
        <v>0</v>
      </c>
      <c r="S1373" s="14">
        <v>29.229999999999997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11.6</v>
      </c>
      <c r="R1374" s="14">
        <v>0</v>
      </c>
      <c r="S1374" s="14">
        <v>11.6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0</v>
      </c>
      <c r="R1375" s="14">
        <v>0</v>
      </c>
      <c r="S1375" s="14">
        <v>365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0</v>
      </c>
      <c r="R1377" s="14">
        <v>0</v>
      </c>
      <c r="S1377" s="14">
        <v>78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775.68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0</v>
      </c>
      <c r="R1379" s="14">
        <v>0</v>
      </c>
      <c r="S1379" s="14">
        <v>75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858.5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52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980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1500</v>
      </c>
      <c r="R1388" s="14">
        <v>0</v>
      </c>
      <c r="S1388" s="14">
        <v>1500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-900</v>
      </c>
      <c r="R1389" s="14">
        <v>0</v>
      </c>
      <c r="S1389" s="14">
        <v>2304.1666666666665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1030.2</v>
      </c>
      <c r="R1390" s="14">
        <v>0</v>
      </c>
      <c r="S1390" s="14">
        <v>758.07150000000001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127.6</v>
      </c>
      <c r="R1392" s="14">
        <v>0</v>
      </c>
      <c r="S1392" s="14">
        <v>127.6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75.84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0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60</v>
      </c>
      <c r="R1399" s="14">
        <v>0</v>
      </c>
      <c r="S1399" s="14">
        <v>88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132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4.333333333333333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200</v>
      </c>
      <c r="R1404" s="14">
        <v>0</v>
      </c>
      <c r="S1404" s="14">
        <v>200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0</v>
      </c>
      <c r="R1405" s="14">
        <v>0</v>
      </c>
      <c r="S1405" s="14">
        <v>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1.0833333333333335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8</v>
      </c>
      <c r="R1407" s="14">
        <v>0</v>
      </c>
      <c r="S1407" s="14">
        <v>8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134.4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588</v>
      </c>
      <c r="R1414" s="14">
        <v>0</v>
      </c>
      <c r="S1414" s="14">
        <v>294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3004.8</v>
      </c>
      <c r="R1416" s="14">
        <v>0</v>
      </c>
      <c r="S1416" s="14">
        <v>2212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0</v>
      </c>
      <c r="R1417" s="14">
        <v>0</v>
      </c>
      <c r="S1417" s="14">
        <v>556.79999999999995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72</v>
      </c>
      <c r="R1420" s="14">
        <v>0</v>
      </c>
      <c r="S1420" s="14">
        <v>134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16.649999999999999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24.299999999999997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94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19.8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18.900000000000002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5.4</v>
      </c>
      <c r="R1430" s="14">
        <v>0</v>
      </c>
      <c r="S1430" s="14">
        <v>8.5499999999999989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0</v>
      </c>
      <c r="R1431" s="14">
        <v>0</v>
      </c>
      <c r="S1431" s="14">
        <v>112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192</v>
      </c>
      <c r="R1432" s="14">
        <v>0</v>
      </c>
      <c r="S1432" s="14">
        <v>556.79999999999995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264</v>
      </c>
      <c r="R1434" s="14">
        <v>0</v>
      </c>
      <c r="S1434" s="14">
        <v>24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0</v>
      </c>
      <c r="R1435" s="14">
        <v>0</v>
      </c>
      <c r="S1435" s="14">
        <v>16.666666666666664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1662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36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1100</v>
      </c>
      <c r="R1443" s="14">
        <v>0</v>
      </c>
      <c r="S1443" s="14">
        <v>1035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6</v>
      </c>
      <c r="R1448" s="14">
        <v>0</v>
      </c>
      <c r="S1448" s="14">
        <v>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0</v>
      </c>
      <c r="R1449" s="14">
        <v>0</v>
      </c>
      <c r="S1449" s="14">
        <v>153.17708333333331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0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0</v>
      </c>
      <c r="R1459" s="14">
        <v>0</v>
      </c>
      <c r="S1459" s="14">
        <v>313.67899999999997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5</v>
      </c>
      <c r="R1464" s="14">
        <v>0</v>
      </c>
      <c r="S1464" s="14">
        <v>5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300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200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24</v>
      </c>
      <c r="R1470" s="14">
        <v>0</v>
      </c>
      <c r="S1470" s="14">
        <v>24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0</v>
      </c>
      <c r="R1473" s="14">
        <v>0</v>
      </c>
      <c r="S1473" s="14">
        <v>250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500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19.2</v>
      </c>
      <c r="R1476" s="14">
        <v>0</v>
      </c>
      <c r="S1476" s="14">
        <v>9.6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0</v>
      </c>
      <c r="R1477" s="14">
        <v>0</v>
      </c>
      <c r="S1477" s="14">
        <v>19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10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1820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248.16000000000003</v>
      </c>
      <c r="R1481" s="14">
        <v>0</v>
      </c>
      <c r="S1481" s="14">
        <v>180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0</v>
      </c>
      <c r="R1482" s="14">
        <v>0</v>
      </c>
      <c r="S1482" s="14">
        <v>500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0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400</v>
      </c>
      <c r="R1485" s="14">
        <v>0</v>
      </c>
      <c r="S1485" s="14">
        <v>400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250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13.600000000000001</v>
      </c>
      <c r="R1488" s="14">
        <v>0</v>
      </c>
      <c r="S1488" s="14">
        <v>15.14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0</v>
      </c>
      <c r="R1490" s="14">
        <v>0</v>
      </c>
      <c r="S1490" s="14">
        <v>100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288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72</v>
      </c>
      <c r="R1496" s="14">
        <v>0</v>
      </c>
      <c r="S1496" s="14">
        <v>71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88.8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0</v>
      </c>
      <c r="R1499" s="14">
        <v>0</v>
      </c>
      <c r="S1499" s="14">
        <v>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0</v>
      </c>
      <c r="R1502" s="14">
        <v>0</v>
      </c>
      <c r="S1502" s="14">
        <v>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0</v>
      </c>
      <c r="R1504" s="14">
        <v>0</v>
      </c>
      <c r="S1504" s="14">
        <v>26.9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910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2167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0</v>
      </c>
      <c r="R1509" s="14">
        <v>0</v>
      </c>
      <c r="S1509" s="14">
        <v>0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0</v>
      </c>
      <c r="R1519" s="14">
        <v>0</v>
      </c>
      <c r="S1519" s="14">
        <v>24.533333333333331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0</v>
      </c>
      <c r="R1520" s="14">
        <v>0</v>
      </c>
      <c r="S1520" s="14">
        <v>247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600</v>
      </c>
      <c r="R1521" s="14">
        <v>0</v>
      </c>
      <c r="S1521" s="14">
        <v>400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400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17.5</v>
      </c>
      <c r="R1527" s="14">
        <v>0</v>
      </c>
      <c r="S1527" s="14">
        <v>17.5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600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96</v>
      </c>
      <c r="R1531" s="14">
        <v>0</v>
      </c>
      <c r="S1531" s="14">
        <v>48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300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290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0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120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472.32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396.55</v>
      </c>
      <c r="R1553" s="14">
        <v>0</v>
      </c>
      <c r="S1553" s="14">
        <v>460.03749999999997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0</v>
      </c>
      <c r="R1556" s="14">
        <v>0</v>
      </c>
      <c r="S1556" s="14">
        <v>133.33333333333334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371.28000000000003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0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565.07999999999993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0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288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12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326.39999999999998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1030.2</v>
      </c>
      <c r="R1569" s="14">
        <v>0</v>
      </c>
      <c r="S1569" s="14">
        <v>1030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240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800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50</v>
      </c>
      <c r="R1587" s="14">
        <v>0</v>
      </c>
      <c r="S1587" s="14">
        <v>50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0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150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-18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0</v>
      </c>
      <c r="R1600" s="14">
        <v>0</v>
      </c>
      <c r="S1600" s="14">
        <v>311.5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100</v>
      </c>
      <c r="R1608" s="14">
        <v>0</v>
      </c>
      <c r="S1608" s="14">
        <v>78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0</v>
      </c>
      <c r="R1610" s="14">
        <v>0</v>
      </c>
      <c r="S1610" s="14">
        <v>82.05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67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109.16416666666667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14.4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690</v>
      </c>
      <c r="R1621" s="14">
        <v>0</v>
      </c>
      <c r="S1621" s="14">
        <v>1370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5100</v>
      </c>
      <c r="R1623" s="14">
        <v>0</v>
      </c>
      <c r="S1623" s="14">
        <v>5220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15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929.07</v>
      </c>
      <c r="R1626" s="14">
        <v>0</v>
      </c>
      <c r="S1626" s="14">
        <v>3158.319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80</v>
      </c>
      <c r="R1627" s="14">
        <v>0</v>
      </c>
      <c r="S1627" s="14">
        <v>120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0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192</v>
      </c>
      <c r="R1631" s="14">
        <v>0</v>
      </c>
      <c r="S1631" s="14">
        <v>6.75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121.2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120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500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6650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12960</v>
      </c>
      <c r="R1640" s="14">
        <v>0</v>
      </c>
      <c r="S1640" s="14">
        <v>15120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10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0</v>
      </c>
      <c r="R1642" s="14">
        <v>0</v>
      </c>
      <c r="S1642" s="14">
        <v>85.239999999999981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0</v>
      </c>
      <c r="R1643" s="14">
        <v>0</v>
      </c>
      <c r="S1643" s="14">
        <v>180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0</v>
      </c>
      <c r="R1646" s="14">
        <v>0</v>
      </c>
      <c r="S1646" s="14">
        <v>11.666666666666668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121.2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72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0</v>
      </c>
      <c r="R1649" s="14">
        <v>0</v>
      </c>
      <c r="S1649" s="14">
        <v>15.010000000000002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91.25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0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155.52000000000001</v>
      </c>
      <c r="R1659" s="14">
        <v>0</v>
      </c>
      <c r="S1659" s="14">
        <v>233.28000000000003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103.2</v>
      </c>
      <c r="R1660" s="14">
        <v>0</v>
      </c>
      <c r="S1660" s="14">
        <v>240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0</v>
      </c>
      <c r="R1664" s="14">
        <v>0</v>
      </c>
      <c r="S1664" s="14">
        <v>290.88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45</v>
      </c>
      <c r="R1666" s="14">
        <v>0</v>
      </c>
      <c r="S1666" s="14">
        <v>45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62.160000000000004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127.98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0</v>
      </c>
      <c r="R1669" s="14">
        <v>0</v>
      </c>
      <c r="S1669" s="14">
        <v>89.583333333333343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0</v>
      </c>
      <c r="R1673" s="14">
        <v>0</v>
      </c>
      <c r="S1673" s="14">
        <v>2100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2364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36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40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20</v>
      </c>
      <c r="R1686" s="14">
        <v>0</v>
      </c>
      <c r="S1686" s="14">
        <v>20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24.49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0</v>
      </c>
      <c r="R1689" s="14">
        <v>0</v>
      </c>
      <c r="S1689" s="14">
        <v>75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0</v>
      </c>
      <c r="R1692" s="14">
        <v>0</v>
      </c>
      <c r="S1692" s="14">
        <v>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27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57.599999999999994</v>
      </c>
      <c r="R1694" s="14">
        <v>0</v>
      </c>
      <c r="S1694" s="14">
        <v>86.72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201.74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72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437.4</v>
      </c>
      <c r="R1700" s="14">
        <v>0</v>
      </c>
      <c r="S1700" s="14">
        <v>464.4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4.8</v>
      </c>
      <c r="R1702" s="14">
        <v>0</v>
      </c>
      <c r="S1702" s="14">
        <v>38.4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0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0</v>
      </c>
      <c r="R1706" s="14">
        <v>0</v>
      </c>
      <c r="S1706" s="14">
        <v>34.76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56.100000000000009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0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6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50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25</v>
      </c>
      <c r="R1723" s="14">
        <v>0</v>
      </c>
      <c r="S1723" s="14">
        <v>60.416666666666671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0</v>
      </c>
      <c r="R1724" s="14">
        <v>0</v>
      </c>
      <c r="S1724" s="14">
        <v>63.333333333333329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0</v>
      </c>
      <c r="R1725" s="14">
        <v>0</v>
      </c>
      <c r="S1725" s="14">
        <v>100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</v>
      </c>
      <c r="R1726" s="14">
        <v>0</v>
      </c>
      <c r="S1726" s="14">
        <v>60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2.37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49.583333333333329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18.326666666666664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0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28.8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0</v>
      </c>
      <c r="R1735" s="14">
        <v>0</v>
      </c>
      <c r="S1735" s="14">
        <v>7.5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0</v>
      </c>
      <c r="R1738" s="14">
        <v>0</v>
      </c>
      <c r="S1738" s="14">
        <v>31.28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27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0</v>
      </c>
      <c r="R1746" s="14">
        <v>0</v>
      </c>
      <c r="S1746" s="14">
        <v>67.916666666666657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68.75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0</v>
      </c>
      <c r="R1748" s="14">
        <v>0</v>
      </c>
      <c r="S1748" s="14">
        <v>52.14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38.5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42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40.320000000000007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28.8</v>
      </c>
      <c r="R1755" s="14">
        <v>0</v>
      </c>
      <c r="S1755" s="14">
        <v>0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7.68</v>
      </c>
      <c r="R1756" s="14">
        <v>0</v>
      </c>
      <c r="S1756" s="14">
        <v>19.14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211.2</v>
      </c>
      <c r="R1757" s="14">
        <v>0</v>
      </c>
      <c r="S1757" s="14">
        <v>150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62.160000000000004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75</v>
      </c>
      <c r="R1761" s="14">
        <v>0</v>
      </c>
      <c r="S1761" s="14">
        <v>75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143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29.7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37.92</v>
      </c>
      <c r="R1775" s="14">
        <v>0</v>
      </c>
      <c r="S1775" s="14">
        <v>101.91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0</v>
      </c>
      <c r="R1782" s="14">
        <v>0</v>
      </c>
      <c r="S1782" s="14">
        <v>0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0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0</v>
      </c>
      <c r="R1789" s="14">
        <v>0</v>
      </c>
      <c r="S1789" s="14">
        <v>12.083333333333334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20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14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45.84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25</v>
      </c>
      <c r="R1796" s="14">
        <v>0</v>
      </c>
      <c r="S1796" s="14">
        <v>25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4104</v>
      </c>
      <c r="R1797" s="14">
        <v>0</v>
      </c>
      <c r="S1797" s="14">
        <v>4280.491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37.916666666666664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0</v>
      </c>
      <c r="R1799" s="14">
        <v>0</v>
      </c>
      <c r="S1799" s="14">
        <v>1987.172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0</v>
      </c>
      <c r="R1801" s="14">
        <v>0</v>
      </c>
      <c r="S1801" s="14">
        <v>30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0</v>
      </c>
      <c r="R1803" s="14">
        <v>0</v>
      </c>
      <c r="S1803" s="14">
        <v>529.93849999999998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0</v>
      </c>
      <c r="R1805" s="14">
        <v>0</v>
      </c>
      <c r="S1805" s="14">
        <v>422.4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173.75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124.58333333333333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19.2</v>
      </c>
      <c r="R1812" s="14">
        <v>0</v>
      </c>
      <c r="S1812" s="14">
        <v>19.2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0</v>
      </c>
      <c r="R1819" s="14">
        <v>0</v>
      </c>
      <c r="S1819" s="14">
        <v>13.75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18.240000000000002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0</v>
      </c>
      <c r="R1824" s="14">
        <v>0</v>
      </c>
      <c r="S1824" s="14">
        <v>0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48.48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24.240000000000002</v>
      </c>
      <c r="R1832" s="14">
        <v>0</v>
      </c>
      <c r="S1832" s="14">
        <v>24.240000000000002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200</v>
      </c>
      <c r="R1839" s="14">
        <v>0</v>
      </c>
      <c r="S1839" s="14">
        <v>327.57899999999995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26.88</v>
      </c>
      <c r="R1846" s="14">
        <v>0</v>
      </c>
      <c r="S1846" s="14">
        <v>65.28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0</v>
      </c>
      <c r="R1847" s="14">
        <v>0</v>
      </c>
      <c r="S1847" s="14">
        <v>29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19.2</v>
      </c>
      <c r="R1850" s="14">
        <v>0</v>
      </c>
      <c r="S1850" s="14">
        <v>46.5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0</v>
      </c>
      <c r="R1852" s="14">
        <v>0</v>
      </c>
      <c r="S1852" s="14">
        <v>598.32899999999995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0</v>
      </c>
      <c r="R1857" s="14">
        <v>0</v>
      </c>
      <c r="S1857" s="14">
        <v>201.39999999999998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15</v>
      </c>
      <c r="R1862" s="14">
        <v>0</v>
      </c>
      <c r="S1862" s="14">
        <v>15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8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0</v>
      </c>
      <c r="R1869" s="14">
        <v>0</v>
      </c>
      <c r="S1869" s="14">
        <v>23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0</v>
      </c>
      <c r="R1874" s="14">
        <v>0</v>
      </c>
      <c r="S1874" s="14">
        <v>0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20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0</v>
      </c>
      <c r="R1877" s="14">
        <v>0</v>
      </c>
      <c r="S1877" s="14">
        <v>8.3333333333333339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0</v>
      </c>
      <c r="R1878" s="14">
        <v>0</v>
      </c>
      <c r="S1878" s="14">
        <v>5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3961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20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0</v>
      </c>
      <c r="R1885" s="14">
        <v>0</v>
      </c>
      <c r="S1885" s="14">
        <v>556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26620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20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27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0</v>
      </c>
      <c r="R1901" s="14">
        <v>0</v>
      </c>
      <c r="S1901" s="14">
        <v>56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0</v>
      </c>
      <c r="R1903" s="14">
        <v>0</v>
      </c>
      <c r="S1903" s="14">
        <v>0.36000000000000004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1011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30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1000</v>
      </c>
      <c r="R1922" s="14">
        <v>0</v>
      </c>
      <c r="S1922" s="14">
        <v>1012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5440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10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3.75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20400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0</v>
      </c>
      <c r="R1943" s="14">
        <v>0</v>
      </c>
      <c r="S1943" s="14">
        <v>10.416666666666668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0</v>
      </c>
      <c r="R1944" s="14">
        <v>0</v>
      </c>
      <c r="S1944" s="14">
        <v>142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0</v>
      </c>
      <c r="R1948" s="14">
        <v>0</v>
      </c>
      <c r="S1948" s="14">
        <v>2.08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4.5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50</v>
      </c>
      <c r="R1962" s="14">
        <v>0</v>
      </c>
      <c r="S1962" s="14">
        <v>50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45</v>
      </c>
      <c r="R1966" s="14">
        <v>0</v>
      </c>
      <c r="S1966" s="14">
        <v>45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101.11999999999999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0</v>
      </c>
      <c r="R1973" s="14">
        <v>0</v>
      </c>
      <c r="S1973" s="14">
        <v>8.0500000000000007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0</v>
      </c>
      <c r="R1974" s="14">
        <v>0</v>
      </c>
      <c r="S1974" s="14">
        <v>16.590000000000003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3.375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0</v>
      </c>
      <c r="R1982" s="14">
        <v>0</v>
      </c>
      <c r="S1982" s="14">
        <v>2000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150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60.416666666666671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0</v>
      </c>
      <c r="R1995" s="14">
        <v>0</v>
      </c>
      <c r="S1995" s="14">
        <v>4.8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0</v>
      </c>
      <c r="R1996" s="14">
        <v>0</v>
      </c>
      <c r="S1996" s="14">
        <v>11.850000000000001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0</v>
      </c>
      <c r="R2000" s="14">
        <v>0</v>
      </c>
      <c r="S2000" s="14">
        <v>3.75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0</v>
      </c>
      <c r="R2003" s="14">
        <v>0</v>
      </c>
      <c r="S2003" s="14">
        <v>3.5999999999999996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0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0</v>
      </c>
      <c r="R2005" s="14">
        <v>0</v>
      </c>
      <c r="S2005" s="14">
        <v>33.333333333333336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0</v>
      </c>
      <c r="R2009" s="14">
        <v>0</v>
      </c>
      <c r="S2009" s="14">
        <v>8.25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5.76</v>
      </c>
      <c r="R2013" s="14">
        <v>0</v>
      </c>
      <c r="S2013" s="14">
        <v>5.76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5.8333333333333339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5</v>
      </c>
      <c r="R2016" s="14">
        <v>0</v>
      </c>
      <c r="S2016" s="14">
        <v>3.3333333333333335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373.2</v>
      </c>
      <c r="R2017" s="14">
        <v>0</v>
      </c>
      <c r="S2017" s="14">
        <v>373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0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0</v>
      </c>
      <c r="R2019" s="14">
        <v>0</v>
      </c>
      <c r="S2019" s="14">
        <v>5.416666666666667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0</v>
      </c>
      <c r="R2022" s="14">
        <v>0</v>
      </c>
      <c r="S2022" s="14">
        <v>16.25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47.083333333333329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0</v>
      </c>
      <c r="R2024" s="14">
        <v>0</v>
      </c>
      <c r="S2024" s="14">
        <v>14.239999999999998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0</v>
      </c>
      <c r="R2027" s="14">
        <v>0</v>
      </c>
      <c r="S2027" s="14">
        <v>10.416666666666668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500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200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400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937.6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14.4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5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0</v>
      </c>
      <c r="R2043" s="14">
        <v>0</v>
      </c>
      <c r="S2043" s="14">
        <v>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0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0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0</v>
      </c>
      <c r="R2046" s="14">
        <v>0</v>
      </c>
      <c r="S2046" s="14">
        <v>-2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150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30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0</v>
      </c>
      <c r="R2052" s="14">
        <v>0</v>
      </c>
      <c r="S2052" s="14">
        <v>219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72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30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210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470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775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270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1000</v>
      </c>
      <c r="R2071" s="14">
        <v>0</v>
      </c>
      <c r="S2071" s="14">
        <v>1000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75</v>
      </c>
      <c r="R2072" s="14">
        <v>0</v>
      </c>
      <c r="S2072" s="14">
        <v>75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-200</v>
      </c>
      <c r="R2075" s="14">
        <v>0</v>
      </c>
      <c r="S2075" s="14">
        <v>125.00000000000001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16.520499999999998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12</v>
      </c>
      <c r="R2077" s="14">
        <v>0</v>
      </c>
      <c r="S2077" s="14">
        <v>229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432</v>
      </c>
      <c r="R2078" s="14">
        <v>0</v>
      </c>
      <c r="S2078" s="14">
        <v>292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29.620999999999999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10.833333333333334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910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0</v>
      </c>
      <c r="R2085" s="14">
        <v>0</v>
      </c>
      <c r="S2085" s="14">
        <v>400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13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110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0</v>
      </c>
      <c r="R2091" s="14">
        <v>0</v>
      </c>
      <c r="S2091" s="14">
        <v>20604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50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0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270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0</v>
      </c>
      <c r="R2100" s="14">
        <v>0</v>
      </c>
      <c r="S2100" s="14">
        <v>119.99333333333334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150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0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910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150</v>
      </c>
      <c r="R2121" s="14">
        <v>0</v>
      </c>
      <c r="S2121" s="14">
        <v>150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0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0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0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0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165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600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30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4.6499999999999995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14.399999999999999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18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0</v>
      </c>
      <c r="R2199" s="14">
        <v>0</v>
      </c>
      <c r="S2199" s="14">
        <v>0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3611.88</v>
      </c>
      <c r="R2206" s="14">
        <v>0</v>
      </c>
      <c r="S2206" s="14">
        <v>5332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1139.28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1820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1000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0</v>
      </c>
      <c r="R2234" s="14">
        <v>0</v>
      </c>
      <c r="S2234" s="14">
        <v>800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96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0</v>
      </c>
      <c r="R2239" s="14">
        <v>0</v>
      </c>
      <c r="S2239" s="14">
        <v>0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7.9166666666666679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0</v>
      </c>
      <c r="R2245" s="14">
        <v>0</v>
      </c>
      <c r="S2245" s="14">
        <v>5.416666666666667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247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25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0</v>
      </c>
      <c r="R2256" s="14">
        <v>0</v>
      </c>
      <c r="S2256" s="14">
        <v>12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12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0</v>
      </c>
      <c r="R2261" s="14">
        <v>0</v>
      </c>
      <c r="S2261" s="14">
        <v>18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0</v>
      </c>
      <c r="R2265" s="14">
        <v>0</v>
      </c>
      <c r="S2265" s="14">
        <v>76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0</v>
      </c>
      <c r="R2267" s="14">
        <v>0</v>
      </c>
      <c r="S2267" s="14">
        <v>66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130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78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0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0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6.48</v>
      </c>
      <c r="R2282" s="14">
        <v>0</v>
      </c>
      <c r="S2282" s="14">
        <v>2.4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0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25</v>
      </c>
      <c r="R2285" s="14">
        <v>0</v>
      </c>
      <c r="S2285" s="14">
        <v>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47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54</v>
      </c>
      <c r="R2298" s="14">
        <v>0</v>
      </c>
      <c r="S2298" s="14">
        <v>228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5</v>
      </c>
      <c r="R2299" s="14">
        <v>0</v>
      </c>
      <c r="S2299" s="14">
        <v>5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5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0</v>
      </c>
      <c r="R2310" s="14">
        <v>0</v>
      </c>
      <c r="S2310" s="14">
        <v>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14.8</v>
      </c>
      <c r="R2314" s="14">
        <v>0</v>
      </c>
      <c r="S2314" s="14">
        <v>5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15</v>
      </c>
      <c r="R2315" s="14">
        <v>0</v>
      </c>
      <c r="S2315" s="14">
        <v>7.4550000000000001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0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10.8</v>
      </c>
      <c r="R2324" s="14">
        <v>0</v>
      </c>
      <c r="S2324" s="14">
        <v>10.8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500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200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0</v>
      </c>
      <c r="R2336" s="14">
        <v>0</v>
      </c>
      <c r="S2336" s="14">
        <v>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1.3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0</v>
      </c>
      <c r="R2339" s="14">
        <v>0</v>
      </c>
      <c r="S2339" s="14">
        <v>6.75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188.7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0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100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456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60</v>
      </c>
      <c r="R2364" s="14">
        <v>0</v>
      </c>
      <c r="S2364" s="14">
        <v>72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0</v>
      </c>
      <c r="R2369" s="14">
        <v>0</v>
      </c>
      <c r="S2369" s="14">
        <v>200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0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1.125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72</v>
      </c>
      <c r="R2379" s="14">
        <v>0</v>
      </c>
      <c r="S2379" s="14">
        <v>128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36</v>
      </c>
      <c r="R2380" s="14">
        <v>0</v>
      </c>
      <c r="S2380" s="14">
        <v>36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100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0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8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-2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4.4800000000000004</v>
      </c>
      <c r="R2402" s="14">
        <v>0</v>
      </c>
      <c r="S2402" s="14">
        <v>10.826666666666668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9.6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0</v>
      </c>
      <c r="R2411" s="14">
        <v>0</v>
      </c>
      <c r="S2411" s="14">
        <v>8.56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66</v>
      </c>
      <c r="R2415" s="14">
        <v>0</v>
      </c>
      <c r="S2415" s="14">
        <v>0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9.48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91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40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40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16</v>
      </c>
      <c r="R2429" s="14">
        <v>0</v>
      </c>
      <c r="S2429" s="14">
        <v>16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3.3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252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0</v>
      </c>
      <c r="R2467" s="14">
        <v>0</v>
      </c>
      <c r="S2467" s="14">
        <v>16.45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1.3333333333333333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30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0</v>
      </c>
      <c r="R2480" s="14">
        <v>0</v>
      </c>
      <c r="S2480" s="14">
        <v>15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0</v>
      </c>
      <c r="R2485" s="14">
        <v>0</v>
      </c>
      <c r="S2485" s="14">
        <v>21.25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0</v>
      </c>
      <c r="R2494" s="14">
        <v>0</v>
      </c>
      <c r="S2494" s="14">
        <v>923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3000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200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2000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0</v>
      </c>
      <c r="R2507" s="14">
        <v>0</v>
      </c>
      <c r="S2507" s="14">
        <v>23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46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72</v>
      </c>
      <c r="R2532" s="14">
        <v>0</v>
      </c>
      <c r="S2532" s="14">
        <v>66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0</v>
      </c>
      <c r="R2538" s="14">
        <v>0</v>
      </c>
      <c r="S2538" s="14">
        <v>0.95291666666666675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38750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0</v>
      </c>
      <c r="R2564" s="14">
        <v>0</v>
      </c>
      <c r="S2564" s="14">
        <v>9.1666666666666679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12</v>
      </c>
      <c r="R2566" s="14">
        <v>0</v>
      </c>
      <c r="S2566" s="14">
        <v>6.8949999999999996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18.759999999999998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910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1000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2816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7.6</v>
      </c>
      <c r="R2586" s="14">
        <v>0</v>
      </c>
      <c r="S2586" s="14">
        <v>1.8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10875.48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6419.85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2.4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0</v>
      </c>
      <c r="R2597" s="14">
        <v>0</v>
      </c>
      <c r="S2597" s="14">
        <v>75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300</v>
      </c>
      <c r="R2598" s="14">
        <v>0</v>
      </c>
      <c r="S2598" s="14">
        <v>600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208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80</v>
      </c>
      <c r="R2601" s="14">
        <v>0</v>
      </c>
      <c r="S2601" s="14">
        <v>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45</v>
      </c>
      <c r="R2604" s="14">
        <v>0</v>
      </c>
      <c r="S2604" s="14">
        <v>15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30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0</v>
      </c>
      <c r="R2608" s="14">
        <v>0</v>
      </c>
      <c r="S2608" s="14">
        <v>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72</v>
      </c>
      <c r="R2613" s="14">
        <v>0</v>
      </c>
      <c r="S2613" s="14">
        <v>72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9.3000000000000007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2.9000000000000004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0.75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1.125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0.75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1200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0</v>
      </c>
      <c r="R2649" s="14">
        <v>0</v>
      </c>
      <c r="S2649" s="14">
        <v>13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0</v>
      </c>
      <c r="R2661" s="14">
        <v>0</v>
      </c>
      <c r="S2661" s="14">
        <v>10.199999999999999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0</v>
      </c>
      <c r="R2669" s="14">
        <v>0</v>
      </c>
      <c r="S2669" s="14">
        <v>152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23000</v>
      </c>
      <c r="R2670" s="14">
        <v>0</v>
      </c>
      <c r="S2670" s="14">
        <v>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0</v>
      </c>
      <c r="R2671" s="14">
        <v>0</v>
      </c>
      <c r="S2671" s="14">
        <v>200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0</v>
      </c>
      <c r="R2677" s="14">
        <v>0</v>
      </c>
      <c r="S2677" s="14">
        <v>114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0</v>
      </c>
      <c r="R2679" s="14">
        <v>0</v>
      </c>
      <c r="S2679" s="14">
        <v>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0.375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23.23</v>
      </c>
      <c r="R2690" s="14">
        <v>0</v>
      </c>
      <c r="S2690" s="14">
        <v>10.7875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3.84</v>
      </c>
      <c r="R2713" s="14">
        <v>0</v>
      </c>
      <c r="S2713" s="14">
        <v>3.84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0</v>
      </c>
      <c r="R2714" s="14">
        <v>0</v>
      </c>
      <c r="S2714" s="14">
        <v>101.66666666666667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0</v>
      </c>
      <c r="R2715" s="14">
        <v>0</v>
      </c>
      <c r="S2715" s="14">
        <v>0.375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9</v>
      </c>
      <c r="R2717" s="14">
        <v>0</v>
      </c>
      <c r="S2717" s="14">
        <v>9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3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55.2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0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1.6666666666666667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6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8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0</v>
      </c>
      <c r="R2749" s="14">
        <v>0</v>
      </c>
      <c r="S2749" s="14">
        <v>9.1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12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18.96</v>
      </c>
      <c r="R2773" s="14">
        <v>0</v>
      </c>
      <c r="S2773" s="14">
        <v>37.92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100000</v>
      </c>
      <c r="R2779" s="14">
        <v>0</v>
      </c>
      <c r="S2779" s="14">
        <v>100000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2.4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0</v>
      </c>
      <c r="R2796" s="14">
        <v>0</v>
      </c>
      <c r="S2796" s="14">
        <v>0.33333333333333331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48000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2.625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12575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17.920000000000002</v>
      </c>
      <c r="R2835" s="14">
        <v>0</v>
      </c>
      <c r="S2835" s="14">
        <v>32.400000000000006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10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10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50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0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250</v>
      </c>
      <c r="R2855" s="14">
        <v>0</v>
      </c>
      <c r="S2855" s="14">
        <v>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70</v>
      </c>
      <c r="R2869" s="14">
        <v>0</v>
      </c>
      <c r="S2869" s="14">
        <v>100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120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0</v>
      </c>
      <c r="R2872" s="14">
        <v>0</v>
      </c>
      <c r="S2872" s="14">
        <v>500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73.599999999999994</v>
      </c>
      <c r="R2874" s="14">
        <v>0</v>
      </c>
      <c r="S2874" s="14">
        <v>36.799999999999997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0</v>
      </c>
      <c r="R2878" s="14">
        <v>0</v>
      </c>
      <c r="S2878" s="14">
        <v>0.66666666666666663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349.92</v>
      </c>
      <c r="R2879" s="14">
        <v>0</v>
      </c>
      <c r="S2879" s="14">
        <v>300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60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0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47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200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0</v>
      </c>
      <c r="R2904" s="14">
        <v>0</v>
      </c>
      <c r="S2904" s="14">
        <v>0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0</v>
      </c>
      <c r="R2905" s="14">
        <v>0</v>
      </c>
      <c r="S2905" s="14">
        <v>0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6</v>
      </c>
      <c r="R2906" s="14">
        <v>0</v>
      </c>
      <c r="S2906" s="14">
        <v>11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198.33333333333334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18.75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6.12</v>
      </c>
      <c r="R2917" s="14">
        <v>0</v>
      </c>
      <c r="S2917" s="14">
        <v>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0</v>
      </c>
      <c r="R2926" s="14">
        <v>0</v>
      </c>
      <c r="S2926" s="14">
        <v>0.5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360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1995</v>
      </c>
      <c r="R2933" s="14">
        <v>0</v>
      </c>
      <c r="S2933" s="14">
        <v>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96</v>
      </c>
      <c r="R2954" s="14">
        <v>0</v>
      </c>
      <c r="S2954" s="14">
        <v>96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250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92</v>
      </c>
      <c r="R2966" s="14">
        <v>0</v>
      </c>
      <c r="S2966" s="14">
        <v>100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73.599999999999994</v>
      </c>
      <c r="R2967" s="14">
        <v>0</v>
      </c>
      <c r="S2967" s="14">
        <v>100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0</v>
      </c>
      <c r="R2987" s="14">
        <v>0</v>
      </c>
      <c r="S2987" s="14">
        <v>60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27.6</v>
      </c>
      <c r="R2988" s="14">
        <v>0</v>
      </c>
      <c r="S2988" s="14">
        <v>0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0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0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0</v>
      </c>
      <c r="R2998" s="14">
        <v>0</v>
      </c>
      <c r="S2998" s="14">
        <v>4.8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894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0</v>
      </c>
      <c r="R3003" s="14">
        <v>0</v>
      </c>
      <c r="S3003" s="14">
        <v>6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0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330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70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">
        <v>86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">
        <v>93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">
        <v>38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990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">
        <v>18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">
        <v>28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">
        <v>38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">
        <v>18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">
        <v>38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">
        <v>93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">
        <v>93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">
        <v>28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">
        <v>28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">
        <v>28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168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3.84</v>
      </c>
      <c r="R3041" s="14">
        <v>0</v>
      </c>
      <c r="S3041" s="14">
        <v>3.84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168</v>
      </c>
      <c r="R3043" s="14">
        <v>0</v>
      </c>
      <c r="S3043" s="14">
        <v>51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0</v>
      </c>
      <c r="R3051" s="14">
        <v>0</v>
      </c>
      <c r="S3051" s="14">
        <v>16.25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0</v>
      </c>
      <c r="R3053" s="14">
        <v>0</v>
      </c>
      <c r="S3053" s="14">
        <v>358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0</v>
      </c>
      <c r="R3058" s="14">
        <v>0</v>
      </c>
      <c r="S3058" s="14">
        <v>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57.6</v>
      </c>
      <c r="R3061" s="14">
        <v>0</v>
      </c>
      <c r="S3061" s="14">
        <v>57.6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216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200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3900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0</v>
      </c>
      <c r="R3082" s="14">
        <v>0</v>
      </c>
      <c r="S3082" s="14">
        <v>96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30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12</v>
      </c>
      <c r="R3093" s="14">
        <v>0</v>
      </c>
      <c r="S3093" s="14">
        <v>12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48000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11298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5918.75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30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10692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122.39999999999999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1.125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0</v>
      </c>
      <c r="R3149" s="14">
        <v>0</v>
      </c>
      <c r="S3149" s="14">
        <v>625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9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6.6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1.7999999999999998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37296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48000</v>
      </c>
      <c r="R3158" s="14">
        <v>0</v>
      </c>
      <c r="S3158" s="14">
        <v>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0</v>
      </c>
      <c r="R3171" s="14">
        <v>0</v>
      </c>
      <c r="S3171" s="14">
        <v>7.5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1030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0</v>
      </c>
      <c r="R3194" s="14">
        <v>0</v>
      </c>
      <c r="S3194" s="14">
        <v>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160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2160</v>
      </c>
      <c r="R3210" s="14">
        <v>0</v>
      </c>
      <c r="S3210" s="14">
        <v>4240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25.68</v>
      </c>
      <c r="R3222" s="14">
        <v>0</v>
      </c>
      <c r="S3222" s="14">
        <v>25.68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2.04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100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10.8</v>
      </c>
      <c r="R3227" s="14">
        <v>0</v>
      </c>
      <c r="S3227" s="14">
        <v>10.8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0</v>
      </c>
      <c r="R3229" s="14">
        <v>0</v>
      </c>
      <c r="S3229" s="14">
        <v>111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0</v>
      </c>
      <c r="R3230" s="14">
        <v>0</v>
      </c>
      <c r="S3230" s="14">
        <v>30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84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168</v>
      </c>
      <c r="R3239" s="14">
        <v>0</v>
      </c>
      <c r="S3239" s="14">
        <v>48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0</v>
      </c>
      <c r="R3240" s="14">
        <v>0</v>
      </c>
      <c r="S3240" s="14">
        <v>9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0</v>
      </c>
      <c r="R3251" s="14">
        <v>0</v>
      </c>
      <c r="S3251" s="14">
        <v>2.5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0</v>
      </c>
      <c r="R3254" s="14">
        <v>0</v>
      </c>
      <c r="S3254" s="14">
        <v>6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116.35</v>
      </c>
      <c r="R3259" s="14">
        <v>0</v>
      </c>
      <c r="S3259" s="14">
        <v>120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5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300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1147.8400000000001</v>
      </c>
      <c r="R3278" s="14">
        <v>0</v>
      </c>
      <c r="S3278" s="14">
        <v>4000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0</v>
      </c>
      <c r="R3280" s="14">
        <v>0</v>
      </c>
      <c r="S3280" s="14">
        <v>0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60</v>
      </c>
      <c r="R3283" s="14">
        <v>0</v>
      </c>
      <c r="S3283" s="14">
        <v>18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108</v>
      </c>
      <c r="R3284" s="14">
        <v>0</v>
      </c>
      <c r="S3284" s="14">
        <v>48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0</v>
      </c>
      <c r="R3285" s="14">
        <v>0</v>
      </c>
      <c r="S3285" s="14">
        <v>42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0</v>
      </c>
      <c r="R3289" s="14">
        <v>0</v>
      </c>
      <c r="S3289" s="14">
        <v>27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2055</v>
      </c>
      <c r="R3292" s="14">
        <v>0</v>
      </c>
      <c r="S3292" s="14">
        <v>2100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</v>
      </c>
      <c r="R3294" s="14">
        <v>0</v>
      </c>
      <c r="S3294" s="14">
        <v>2.97925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0</v>
      </c>
      <c r="R3295" s="14">
        <v>0</v>
      </c>
      <c r="S3295" s="14">
        <v>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135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0</v>
      </c>
      <c r="R3299" s="14">
        <v>0</v>
      </c>
      <c r="S3299" s="14">
        <v>0.96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16.2</v>
      </c>
      <c r="R3300" s="14">
        <v>0</v>
      </c>
      <c r="S3300" s="14">
        <v>5.4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0</v>
      </c>
      <c r="R3304" s="14">
        <v>0</v>
      </c>
      <c r="S3304" s="14">
        <v>36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18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24800</v>
      </c>
      <c r="R3307" s="14">
        <v>0</v>
      </c>
      <c r="S3307" s="14">
        <v>25000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0</v>
      </c>
      <c r="R3348" s="14">
        <v>0</v>
      </c>
      <c r="S3348" s="14">
        <v>240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0</v>
      </c>
      <c r="R3350" s="14">
        <v>0</v>
      </c>
      <c r="S3350" s="14">
        <v>60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8</v>
      </c>
      <c r="R3352" s="14">
        <v>0</v>
      </c>
      <c r="S3352" s="14">
        <v>4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0</v>
      </c>
      <c r="R3354" s="14">
        <v>0</v>
      </c>
      <c r="S3354" s="14">
        <v>32.5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60</v>
      </c>
      <c r="R3355" s="14">
        <v>0</v>
      </c>
      <c r="S3355" s="14">
        <v>24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30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9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0</v>
      </c>
      <c r="R3359" s="14">
        <v>0</v>
      </c>
      <c r="S3359" s="14">
        <v>45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0</v>
      </c>
      <c r="R3360" s="14">
        <v>0</v>
      </c>
      <c r="S3360" s="14">
        <v>105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60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20650</v>
      </c>
      <c r="R3390" s="14">
        <v>0</v>
      </c>
      <c r="S3390" s="14">
        <v>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4.32</v>
      </c>
      <c r="R3393" s="14">
        <v>0</v>
      </c>
      <c r="S3393" s="14">
        <v>4.5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5.4</v>
      </c>
      <c r="R3395" s="14">
        <v>0</v>
      </c>
      <c r="S3395" s="14">
        <v>10.8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0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73.599999999999994</v>
      </c>
      <c r="R3412" s="14">
        <v>0</v>
      </c>
      <c r="S3412" s="14">
        <v>73.599999999999994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120</v>
      </c>
      <c r="R3416" s="14">
        <v>0</v>
      </c>
      <c r="S3416" s="14">
        <v>42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0</v>
      </c>
      <c r="R3418" s="14">
        <v>0</v>
      </c>
      <c r="S3418" s="14">
        <v>16.799999999999997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9.6</v>
      </c>
      <c r="R3419" s="14">
        <v>0</v>
      </c>
      <c r="S3419" s="14">
        <v>9.6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20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141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4.5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48000</v>
      </c>
      <c r="R3430" s="14">
        <v>0</v>
      </c>
      <c r="S3430" s="14">
        <v>48000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12</v>
      </c>
      <c r="R3432" s="14">
        <v>0</v>
      </c>
      <c r="S3432" s="14">
        <v>8.7774999999999999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27705</v>
      </c>
      <c r="R3433" s="14">
        <v>0</v>
      </c>
      <c r="S3433" s="14">
        <v>27000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1.2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12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3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136.07999999999998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384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0</v>
      </c>
      <c r="R3445" s="14">
        <v>0</v>
      </c>
      <c r="S3445" s="14">
        <v>4.8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3.6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12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150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12.12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36.36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100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168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120</v>
      </c>
      <c r="R3462" s="14">
        <v>0</v>
      </c>
      <c r="S3462" s="14">
        <v>72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37946.879999999997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38.400000000000006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0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3.6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675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28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564.48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36</v>
      </c>
      <c r="R3494" s="14">
        <v>0</v>
      </c>
      <c r="S3494" s="14">
        <v>9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39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0</v>
      </c>
      <c r="R3496" s="14">
        <v>0</v>
      </c>
      <c r="S3496" s="14">
        <v>30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62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57.5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3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1.125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0</v>
      </c>
      <c r="R3508" s="14">
        <v>0</v>
      </c>
      <c r="S3508" s="14">
        <v>18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5.4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100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1200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500</v>
      </c>
      <c r="R3516" s="14">
        <v>0</v>
      </c>
      <c r="S3516" s="14">
        <v>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0</v>
      </c>
      <c r="R3518" s="14">
        <v>0</v>
      </c>
      <c r="S3518" s="14">
        <v>8.7499999999999982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1065</v>
      </c>
      <c r="R3521" s="14">
        <v>0</v>
      </c>
      <c r="S3521" s="14">
        <v>1000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7000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0</v>
      </c>
      <c r="R3524" s="14">
        <v>0</v>
      </c>
      <c r="S3524" s="14">
        <v>155.63849999999999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4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200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4.5999999999999996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120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50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10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122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30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3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14.8</v>
      </c>
      <c r="R3569" s="14">
        <v>0</v>
      </c>
      <c r="S3569" s="14">
        <v>0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1100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0</v>
      </c>
      <c r="R3589" s="14">
        <v>0</v>
      </c>
      <c r="S3589" s="14">
        <v>1.25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250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364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910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62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1440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0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0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33.6</v>
      </c>
      <c r="R3703" s="14">
        <v>0</v>
      </c>
      <c r="S3703" s="14">
        <v>0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0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66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0</v>
      </c>
      <c r="R3755" s="14">
        <v>0</v>
      </c>
      <c r="S3755" s="14">
        <v>0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27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137964.96</v>
      </c>
      <c r="R3815" s="14">
        <v>0</v>
      </c>
      <c r="S3815" s="14">
        <v>150000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0</v>
      </c>
      <c r="R3816" s="14">
        <v>0</v>
      </c>
      <c r="S3816" s="14">
        <v>5.3000000000000007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750</v>
      </c>
      <c r="R3819" s="14">
        <v>0</v>
      </c>
      <c r="S3819" s="14">
        <v>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228.48</v>
      </c>
      <c r="R3821" s="14">
        <v>0</v>
      </c>
      <c r="S3821" s="14">
        <v>228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2300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0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0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">
        <v>1197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">
        <v>1197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">
        <v>681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24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12000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9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2896.9960000000001</v>
      </c>
      <c r="R3859" s="14">
        <v>0</v>
      </c>
      <c r="S3859" s="14">
        <v>3647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1000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0</v>
      </c>
      <c r="R3862" s="14">
        <v>0</v>
      </c>
      <c r="S3862" s="14">
        <v>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424.96</v>
      </c>
      <c r="R3864" s="14">
        <v>0</v>
      </c>
      <c r="S3864" s="14">
        <v>0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28.44</v>
      </c>
      <c r="R3865" s="14">
        <v>0</v>
      </c>
      <c r="S3865" s="14">
        <v>56.88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28.44</v>
      </c>
      <c r="R3866" s="14">
        <v>0</v>
      </c>
      <c r="S3866" s="14">
        <v>56.88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18.96</v>
      </c>
      <c r="R3867" s="14">
        <v>0</v>
      </c>
      <c r="S3867" s="14">
        <v>37.92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0</v>
      </c>
      <c r="R3868" s="14">
        <v>0</v>
      </c>
      <c r="S3868" s="14">
        <v>24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5</v>
      </c>
      <c r="R3872" s="14">
        <v>0</v>
      </c>
      <c r="S3872" s="14">
        <v>5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0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0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0</v>
      </c>
      <c r="R3879" s="14">
        <v>0</v>
      </c>
      <c r="S3879" s="14">
        <v>0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0</v>
      </c>
      <c r="R3881" s="14">
        <v>0</v>
      </c>
      <c r="S3881" s="14">
        <v>0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35.840000000000003</v>
      </c>
      <c r="R3883" s="14">
        <v>0</v>
      </c>
      <c r="S3883" s="14">
        <v>17.920000000000002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862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0</v>
      </c>
      <c r="R3885" s="14">
        <v>0</v>
      </c>
      <c r="S3885" s="14">
        <v>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5</v>
      </c>
      <c r="R3886" s="14">
        <v>0</v>
      </c>
      <c r="S3886" s="14">
        <v>5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0</v>
      </c>
      <c r="R3888" s="14">
        <v>0</v>
      </c>
      <c r="S3888" s="14">
        <v>0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0</v>
      </c>
      <c r="R3890" s="14">
        <v>0</v>
      </c>
      <c r="S3890" s="14">
        <v>0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0</v>
      </c>
      <c r="R3892" s="14">
        <v>0</v>
      </c>
      <c r="S3892" s="14">
        <v>0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4.5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729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39.119999999999997</v>
      </c>
      <c r="R3899" s="14">
        <v>0</v>
      </c>
      <c r="S3899" s="14">
        <v>39.119999999999997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8.9600000000000009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25000</v>
      </c>
      <c r="R3906" s="14">
        <v>0</v>
      </c>
      <c r="S3906" s="14">
        <v>25000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0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0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50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11088</v>
      </c>
      <c r="R3915" s="14">
        <v>0</v>
      </c>
      <c r="S3915" s="14">
        <v>3024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18.96</v>
      </c>
      <c r="R3918" s="14">
        <v>0</v>
      </c>
      <c r="S3918" s="14">
        <v>18.96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250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12</v>
      </c>
      <c r="R3934" s="14">
        <v>0</v>
      </c>
      <c r="S3934" s="14">
        <v>12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0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14</v>
      </c>
      <c r="D3937" s="5" t="s">
        <v>49</v>
      </c>
      <c r="E3937" s="5" t="s">
        <v>50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0</v>
      </c>
      <c r="R3937" s="14">
        <v>0</v>
      </c>
      <c r="S3937" s="14">
        <v>0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0</v>
      </c>
      <c r="R3939" s="14">
        <v>0</v>
      </c>
      <c r="S3939" s="14">
        <v>0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14</v>
      </c>
      <c r="D3940" s="5" t="s">
        <v>49</v>
      </c>
      <c r="E3940" s="5" t="s">
        <v>50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0</v>
      </c>
      <c r="R3941" s="14">
        <v>0</v>
      </c>
      <c r="S3941" s="14">
        <v>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0</v>
      </c>
      <c r="R3942" s="14">
        <v>0</v>
      </c>
      <c r="S3942" s="14">
        <v>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0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0</v>
      </c>
      <c r="R3945" s="14">
        <v>0</v>
      </c>
      <c r="S3945" s="14">
        <v>0</v>
      </c>
      <c r="T3945" s="13">
        <v>6.6870565206753065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0</v>
      </c>
      <c r="R3947" s="14">
        <v>0</v>
      </c>
      <c r="S3947" s="14">
        <v>0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9.6</v>
      </c>
      <c r="R3949" s="14">
        <v>0</v>
      </c>
      <c r="S3949" s="14">
        <v>0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20</v>
      </c>
      <c r="R3950" s="14">
        <v>0</v>
      </c>
      <c r="S3950" s="14">
        <v>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9.48</v>
      </c>
      <c r="R3951" s="14">
        <v>0</v>
      </c>
      <c r="S3951" s="14">
        <v>0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6</v>
      </c>
      <c r="R3954" s="14">
        <v>0</v>
      </c>
      <c r="S3954" s="14">
        <v>0</v>
      </c>
      <c r="T3954" s="13">
        <v>4.7878615384615371</v>
      </c>
    </row>
    <row r="3955" spans="1:20" x14ac:dyDescent="0.3">
      <c r="A3955" t="str">
        <f t="shared" si="122"/>
        <v>DOCE DE LEITELACTALIS</v>
      </c>
      <c r="B3955" t="str">
        <f t="shared" si="123"/>
        <v>5340656DOCE DE LEITELACTALIS</v>
      </c>
      <c r="C3955" s="5" t="s">
        <v>174</v>
      </c>
      <c r="D3955" s="5" t="s">
        <v>175</v>
      </c>
      <c r="E3955" s="5" t="s">
        <v>588</v>
      </c>
      <c r="F3955" s="5">
        <v>5340656</v>
      </c>
      <c r="G3955" s="5" t="s">
        <v>609</v>
      </c>
      <c r="H3955" s="5" t="s">
        <v>28</v>
      </c>
      <c r="I3955" s="5" t="s">
        <v>20</v>
      </c>
      <c r="J3955" s="5" t="s">
        <v>42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6</v>
      </c>
      <c r="R3955" s="14">
        <v>0</v>
      </c>
      <c r="S3955" s="14">
        <v>0</v>
      </c>
      <c r="T3955" s="13">
        <v>4.7878615384615371</v>
      </c>
    </row>
    <row r="3956" spans="1:20" x14ac:dyDescent="0.3">
      <c r="A3956" t="str">
        <f t="shared" si="122"/>
        <v>IOGURTESLACTALIS</v>
      </c>
      <c r="B3956" t="str">
        <f t="shared" si="123"/>
        <v>5371456IOGURTESLACTALIS</v>
      </c>
      <c r="C3956" s="5" t="s">
        <v>174</v>
      </c>
      <c r="D3956" s="5" t="s">
        <v>681</v>
      </c>
      <c r="E3956" s="5" t="s">
        <v>1204</v>
      </c>
      <c r="F3956" s="5">
        <v>5371456</v>
      </c>
      <c r="G3956" s="5" t="s">
        <v>1777</v>
      </c>
      <c r="H3956" s="5" t="s">
        <v>28</v>
      </c>
      <c r="I3956" s="5" t="s">
        <v>20</v>
      </c>
      <c r="J3956" s="5" t="s">
        <v>122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9.1999999999999993</v>
      </c>
      <c r="R3956" s="14">
        <v>0</v>
      </c>
      <c r="S3956" s="14">
        <v>0</v>
      </c>
      <c r="T3956" s="13">
        <v>11.440206068840578</v>
      </c>
    </row>
    <row r="3957" spans="1:20" x14ac:dyDescent="0.3">
      <c r="A3957" t="str">
        <f t="shared" si="122"/>
        <v>LEITE CONDENSADOLACTALIS</v>
      </c>
      <c r="B3957" t="str">
        <f t="shared" si="123"/>
        <v>5367655LEITE CONDENSADOLACTALIS</v>
      </c>
      <c r="C3957" s="5" t="s">
        <v>174</v>
      </c>
      <c r="D3957" s="5" t="s">
        <v>681</v>
      </c>
      <c r="E3957" s="5" t="s">
        <v>1202</v>
      </c>
      <c r="F3957" s="5">
        <v>5367655</v>
      </c>
      <c r="G3957" s="5" t="s">
        <v>1778</v>
      </c>
      <c r="H3957" s="5" t="s">
        <v>28</v>
      </c>
      <c r="I3957" s="5" t="s">
        <v>20</v>
      </c>
      <c r="J3957" s="5" t="s">
        <v>31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28</v>
      </c>
      <c r="R3957" s="14">
        <v>0</v>
      </c>
      <c r="S3957" s="14">
        <v>0</v>
      </c>
      <c r="T3957" s="13">
        <v>-2.942545710267229</v>
      </c>
    </row>
    <row r="3958" spans="1:20" x14ac:dyDescent="0.3">
      <c r="A3958" t="str">
        <f t="shared" si="122"/>
        <v>LEITE EM PÓLACTALIS</v>
      </c>
      <c r="B3958" t="str">
        <f t="shared" si="123"/>
        <v>5034562LEITE EM PÓLACTALIS</v>
      </c>
      <c r="C3958" s="5" t="s">
        <v>174</v>
      </c>
      <c r="D3958" s="5" t="s">
        <v>681</v>
      </c>
      <c r="E3958" s="5" t="s">
        <v>1204</v>
      </c>
      <c r="F3958" s="5">
        <v>5034562</v>
      </c>
      <c r="G3958" s="5" t="s">
        <v>1709</v>
      </c>
      <c r="H3958" s="5" t="s">
        <v>28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9</v>
      </c>
      <c r="R3958" s="14">
        <v>0</v>
      </c>
      <c r="S3958" s="14">
        <v>0</v>
      </c>
      <c r="T3958" s="13">
        <v>-1.3575000000000006</v>
      </c>
    </row>
    <row r="3959" spans="1:20" x14ac:dyDescent="0.3">
      <c r="A3959" t="str">
        <f t="shared" si="122"/>
        <v>LEITE EM PÓLACTALIS</v>
      </c>
      <c r="B3959" t="str">
        <f t="shared" si="123"/>
        <v>5175205LEITE EM PÓLACTALIS</v>
      </c>
      <c r="C3959" s="5" t="s">
        <v>174</v>
      </c>
      <c r="D3959" s="5" t="s">
        <v>633</v>
      </c>
      <c r="E3959" s="5" t="s">
        <v>649</v>
      </c>
      <c r="F3959" s="5">
        <v>5175205</v>
      </c>
      <c r="G3959" s="5" t="s">
        <v>659</v>
      </c>
      <c r="H3959" s="5" t="s">
        <v>30</v>
      </c>
      <c r="I3959" s="5" t="s">
        <v>20</v>
      </c>
      <c r="J3959" s="5" t="s">
        <v>70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50</v>
      </c>
      <c r="R3959" s="14">
        <v>0</v>
      </c>
      <c r="S3959" s="14">
        <v>0</v>
      </c>
      <c r="T3959" s="13">
        <v>1.8993</v>
      </c>
    </row>
    <row r="3960" spans="1:20" x14ac:dyDescent="0.3">
      <c r="A3960" t="str">
        <f t="shared" si="122"/>
        <v>LEITE UHTLACTALIS</v>
      </c>
      <c r="B3960" t="str">
        <f t="shared" si="123"/>
        <v>5371404LEITE UHTLACTALIS</v>
      </c>
      <c r="C3960" s="5" t="s">
        <v>174</v>
      </c>
      <c r="D3960" s="5" t="s">
        <v>681</v>
      </c>
      <c r="E3960" s="5" t="s">
        <v>1196</v>
      </c>
      <c r="F3960" s="5">
        <v>5371404</v>
      </c>
      <c r="G3960" s="5" t="s">
        <v>1779</v>
      </c>
      <c r="H3960" s="5" t="s">
        <v>28</v>
      </c>
      <c r="I3960" s="5" t="s">
        <v>20</v>
      </c>
      <c r="J3960" s="5" t="s">
        <v>125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60</v>
      </c>
      <c r="R3960" s="14">
        <v>0</v>
      </c>
      <c r="S3960" s="14">
        <v>0</v>
      </c>
      <c r="T3960" s="13">
        <v>0.37163271604938264</v>
      </c>
    </row>
    <row r="3961" spans="1:20" x14ac:dyDescent="0.3">
      <c r="A3961" t="str">
        <f t="shared" si="122"/>
        <v>LPI 25KGITAMBÉ</v>
      </c>
      <c r="B3961" t="str">
        <f t="shared" si="123"/>
        <v>5373854LPI 25KGITAMBÉ</v>
      </c>
      <c r="C3961" s="5" t="s">
        <v>14</v>
      </c>
      <c r="D3961" s="5" t="s">
        <v>15</v>
      </c>
      <c r="E3961" s="5" t="s">
        <v>1303</v>
      </c>
      <c r="F3961" s="5">
        <v>5373854</v>
      </c>
      <c r="G3961" s="5" t="s">
        <v>1780</v>
      </c>
      <c r="H3961" s="5" t="s">
        <v>85</v>
      </c>
      <c r="I3961" s="5" t="s">
        <v>25</v>
      </c>
      <c r="J3961" s="5" t="s">
        <v>19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500</v>
      </c>
      <c r="R3961" s="14">
        <v>0</v>
      </c>
      <c r="S3961" s="14">
        <v>0</v>
      </c>
      <c r="T3961" s="13">
        <v>0</v>
      </c>
    </row>
    <row r="3962" spans="1:20" x14ac:dyDescent="0.3">
      <c r="A3962" t="str">
        <f t="shared" si="122"/>
        <v>MANTEIGA 5KGLACTALIS</v>
      </c>
      <c r="B3962" t="str">
        <f t="shared" si="123"/>
        <v>5367655MANTEIGA 5KGLACTALIS</v>
      </c>
      <c r="C3962" s="5" t="s">
        <v>174</v>
      </c>
      <c r="D3962" s="5" t="s">
        <v>681</v>
      </c>
      <c r="E3962" s="5" t="s">
        <v>1202</v>
      </c>
      <c r="F3962" s="5">
        <v>5367655</v>
      </c>
      <c r="G3962" s="5" t="s">
        <v>1778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10</v>
      </c>
      <c r="R3962" s="14">
        <v>0</v>
      </c>
      <c r="S3962" s="14">
        <v>0</v>
      </c>
      <c r="T3962" s="13">
        <v>0</v>
      </c>
    </row>
    <row r="3963" spans="1:20" x14ac:dyDescent="0.3">
      <c r="A3963" t="str">
        <f t="shared" si="122"/>
        <v>MANTEIGA 5KGLACTALIS</v>
      </c>
      <c r="B3963" t="str">
        <f t="shared" si="123"/>
        <v>5369793MANTEIGA 5KGLACTALIS</v>
      </c>
      <c r="C3963" s="5" t="s">
        <v>174</v>
      </c>
      <c r="D3963" s="5" t="s">
        <v>681</v>
      </c>
      <c r="E3963" s="5" t="s">
        <v>1198</v>
      </c>
      <c r="F3963" s="5">
        <v>5369793</v>
      </c>
      <c r="G3963" s="5" t="s">
        <v>1781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20</v>
      </c>
      <c r="R3963" s="14">
        <v>0</v>
      </c>
      <c r="S3963" s="14">
        <v>0</v>
      </c>
      <c r="T3963" s="13">
        <v>0</v>
      </c>
    </row>
    <row r="3964" spans="1:20" x14ac:dyDescent="0.3">
      <c r="A3964" t="str">
        <f t="shared" si="122"/>
        <v>MANTEIGA 5KGLACTALIS</v>
      </c>
      <c r="B3964" t="str">
        <f t="shared" si="123"/>
        <v>5371456MANTEIGA 5KGLACTALIS</v>
      </c>
      <c r="C3964" s="5" t="s">
        <v>174</v>
      </c>
      <c r="D3964" s="5" t="s">
        <v>681</v>
      </c>
      <c r="E3964" s="5" t="s">
        <v>1204</v>
      </c>
      <c r="F3964" s="5">
        <v>5371456</v>
      </c>
      <c r="G3964" s="5" t="s">
        <v>1777</v>
      </c>
      <c r="H3964" s="5" t="s">
        <v>28</v>
      </c>
      <c r="I3964" s="5" t="s">
        <v>20</v>
      </c>
      <c r="J3964" s="5" t="s">
        <v>54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15</v>
      </c>
      <c r="R3964" s="14">
        <v>0</v>
      </c>
      <c r="S3964" s="14">
        <v>0</v>
      </c>
      <c r="T3964" s="13">
        <v>0</v>
      </c>
    </row>
    <row r="3965" spans="1:20" x14ac:dyDescent="0.3">
      <c r="A3965" t="str">
        <f t="shared" si="122"/>
        <v>MERC + AROMLACTALIS</v>
      </c>
      <c r="B3965" t="str">
        <f t="shared" si="123"/>
        <v>5320070MERC + AROMLACTALIS</v>
      </c>
      <c r="C3965" s="5" t="s">
        <v>174</v>
      </c>
      <c r="D3965" s="5" t="s">
        <v>633</v>
      </c>
      <c r="E3965" s="5" t="s">
        <v>644</v>
      </c>
      <c r="F3965" s="5">
        <v>5320070</v>
      </c>
      <c r="G3965" s="5" t="s">
        <v>801</v>
      </c>
      <c r="H3965" s="5" t="s">
        <v>123</v>
      </c>
      <c r="I3965" s="5" t="s">
        <v>20</v>
      </c>
      <c r="J3965" s="5" t="s">
        <v>178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12</v>
      </c>
      <c r="R3965" s="14">
        <v>0</v>
      </c>
      <c r="S3965" s="14">
        <v>0</v>
      </c>
      <c r="T3965" s="13">
        <v>0</v>
      </c>
    </row>
    <row r="3966" spans="1:20" x14ac:dyDescent="0.3">
      <c r="A3966" t="str">
        <f t="shared" si="122"/>
        <v>QUEIJOSLACTALIS</v>
      </c>
      <c r="B3966" t="str">
        <f t="shared" si="123"/>
        <v>5034559QUEIJOSLACTALIS</v>
      </c>
      <c r="C3966" s="5" t="s">
        <v>174</v>
      </c>
      <c r="D3966" s="5" t="s">
        <v>681</v>
      </c>
      <c r="E3966" s="5" t="s">
        <v>1198</v>
      </c>
      <c r="F3966" s="5">
        <v>5034559</v>
      </c>
      <c r="G3966" s="5" t="s">
        <v>1709</v>
      </c>
      <c r="H3966" s="5" t="s">
        <v>28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29.6</v>
      </c>
      <c r="R3966" s="14">
        <v>0</v>
      </c>
      <c r="S3966" s="14">
        <v>0</v>
      </c>
      <c r="T3966" s="13">
        <v>15.573476190476198</v>
      </c>
    </row>
    <row r="3967" spans="1:20" x14ac:dyDescent="0.3">
      <c r="A3967" t="str">
        <f t="shared" si="122"/>
        <v>QUEIJOSLACTALIS</v>
      </c>
      <c r="B3967" t="str">
        <f t="shared" si="123"/>
        <v>5320070QUEIJOSLACTALIS</v>
      </c>
      <c r="C3967" s="5" t="s">
        <v>174</v>
      </c>
      <c r="D3967" s="5" t="s">
        <v>633</v>
      </c>
      <c r="E3967" s="5" t="s">
        <v>644</v>
      </c>
      <c r="F3967" s="5">
        <v>5320070</v>
      </c>
      <c r="G3967" s="5" t="s">
        <v>801</v>
      </c>
      <c r="H3967" s="5" t="s">
        <v>123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683.96</v>
      </c>
      <c r="R3967" s="14">
        <v>0</v>
      </c>
      <c r="S3967" s="14">
        <v>0</v>
      </c>
      <c r="T3967" s="13">
        <v>4.5111956911011371</v>
      </c>
    </row>
    <row r="3968" spans="1:20" x14ac:dyDescent="0.3">
      <c r="A3968" t="str">
        <f t="shared" si="122"/>
        <v>QUEIJOSLACTALIS</v>
      </c>
      <c r="B3968" t="str">
        <f t="shared" si="123"/>
        <v>5373511QUEIJOSLACTALIS</v>
      </c>
      <c r="C3968" s="5" t="s">
        <v>174</v>
      </c>
      <c r="D3968" s="5" t="s">
        <v>681</v>
      </c>
      <c r="E3968" s="5" t="s">
        <v>1201</v>
      </c>
      <c r="F3968" s="5">
        <v>5373511</v>
      </c>
      <c r="G3968" s="5" t="s">
        <v>1769</v>
      </c>
      <c r="H3968" s="5" t="s">
        <v>28</v>
      </c>
      <c r="I3968" s="5" t="s">
        <v>20</v>
      </c>
      <c r="J3968" s="5" t="s">
        <v>56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2</v>
      </c>
      <c r="R3968" s="14">
        <v>0</v>
      </c>
      <c r="S3968" s="14">
        <v>0</v>
      </c>
      <c r="T3968" s="13">
        <v>15.573476190476198</v>
      </c>
    </row>
    <row r="3969" spans="1:20" x14ac:dyDescent="0.3">
      <c r="A3969" t="str">
        <f t="shared" si="122"/>
        <v>SPREADSITAMBÉ</v>
      </c>
      <c r="B3969" t="str">
        <f t="shared" si="123"/>
        <v>5321782SPREADSITAMBÉ</v>
      </c>
      <c r="C3969" s="5" t="s">
        <v>174</v>
      </c>
      <c r="D3969" s="5" t="s">
        <v>1439</v>
      </c>
      <c r="E3969" s="5" t="s">
        <v>1439</v>
      </c>
      <c r="F3969" s="5">
        <v>5321782</v>
      </c>
      <c r="G3969" s="5" t="s">
        <v>768</v>
      </c>
      <c r="H3969" s="5" t="s">
        <v>93</v>
      </c>
      <c r="I3969" s="5" t="s">
        <v>25</v>
      </c>
      <c r="J3969" s="5" t="s">
        <v>773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24</v>
      </c>
      <c r="R3969" s="14">
        <v>0</v>
      </c>
      <c r="S3969" s="14">
        <v>0</v>
      </c>
      <c r="T3969" s="13">
        <v>0</v>
      </c>
    </row>
    <row r="3970" spans="1:20" x14ac:dyDescent="0.3">
      <c r="A3970" t="str">
        <f t="shared" si="122"/>
        <v/>
      </c>
      <c r="B3970" t="str">
        <f t="shared" si="123"/>
        <v/>
      </c>
      <c r="C3970" s="5"/>
      <c r="D3970" s="5"/>
      <c r="E3970" s="5"/>
      <c r="F3970" s="5"/>
      <c r="G3970" s="5"/>
      <c r="H3970" s="5"/>
      <c r="I3970" s="5"/>
      <c r="J3970" s="5"/>
      <c r="K3970" s="6"/>
      <c r="L3970" s="14"/>
      <c r="M3970" s="14"/>
      <c r="N3970" s="14"/>
      <c r="O3970" s="14"/>
      <c r="P3970" s="14"/>
      <c r="Q3970" s="14"/>
      <c r="R3970" s="14"/>
      <c r="S3970" s="14"/>
      <c r="T3970" s="13"/>
    </row>
    <row r="3971" spans="1:20" x14ac:dyDescent="0.3">
      <c r="A3971" t="str">
        <f t="shared" ref="A3971:A4034" si="124">J3971&amp;I3971</f>
        <v/>
      </c>
      <c r="B3971" t="str">
        <f t="shared" ref="B3971:B4034" si="125">F3971&amp;J3971&amp;I3971</f>
        <v/>
      </c>
      <c r="C3971" s="5"/>
      <c r="D3971" s="5"/>
      <c r="E3971" s="5"/>
      <c r="F3971" s="5"/>
      <c r="G3971" s="5"/>
      <c r="H3971" s="5"/>
      <c r="I3971" s="5"/>
      <c r="J3971" s="5"/>
      <c r="K3971" s="6"/>
      <c r="L3971" s="14"/>
      <c r="M3971" s="14"/>
      <c r="N3971" s="14"/>
      <c r="O3971" s="14"/>
      <c r="P3971" s="14"/>
      <c r="Q3971" s="14"/>
      <c r="R3971" s="14"/>
      <c r="S3971" s="14"/>
      <c r="T3971" s="13"/>
    </row>
    <row r="3972" spans="1:20" x14ac:dyDescent="0.3">
      <c r="A3972" t="str">
        <f t="shared" si="124"/>
        <v/>
      </c>
      <c r="B3972" t="str">
        <f t="shared" si="125"/>
        <v/>
      </c>
      <c r="C3972" s="5"/>
      <c r="D3972" s="5"/>
      <c r="E3972" s="5"/>
      <c r="F3972" s="5"/>
      <c r="G3972" s="5"/>
      <c r="H3972" s="5"/>
      <c r="I3972" s="5"/>
      <c r="J3972" s="5"/>
      <c r="K3972" s="6"/>
      <c r="L3972" s="14"/>
      <c r="M3972" s="14"/>
      <c r="N3972" s="14"/>
      <c r="O3972" s="14"/>
      <c r="P3972" s="14"/>
      <c r="Q3972" s="14"/>
      <c r="R3972" s="14"/>
      <c r="S3972" s="14"/>
      <c r="T3972" s="13"/>
    </row>
    <row r="3973" spans="1:20" x14ac:dyDescent="0.3">
      <c r="A3973" t="str">
        <f t="shared" si="124"/>
        <v/>
      </c>
      <c r="B3973" t="str">
        <f t="shared" si="125"/>
        <v/>
      </c>
      <c r="C3973" s="5"/>
      <c r="D3973" s="5"/>
      <c r="E3973" s="5"/>
      <c r="F3973" s="5"/>
      <c r="G3973" s="5"/>
      <c r="H3973" s="5"/>
      <c r="I3973" s="5"/>
      <c r="J3973" s="5"/>
      <c r="K3973" s="6"/>
      <c r="L3973" s="14"/>
      <c r="M3973" s="14"/>
      <c r="N3973" s="14"/>
      <c r="O3973" s="14"/>
      <c r="P3973" s="14"/>
      <c r="Q3973" s="14"/>
      <c r="R3973" s="14"/>
      <c r="S3973" s="14"/>
      <c r="T3973" s="13"/>
    </row>
    <row r="3974" spans="1:20" x14ac:dyDescent="0.3">
      <c r="A3974" t="str">
        <f t="shared" si="124"/>
        <v/>
      </c>
      <c r="B3974" t="str">
        <f t="shared" si="125"/>
        <v/>
      </c>
      <c r="C3974" s="5"/>
      <c r="D3974" s="5"/>
      <c r="E3974" s="5"/>
      <c r="F3974" s="5"/>
      <c r="G3974" s="5"/>
      <c r="H3974" s="5"/>
      <c r="I3974" s="5"/>
      <c r="J3974" s="5"/>
      <c r="K3974" s="6"/>
      <c r="L3974" s="14"/>
      <c r="M3974" s="14"/>
      <c r="N3974" s="14"/>
      <c r="O3974" s="14"/>
      <c r="P3974" s="14"/>
      <c r="Q3974" s="14"/>
      <c r="R3974" s="14"/>
      <c r="S3974" s="14"/>
      <c r="T3974" s="13"/>
    </row>
    <row r="3975" spans="1:20" x14ac:dyDescent="0.3">
      <c r="A3975" t="str">
        <f t="shared" si="124"/>
        <v/>
      </c>
      <c r="B3975" t="str">
        <f t="shared" si="125"/>
        <v/>
      </c>
      <c r="C3975" s="5"/>
      <c r="D3975" s="5"/>
      <c r="E3975" s="5"/>
      <c r="F3975" s="5"/>
      <c r="G3975" s="5"/>
      <c r="H3975" s="5"/>
      <c r="I3975" s="5"/>
      <c r="J3975" s="5"/>
      <c r="K3975" s="6"/>
      <c r="L3975" s="14"/>
      <c r="M3975" s="14"/>
      <c r="N3975" s="14"/>
      <c r="O3975" s="14"/>
      <c r="P3975" s="14"/>
      <c r="Q3975" s="14"/>
      <c r="R3975" s="14"/>
      <c r="S3975" s="14"/>
      <c r="T3975" s="13"/>
    </row>
    <row r="3976" spans="1:20" x14ac:dyDescent="0.3">
      <c r="A3976" t="str">
        <f t="shared" si="124"/>
        <v/>
      </c>
      <c r="B3976" t="str">
        <f t="shared" si="125"/>
        <v/>
      </c>
      <c r="C3976" s="5"/>
      <c r="D3976" s="5"/>
      <c r="E3976" s="5"/>
      <c r="F3976" s="5"/>
      <c r="G3976" s="5"/>
      <c r="H3976" s="5"/>
      <c r="I3976" s="5"/>
      <c r="J3976" s="5"/>
      <c r="K3976" s="6"/>
      <c r="L3976" s="14"/>
      <c r="M3976" s="14"/>
      <c r="N3976" s="14"/>
      <c r="O3976" s="14"/>
      <c r="P3976" s="14"/>
      <c r="Q3976" s="14"/>
      <c r="R3976" s="14"/>
      <c r="S3976" s="14"/>
      <c r="T3976" s="13"/>
    </row>
    <row r="3977" spans="1:20" x14ac:dyDescent="0.3">
      <c r="A3977" t="str">
        <f t="shared" si="124"/>
        <v/>
      </c>
      <c r="B3977" t="str">
        <f t="shared" si="125"/>
        <v/>
      </c>
      <c r="C3977" s="5"/>
      <c r="D3977" s="5"/>
      <c r="E3977" s="5"/>
      <c r="F3977" s="5"/>
      <c r="G3977" s="5"/>
      <c r="H3977" s="5"/>
      <c r="I3977" s="5"/>
      <c r="J3977" s="5"/>
      <c r="K3977" s="6"/>
      <c r="L3977" s="14"/>
      <c r="M3977" s="14"/>
      <c r="N3977" s="14"/>
      <c r="O3977" s="14"/>
      <c r="P3977" s="14"/>
      <c r="Q3977" s="14"/>
      <c r="R3977" s="14"/>
      <c r="S3977" s="14"/>
      <c r="T3977" s="13"/>
    </row>
    <row r="3978" spans="1:20" x14ac:dyDescent="0.3">
      <c r="A3978" t="str">
        <f t="shared" si="124"/>
        <v/>
      </c>
      <c r="B3978" t="str">
        <f t="shared" si="125"/>
        <v/>
      </c>
      <c r="C3978" s="5"/>
      <c r="D3978" s="5"/>
      <c r="E3978" s="5"/>
      <c r="F3978" s="5"/>
      <c r="G3978" s="5"/>
      <c r="H3978" s="5"/>
      <c r="I3978" s="5"/>
      <c r="J3978" s="5"/>
      <c r="K3978" s="6"/>
      <c r="L3978" s="14"/>
      <c r="M3978" s="14"/>
      <c r="N3978" s="14"/>
      <c r="O3978" s="14"/>
      <c r="P3978" s="14"/>
      <c r="Q3978" s="14"/>
      <c r="R3978" s="14"/>
      <c r="S3978" s="14"/>
      <c r="T3978" s="13"/>
    </row>
    <row r="3979" spans="1:20" x14ac:dyDescent="0.3">
      <c r="A3979" t="str">
        <f t="shared" si="124"/>
        <v/>
      </c>
      <c r="B3979" t="str">
        <f t="shared" si="125"/>
        <v/>
      </c>
      <c r="C3979" s="5"/>
      <c r="D3979" s="5"/>
      <c r="E3979" s="5"/>
      <c r="F3979" s="5"/>
      <c r="G3979" s="5"/>
      <c r="H3979" s="5"/>
      <c r="I3979" s="5"/>
      <c r="J3979" s="5"/>
      <c r="K3979" s="6"/>
      <c r="L3979" s="14"/>
      <c r="M3979" s="14"/>
      <c r="N3979" s="14"/>
      <c r="O3979" s="14"/>
      <c r="P3979" s="14"/>
      <c r="Q3979" s="14"/>
      <c r="R3979" s="14"/>
      <c r="S3979" s="14"/>
      <c r="T3979" s="13"/>
    </row>
    <row r="3980" spans="1:20" x14ac:dyDescent="0.3">
      <c r="A3980" t="str">
        <f t="shared" si="124"/>
        <v/>
      </c>
      <c r="B3980" t="str">
        <f t="shared" si="125"/>
        <v/>
      </c>
      <c r="C3980" s="5"/>
      <c r="D3980" s="5"/>
      <c r="E3980" s="5"/>
      <c r="F3980" s="5"/>
      <c r="G3980" s="5"/>
      <c r="H3980" s="5"/>
      <c r="I3980" s="5"/>
      <c r="J3980" s="5"/>
      <c r="K3980" s="6"/>
      <c r="L3980" s="14"/>
      <c r="M3980" s="14"/>
      <c r="N3980" s="14"/>
      <c r="O3980" s="14"/>
      <c r="P3980" s="14"/>
      <c r="Q3980" s="14"/>
      <c r="R3980" s="14"/>
      <c r="S3980" s="14"/>
      <c r="T3980" s="13"/>
    </row>
    <row r="3981" spans="1:20" x14ac:dyDescent="0.3">
      <c r="A3981" t="str">
        <f t="shared" si="124"/>
        <v/>
      </c>
      <c r="B3981" t="str">
        <f t="shared" si="125"/>
        <v/>
      </c>
      <c r="C3981" s="5"/>
      <c r="D3981" s="5"/>
      <c r="E3981" s="5"/>
      <c r="F3981" s="5"/>
      <c r="G3981" s="5"/>
      <c r="H3981" s="5"/>
      <c r="I3981" s="5"/>
      <c r="J3981" s="5"/>
      <c r="K3981" s="6"/>
      <c r="L3981" s="14"/>
      <c r="M3981" s="14"/>
      <c r="N3981" s="14"/>
      <c r="O3981" s="14"/>
      <c r="P3981" s="14"/>
      <c r="Q3981" s="14"/>
      <c r="R3981" s="14"/>
      <c r="S3981" s="14"/>
      <c r="T3981" s="13"/>
    </row>
    <row r="3982" spans="1:20" x14ac:dyDescent="0.3">
      <c r="A3982" t="str">
        <f t="shared" si="124"/>
        <v/>
      </c>
      <c r="B3982" t="str">
        <f t="shared" si="125"/>
        <v/>
      </c>
      <c r="C3982" s="5"/>
      <c r="D3982" s="5"/>
      <c r="E3982" s="5"/>
      <c r="F3982" s="5"/>
      <c r="G3982" s="5"/>
      <c r="H3982" s="5"/>
      <c r="I3982" s="5"/>
      <c r="J3982" s="5"/>
      <c r="K3982" s="6"/>
      <c r="L3982" s="14"/>
      <c r="M3982" s="14"/>
      <c r="N3982" s="14"/>
      <c r="O3982" s="14"/>
      <c r="P3982" s="14"/>
      <c r="Q3982" s="14"/>
      <c r="R3982" s="14"/>
      <c r="S3982" s="14"/>
      <c r="T3982" s="13"/>
    </row>
    <row r="3983" spans="1:20" x14ac:dyDescent="0.3">
      <c r="A3983" t="str">
        <f t="shared" si="124"/>
        <v/>
      </c>
      <c r="B3983" t="str">
        <f t="shared" si="125"/>
        <v/>
      </c>
      <c r="C3983" s="5"/>
      <c r="D3983" s="5"/>
      <c r="E3983" s="5"/>
      <c r="F3983" s="5"/>
      <c r="G3983" s="5"/>
      <c r="H3983" s="5"/>
      <c r="I3983" s="5"/>
      <c r="J3983" s="5"/>
      <c r="K3983" s="6"/>
      <c r="L3983" s="14"/>
      <c r="M3983" s="14"/>
      <c r="N3983" s="14"/>
      <c r="O3983" s="14"/>
      <c r="P3983" s="14"/>
      <c r="Q3983" s="14"/>
      <c r="R3983" s="14"/>
      <c r="S3983" s="14"/>
      <c r="T3983" s="13"/>
    </row>
    <row r="3984" spans="1:20" x14ac:dyDescent="0.3">
      <c r="A3984" t="str">
        <f t="shared" si="124"/>
        <v/>
      </c>
      <c r="B3984" t="str">
        <f t="shared" si="125"/>
        <v/>
      </c>
      <c r="C3984" s="5"/>
      <c r="D3984" s="5"/>
      <c r="E3984" s="5"/>
      <c r="F3984" s="5"/>
      <c r="G3984" s="5"/>
      <c r="H3984" s="5"/>
      <c r="I3984" s="5"/>
      <c r="J3984" s="5"/>
      <c r="K3984" s="6"/>
      <c r="L3984" s="14"/>
      <c r="M3984" s="14"/>
      <c r="N3984" s="14"/>
      <c r="O3984" s="14"/>
      <c r="P3984" s="14"/>
      <c r="Q3984" s="14"/>
      <c r="R3984" s="14"/>
      <c r="S3984" s="14"/>
      <c r="T3984" s="13"/>
    </row>
    <row r="3985" spans="1:20" x14ac:dyDescent="0.3">
      <c r="A3985" t="str">
        <f t="shared" si="124"/>
        <v/>
      </c>
      <c r="B3985" t="str">
        <f t="shared" si="125"/>
        <v/>
      </c>
      <c r="C3985" s="5"/>
      <c r="D3985" s="5"/>
      <c r="E3985" s="5"/>
      <c r="F3985" s="5"/>
      <c r="G3985" s="5"/>
      <c r="H3985" s="5"/>
      <c r="I3985" s="5"/>
      <c r="J3985" s="5"/>
      <c r="K3985" s="6"/>
      <c r="L3985" s="14"/>
      <c r="M3985" s="14"/>
      <c r="N3985" s="14"/>
      <c r="O3985" s="14"/>
      <c r="P3985" s="14"/>
      <c r="Q3985" s="14"/>
      <c r="R3985" s="14"/>
      <c r="S3985" s="14"/>
      <c r="T3985" s="13"/>
    </row>
    <row r="3986" spans="1:20" x14ac:dyDescent="0.3">
      <c r="A3986" t="str">
        <f t="shared" si="124"/>
        <v/>
      </c>
      <c r="B3986" t="str">
        <f t="shared" si="125"/>
        <v/>
      </c>
      <c r="C3986" s="5"/>
      <c r="D3986" s="5"/>
      <c r="E3986" s="5"/>
      <c r="F3986" s="5"/>
      <c r="G3986" s="5"/>
      <c r="H3986" s="5"/>
      <c r="I3986" s="5"/>
      <c r="J3986" s="5"/>
      <c r="K3986" s="6"/>
      <c r="L3986" s="14"/>
      <c r="M3986" s="14"/>
      <c r="N3986" s="14"/>
      <c r="O3986" s="14"/>
      <c r="P3986" s="14"/>
      <c r="Q3986" s="14"/>
      <c r="R3986" s="14"/>
      <c r="S3986" s="14"/>
      <c r="T3986" s="13"/>
    </row>
    <row r="3987" spans="1:20" x14ac:dyDescent="0.3">
      <c r="A3987" t="str">
        <f t="shared" si="124"/>
        <v/>
      </c>
      <c r="B3987" t="str">
        <f t="shared" si="125"/>
        <v/>
      </c>
      <c r="C3987" s="5"/>
      <c r="D3987" s="5"/>
      <c r="E3987" s="5"/>
      <c r="F3987" s="5"/>
      <c r="G3987" s="5"/>
      <c r="H3987" s="5"/>
      <c r="I3987" s="5"/>
      <c r="J3987" s="5"/>
      <c r="K3987" s="6"/>
      <c r="L3987" s="14"/>
      <c r="M3987" s="14"/>
      <c r="N3987" s="14"/>
      <c r="O3987" s="14"/>
      <c r="P3987" s="14"/>
      <c r="Q3987" s="14"/>
      <c r="R3987" s="14"/>
      <c r="S3987" s="14"/>
      <c r="T3987" s="13"/>
    </row>
    <row r="3988" spans="1:20" x14ac:dyDescent="0.3">
      <c r="A3988" t="str">
        <f t="shared" si="124"/>
        <v/>
      </c>
      <c r="B3988" t="str">
        <f t="shared" si="125"/>
        <v/>
      </c>
      <c r="C3988" s="5"/>
      <c r="D3988" s="5"/>
      <c r="E3988" s="5"/>
      <c r="F3988" s="5"/>
      <c r="G3988" s="5"/>
      <c r="H3988" s="5"/>
      <c r="I3988" s="5"/>
      <c r="J3988" s="5"/>
      <c r="K3988" s="6"/>
      <c r="L3988" s="14"/>
      <c r="M3988" s="14"/>
      <c r="N3988" s="14"/>
      <c r="O3988" s="14"/>
      <c r="P3988" s="14"/>
      <c r="Q3988" s="14"/>
      <c r="R3988" s="14"/>
      <c r="S3988" s="14"/>
      <c r="T3988" s="13"/>
    </row>
    <row r="3989" spans="1:20" x14ac:dyDescent="0.3">
      <c r="A3989" t="str">
        <f t="shared" si="124"/>
        <v/>
      </c>
      <c r="B3989" t="str">
        <f t="shared" si="125"/>
        <v/>
      </c>
      <c r="C3989" s="5"/>
      <c r="D3989" s="5"/>
      <c r="E3989" s="5"/>
      <c r="F3989" s="5"/>
      <c r="G3989" s="5"/>
      <c r="H3989" s="5"/>
      <c r="I3989" s="5"/>
      <c r="J3989" s="5"/>
      <c r="K3989" s="6"/>
      <c r="L3989" s="14"/>
      <c r="M3989" s="14"/>
      <c r="N3989" s="14"/>
      <c r="O3989" s="14"/>
      <c r="P3989" s="14"/>
      <c r="Q3989" s="14"/>
      <c r="R3989" s="14"/>
      <c r="S3989" s="14"/>
      <c r="T3989" s="13"/>
    </row>
    <row r="3990" spans="1:20" x14ac:dyDescent="0.3">
      <c r="A3990" t="str">
        <f t="shared" si="124"/>
        <v/>
      </c>
      <c r="B3990" t="str">
        <f t="shared" si="125"/>
        <v/>
      </c>
      <c r="C3990" s="5"/>
      <c r="D3990" s="5"/>
      <c r="E3990" s="5"/>
      <c r="F3990" s="5"/>
      <c r="G3990" s="5"/>
      <c r="H3990" s="5"/>
      <c r="I3990" s="5"/>
      <c r="J3990" s="5"/>
      <c r="K3990" s="6"/>
      <c r="L3990" s="14"/>
      <c r="M3990" s="14"/>
      <c r="N3990" s="14"/>
      <c r="O3990" s="14"/>
      <c r="P3990" s="14"/>
      <c r="Q3990" s="14"/>
      <c r="R3990" s="14"/>
      <c r="S3990" s="14"/>
      <c r="T3990" s="13"/>
    </row>
    <row r="3991" spans="1:20" x14ac:dyDescent="0.3">
      <c r="A3991" t="str">
        <f t="shared" si="124"/>
        <v/>
      </c>
      <c r="B3991" t="str">
        <f t="shared" si="125"/>
        <v/>
      </c>
      <c r="C3991" s="5"/>
      <c r="D3991" s="5"/>
      <c r="E3991" s="5"/>
      <c r="F3991" s="5"/>
      <c r="G3991" s="5"/>
      <c r="H3991" s="5"/>
      <c r="I3991" s="5"/>
      <c r="J3991" s="5"/>
      <c r="K3991" s="6"/>
      <c r="L3991" s="14"/>
      <c r="M3991" s="14"/>
      <c r="N3991" s="14"/>
      <c r="O3991" s="14"/>
      <c r="P3991" s="14"/>
      <c r="Q3991" s="14"/>
      <c r="R3991" s="14"/>
      <c r="S3991" s="14"/>
      <c r="T3991" s="13"/>
    </row>
    <row r="3992" spans="1:20" x14ac:dyDescent="0.3">
      <c r="A3992" t="str">
        <f t="shared" si="124"/>
        <v/>
      </c>
      <c r="B3992" t="str">
        <f t="shared" si="125"/>
        <v/>
      </c>
      <c r="C3992" s="5"/>
      <c r="D3992" s="5"/>
      <c r="E3992" s="5"/>
      <c r="F3992" s="5"/>
      <c r="G3992" s="5"/>
      <c r="H3992" s="5"/>
      <c r="I3992" s="5"/>
      <c r="J3992" s="5"/>
      <c r="K3992" s="6"/>
      <c r="L3992" s="14"/>
      <c r="M3992" s="14"/>
      <c r="N3992" s="14"/>
      <c r="O3992" s="14"/>
      <c r="P3992" s="14"/>
      <c r="Q3992" s="14"/>
      <c r="R3992" s="14"/>
      <c r="S3992" s="14"/>
      <c r="T3992" s="13"/>
    </row>
    <row r="3993" spans="1:20" x14ac:dyDescent="0.3">
      <c r="A3993" t="str">
        <f t="shared" si="124"/>
        <v/>
      </c>
      <c r="B3993" t="str">
        <f t="shared" si="125"/>
        <v/>
      </c>
      <c r="C3993" s="5"/>
      <c r="D3993" s="5"/>
      <c r="E3993" s="5"/>
      <c r="F3993" s="5"/>
      <c r="G3993" s="5"/>
      <c r="H3993" s="5"/>
      <c r="I3993" s="5"/>
      <c r="J3993" s="5"/>
      <c r="K3993" s="6"/>
      <c r="L3993" s="14"/>
      <c r="M3993" s="14"/>
      <c r="N3993" s="14"/>
      <c r="O3993" s="14"/>
      <c r="P3993" s="14"/>
      <c r="Q3993" s="14"/>
      <c r="R3993" s="14"/>
      <c r="S3993" s="14"/>
      <c r="T3993" s="13"/>
    </row>
    <row r="3994" spans="1:20" x14ac:dyDescent="0.3">
      <c r="A3994" t="str">
        <f t="shared" si="124"/>
        <v/>
      </c>
      <c r="B3994" t="str">
        <f t="shared" si="125"/>
        <v/>
      </c>
      <c r="C3994" s="5"/>
      <c r="D3994" s="5"/>
      <c r="E3994" s="5"/>
      <c r="F3994" s="5"/>
      <c r="G3994" s="5"/>
      <c r="H3994" s="5"/>
      <c r="I3994" s="5"/>
      <c r="J3994" s="5"/>
      <c r="K3994" s="6"/>
      <c r="L3994" s="14"/>
      <c r="M3994" s="14"/>
      <c r="N3994" s="14"/>
      <c r="O3994" s="14"/>
      <c r="P3994" s="14"/>
      <c r="Q3994" s="14"/>
      <c r="R3994" s="14"/>
      <c r="S3994" s="14"/>
      <c r="T3994" s="13"/>
    </row>
    <row r="3995" spans="1:20" x14ac:dyDescent="0.3">
      <c r="A3995" t="str">
        <f t="shared" si="124"/>
        <v/>
      </c>
      <c r="B3995" t="str">
        <f t="shared" si="125"/>
        <v/>
      </c>
      <c r="C3995" s="5"/>
      <c r="D3995" s="5"/>
      <c r="E3995" s="5"/>
      <c r="F3995" s="5"/>
      <c r="G3995" s="5"/>
      <c r="H3995" s="5"/>
      <c r="I3995" s="5"/>
      <c r="J3995" s="5"/>
      <c r="K3995" s="6"/>
      <c r="L3995" s="14"/>
      <c r="M3995" s="14"/>
      <c r="N3995" s="14"/>
      <c r="O3995" s="14"/>
      <c r="P3995" s="14"/>
      <c r="Q3995" s="14"/>
      <c r="R3995" s="14"/>
      <c r="S3995" s="14"/>
      <c r="T3995" s="13"/>
    </row>
    <row r="3996" spans="1:20" x14ac:dyDescent="0.3">
      <c r="A3996" t="str">
        <f t="shared" si="124"/>
        <v/>
      </c>
      <c r="B3996" t="str">
        <f t="shared" si="125"/>
        <v/>
      </c>
      <c r="C3996" s="5"/>
      <c r="D3996" s="5"/>
      <c r="E3996" s="5"/>
      <c r="F3996" s="5"/>
      <c r="G3996" s="5"/>
      <c r="H3996" s="5"/>
      <c r="I3996" s="5"/>
      <c r="J3996" s="5"/>
      <c r="K3996" s="6"/>
      <c r="L3996" s="14"/>
      <c r="M3996" s="14"/>
      <c r="N3996" s="14"/>
      <c r="O3996" s="14"/>
      <c r="P3996" s="14"/>
      <c r="Q3996" s="14"/>
      <c r="R3996" s="14"/>
      <c r="S3996" s="14"/>
      <c r="T3996" s="13"/>
    </row>
    <row r="3997" spans="1:20" x14ac:dyDescent="0.3">
      <c r="A3997" t="str">
        <f t="shared" si="124"/>
        <v/>
      </c>
      <c r="B3997" t="str">
        <f t="shared" si="125"/>
        <v/>
      </c>
      <c r="C3997" s="5"/>
      <c r="D3997" s="5"/>
      <c r="E3997" s="5"/>
      <c r="F3997" s="5"/>
      <c r="G3997" s="5"/>
      <c r="H3997" s="5"/>
      <c r="I3997" s="5"/>
      <c r="J3997" s="5"/>
      <c r="K3997" s="6"/>
      <c r="L3997" s="14"/>
      <c r="M3997" s="14"/>
      <c r="N3997" s="14"/>
      <c r="O3997" s="14"/>
      <c r="P3997" s="14"/>
      <c r="Q3997" s="14"/>
      <c r="R3997" s="14"/>
      <c r="S3997" s="14"/>
      <c r="T3997" s="13"/>
    </row>
    <row r="3998" spans="1:20" x14ac:dyDescent="0.3">
      <c r="A3998" t="str">
        <f t="shared" si="124"/>
        <v/>
      </c>
      <c r="B3998" t="str">
        <f t="shared" si="125"/>
        <v/>
      </c>
      <c r="C3998" s="5"/>
      <c r="D3998" s="5"/>
      <c r="E3998" s="5"/>
      <c r="F3998" s="5"/>
      <c r="G3998" s="5"/>
      <c r="H3998" s="5"/>
      <c r="I3998" s="5"/>
      <c r="J3998" s="5"/>
      <c r="K3998" s="6"/>
      <c r="L3998" s="14"/>
      <c r="M3998" s="14"/>
      <c r="N3998" s="14"/>
      <c r="O3998" s="14"/>
      <c r="P3998" s="14"/>
      <c r="Q3998" s="14"/>
      <c r="R3998" s="14"/>
      <c r="S3998" s="14"/>
      <c r="T3998" s="13"/>
    </row>
    <row r="3999" spans="1:20" x14ac:dyDescent="0.3">
      <c r="A3999" t="str">
        <f t="shared" si="124"/>
        <v/>
      </c>
      <c r="B3999" t="str">
        <f t="shared" si="125"/>
        <v/>
      </c>
      <c r="C3999" s="5"/>
      <c r="D3999" s="5"/>
      <c r="E3999" s="5"/>
      <c r="F3999" s="5"/>
      <c r="G3999" s="5"/>
      <c r="H3999" s="5"/>
      <c r="I3999" s="5"/>
      <c r="J3999" s="5"/>
      <c r="K3999" s="6"/>
      <c r="L3999" s="14"/>
      <c r="M3999" s="14"/>
      <c r="N3999" s="14"/>
      <c r="O3999" s="14"/>
      <c r="P3999" s="14"/>
      <c r="Q3999" s="14"/>
      <c r="R3999" s="14"/>
      <c r="S3999" s="14"/>
      <c r="T3999" s="13"/>
    </row>
    <row r="4000" spans="1:20" x14ac:dyDescent="0.3">
      <c r="A4000" t="str">
        <f t="shared" si="124"/>
        <v/>
      </c>
      <c r="B4000" t="str">
        <f t="shared" si="125"/>
        <v/>
      </c>
      <c r="C4000" s="5"/>
      <c r="D4000" s="5"/>
      <c r="E4000" s="5"/>
      <c r="F4000" s="5"/>
      <c r="G4000" s="5"/>
      <c r="H4000" s="5"/>
      <c r="I4000" s="5"/>
      <c r="J4000" s="5"/>
      <c r="K4000" s="6"/>
      <c r="L4000" s="14"/>
      <c r="M4000" s="14"/>
      <c r="N4000" s="14"/>
      <c r="O4000" s="14"/>
      <c r="P4000" s="14"/>
      <c r="Q4000" s="14"/>
      <c r="R4000" s="14"/>
      <c r="S4000" s="14"/>
      <c r="T4000" s="13"/>
    </row>
    <row r="4001" spans="1:20" x14ac:dyDescent="0.3">
      <c r="A4001" t="str">
        <f t="shared" si="124"/>
        <v/>
      </c>
      <c r="B4001" t="str">
        <f t="shared" si="125"/>
        <v/>
      </c>
      <c r="C4001" s="5"/>
      <c r="D4001" s="5"/>
      <c r="E4001" s="5"/>
      <c r="F4001" s="5"/>
      <c r="G4001" s="5"/>
      <c r="H4001" s="5"/>
      <c r="I4001" s="5"/>
      <c r="J4001" s="5"/>
      <c r="K4001" s="6"/>
      <c r="L4001" s="14"/>
      <c r="M4001" s="14"/>
      <c r="N4001" s="14"/>
      <c r="O4001" s="14"/>
      <c r="P4001" s="14"/>
      <c r="Q4001" s="14"/>
      <c r="R4001" s="14"/>
      <c r="S4001" s="14"/>
      <c r="T4001" s="13"/>
    </row>
    <row r="4002" spans="1:20" x14ac:dyDescent="0.3">
      <c r="A4002" t="str">
        <f t="shared" si="124"/>
        <v/>
      </c>
      <c r="B4002" t="str">
        <f t="shared" si="125"/>
        <v/>
      </c>
      <c r="C4002" s="5"/>
      <c r="D4002" s="5"/>
      <c r="E4002" s="5"/>
      <c r="F4002" s="5"/>
      <c r="G4002" s="5"/>
      <c r="H4002" s="5"/>
      <c r="I4002" s="5"/>
      <c r="J4002" s="5"/>
      <c r="K4002" s="6"/>
      <c r="L4002" s="14"/>
      <c r="M4002" s="14"/>
      <c r="N4002" s="14"/>
      <c r="O4002" s="14"/>
      <c r="P4002" s="14"/>
      <c r="Q4002" s="14"/>
      <c r="R4002" s="14"/>
      <c r="S4002" s="14"/>
      <c r="T4002" s="13"/>
    </row>
    <row r="4003" spans="1:20" x14ac:dyDescent="0.3">
      <c r="A4003" t="str">
        <f t="shared" si="124"/>
        <v/>
      </c>
      <c r="B4003" t="str">
        <f t="shared" si="125"/>
        <v/>
      </c>
      <c r="C4003" s="5"/>
      <c r="D4003" s="5"/>
      <c r="E4003" s="5"/>
      <c r="F4003" s="5"/>
      <c r="G4003" s="5"/>
      <c r="H4003" s="5"/>
      <c r="I4003" s="5"/>
      <c r="J4003" s="5"/>
      <c r="K4003" s="6"/>
      <c r="L4003" s="14"/>
      <c r="M4003" s="14"/>
      <c r="N4003" s="14"/>
      <c r="O4003" s="14"/>
      <c r="P4003" s="14"/>
      <c r="Q4003" s="14"/>
      <c r="R4003" s="14"/>
      <c r="S4003" s="14"/>
      <c r="T4003" s="13"/>
    </row>
    <row r="4004" spans="1:20" x14ac:dyDescent="0.3">
      <c r="A4004" t="str">
        <f t="shared" si="124"/>
        <v/>
      </c>
      <c r="B4004" t="str">
        <f t="shared" si="125"/>
        <v/>
      </c>
      <c r="C4004" s="5"/>
      <c r="D4004" s="5"/>
      <c r="E4004" s="5"/>
      <c r="F4004" s="5"/>
      <c r="G4004" s="5"/>
      <c r="H4004" s="5"/>
      <c r="I4004" s="5"/>
      <c r="J4004" s="5"/>
      <c r="K4004" s="6"/>
      <c r="L4004" s="14"/>
      <c r="M4004" s="14"/>
      <c r="N4004" s="14"/>
      <c r="O4004" s="14"/>
      <c r="P4004" s="14"/>
      <c r="Q4004" s="14"/>
      <c r="R4004" s="14"/>
      <c r="S4004" s="14"/>
      <c r="T4004" s="13"/>
    </row>
    <row r="4005" spans="1:20" x14ac:dyDescent="0.3">
      <c r="A4005" t="str">
        <f t="shared" si="124"/>
        <v/>
      </c>
      <c r="B4005" t="str">
        <f t="shared" si="125"/>
        <v/>
      </c>
      <c r="C4005" s="5"/>
      <c r="D4005" s="5"/>
      <c r="E4005" s="5"/>
      <c r="F4005" s="5"/>
      <c r="G4005" s="5"/>
      <c r="H4005" s="5"/>
      <c r="I4005" s="5"/>
      <c r="J4005" s="5"/>
      <c r="K4005" s="6"/>
      <c r="L4005" s="14"/>
      <c r="M4005" s="14"/>
      <c r="N4005" s="14"/>
      <c r="O4005" s="14"/>
      <c r="P4005" s="14"/>
      <c r="Q4005" s="14"/>
      <c r="R4005" s="14"/>
      <c r="S4005" s="14"/>
      <c r="T4005" s="13"/>
    </row>
    <row r="4006" spans="1:20" x14ac:dyDescent="0.3">
      <c r="A4006" t="str">
        <f t="shared" si="124"/>
        <v/>
      </c>
      <c r="B4006" t="str">
        <f t="shared" si="125"/>
        <v/>
      </c>
      <c r="C4006" s="5"/>
      <c r="D4006" s="5"/>
      <c r="E4006" s="5"/>
      <c r="F4006" s="5"/>
      <c r="G4006" s="5"/>
      <c r="H4006" s="5"/>
      <c r="I4006" s="5"/>
      <c r="J4006" s="5"/>
      <c r="K4006" s="6"/>
      <c r="L4006" s="14"/>
      <c r="M4006" s="14"/>
      <c r="N4006" s="14"/>
      <c r="O4006" s="14"/>
      <c r="P4006" s="14"/>
      <c r="Q4006" s="14"/>
      <c r="R4006" s="14"/>
      <c r="S4006" s="14"/>
      <c r="T4006" s="13"/>
    </row>
    <row r="4007" spans="1:20" x14ac:dyDescent="0.3">
      <c r="A4007" t="str">
        <f t="shared" si="124"/>
        <v/>
      </c>
      <c r="B4007" t="str">
        <f t="shared" si="125"/>
        <v/>
      </c>
      <c r="C4007" s="5"/>
      <c r="D4007" s="5"/>
      <c r="E4007" s="5"/>
      <c r="F4007" s="5"/>
      <c r="G4007" s="5"/>
      <c r="H4007" s="5"/>
      <c r="I4007" s="5"/>
      <c r="J4007" s="5"/>
      <c r="K4007" s="6"/>
      <c r="L4007" s="14"/>
      <c r="M4007" s="14"/>
      <c r="N4007" s="14"/>
      <c r="O4007" s="14"/>
      <c r="P4007" s="14"/>
      <c r="Q4007" s="14"/>
      <c r="R4007" s="14"/>
      <c r="S4007" s="14"/>
      <c r="T4007" s="13"/>
    </row>
    <row r="4008" spans="1:20" x14ac:dyDescent="0.3">
      <c r="A4008" t="str">
        <f t="shared" si="124"/>
        <v/>
      </c>
      <c r="B4008" t="str">
        <f t="shared" si="125"/>
        <v/>
      </c>
      <c r="C4008" s="5"/>
      <c r="D4008" s="5"/>
      <c r="E4008" s="5"/>
      <c r="F4008" s="5"/>
      <c r="G4008" s="5"/>
      <c r="H4008" s="5"/>
      <c r="I4008" s="5"/>
      <c r="J4008" s="5"/>
      <c r="K4008" s="6"/>
      <c r="L4008" s="14"/>
      <c r="M4008" s="14"/>
      <c r="N4008" s="14"/>
      <c r="O4008" s="14"/>
      <c r="P4008" s="14"/>
      <c r="Q4008" s="14"/>
      <c r="R4008" s="14"/>
      <c r="S4008" s="14"/>
      <c r="T4008" s="13"/>
    </row>
    <row r="4009" spans="1:20" x14ac:dyDescent="0.3">
      <c r="A4009" t="str">
        <f t="shared" si="124"/>
        <v/>
      </c>
      <c r="B4009" t="str">
        <f t="shared" si="125"/>
        <v/>
      </c>
      <c r="C4009" s="5"/>
      <c r="D4009" s="5"/>
      <c r="E4009" s="5"/>
      <c r="F4009" s="5"/>
      <c r="G4009" s="5"/>
      <c r="H4009" s="5"/>
      <c r="I4009" s="5"/>
      <c r="J4009" s="5"/>
      <c r="K4009" s="6"/>
      <c r="L4009" s="14"/>
      <c r="M4009" s="14"/>
      <c r="N4009" s="14"/>
      <c r="O4009" s="14"/>
      <c r="P4009" s="14"/>
      <c r="Q4009" s="14"/>
      <c r="R4009" s="14"/>
      <c r="S4009" s="14"/>
      <c r="T4009" s="13"/>
    </row>
    <row r="4010" spans="1:20" x14ac:dyDescent="0.3">
      <c r="A4010" t="str">
        <f t="shared" si="124"/>
        <v/>
      </c>
      <c r="B4010" t="str">
        <f t="shared" si="125"/>
        <v/>
      </c>
      <c r="C4010" s="5"/>
      <c r="D4010" s="5"/>
      <c r="E4010" s="5"/>
      <c r="F4010" s="5"/>
      <c r="G4010" s="5"/>
      <c r="H4010" s="5"/>
      <c r="I4010" s="5"/>
      <c r="J4010" s="5"/>
      <c r="K4010" s="6"/>
      <c r="L4010" s="14"/>
      <c r="M4010" s="14"/>
      <c r="N4010" s="14"/>
      <c r="O4010" s="14"/>
      <c r="P4010" s="14"/>
      <c r="Q4010" s="14"/>
      <c r="R4010" s="14"/>
      <c r="S4010" s="14"/>
      <c r="T4010" s="13"/>
    </row>
    <row r="4011" spans="1:20" x14ac:dyDescent="0.3">
      <c r="A4011" t="str">
        <f t="shared" si="124"/>
        <v/>
      </c>
      <c r="B4011" t="str">
        <f t="shared" si="125"/>
        <v/>
      </c>
      <c r="C4011" s="5"/>
      <c r="D4011" s="5"/>
      <c r="E4011" s="5"/>
      <c r="F4011" s="5"/>
      <c r="G4011" s="5"/>
      <c r="H4011" s="5"/>
      <c r="I4011" s="5"/>
      <c r="J4011" s="5"/>
      <c r="K4011" s="6"/>
      <c r="L4011" s="14"/>
      <c r="M4011" s="14"/>
      <c r="N4011" s="14"/>
      <c r="O4011" s="14"/>
      <c r="P4011" s="14"/>
      <c r="Q4011" s="14"/>
      <c r="R4011" s="14"/>
      <c r="S4011" s="14"/>
      <c r="T4011" s="13"/>
    </row>
    <row r="4012" spans="1:20" x14ac:dyDescent="0.3">
      <c r="A4012" t="str">
        <f t="shared" si="124"/>
        <v/>
      </c>
      <c r="B4012" t="str">
        <f t="shared" si="125"/>
        <v/>
      </c>
      <c r="C4012" s="5"/>
      <c r="D4012" s="5"/>
      <c r="E4012" s="5"/>
      <c r="F4012" s="5"/>
      <c r="G4012" s="5"/>
      <c r="H4012" s="5"/>
      <c r="I4012" s="5"/>
      <c r="J4012" s="5"/>
      <c r="K4012" s="6"/>
      <c r="L4012" s="14"/>
      <c r="M4012" s="14"/>
      <c r="N4012" s="14"/>
      <c r="O4012" s="14"/>
      <c r="P4012" s="14"/>
      <c r="Q4012" s="14"/>
      <c r="R4012" s="14"/>
      <c r="S4012" s="14"/>
      <c r="T4012" s="13"/>
    </row>
    <row r="4013" spans="1:20" x14ac:dyDescent="0.3">
      <c r="A4013" t="str">
        <f t="shared" si="124"/>
        <v/>
      </c>
      <c r="B4013" t="str">
        <f t="shared" si="125"/>
        <v/>
      </c>
      <c r="C4013" s="5"/>
      <c r="D4013" s="5"/>
      <c r="E4013" s="5"/>
      <c r="F4013" s="5"/>
      <c r="G4013" s="5"/>
      <c r="H4013" s="5"/>
      <c r="I4013" s="5"/>
      <c r="J4013" s="5"/>
      <c r="K4013" s="6"/>
      <c r="L4013" s="14"/>
      <c r="M4013" s="14"/>
      <c r="N4013" s="14"/>
      <c r="O4013" s="14"/>
      <c r="P4013" s="14"/>
      <c r="Q4013" s="14"/>
      <c r="R4013" s="14"/>
      <c r="S4013" s="14"/>
      <c r="T4013" s="13"/>
    </row>
    <row r="4014" spans="1:20" x14ac:dyDescent="0.3">
      <c r="A4014" t="str">
        <f t="shared" si="124"/>
        <v/>
      </c>
      <c r="B4014" t="str">
        <f t="shared" si="125"/>
        <v/>
      </c>
      <c r="C4014" s="5"/>
      <c r="D4014" s="5"/>
      <c r="E4014" s="5"/>
      <c r="F4014" s="5"/>
      <c r="G4014" s="5"/>
      <c r="H4014" s="5"/>
      <c r="I4014" s="5"/>
      <c r="J4014" s="5"/>
      <c r="K4014" s="6"/>
      <c r="L4014" s="14"/>
      <c r="M4014" s="14"/>
      <c r="N4014" s="14"/>
      <c r="O4014" s="14"/>
      <c r="P4014" s="14"/>
      <c r="Q4014" s="14"/>
      <c r="R4014" s="14"/>
      <c r="S4014" s="14"/>
      <c r="T4014" s="13"/>
    </row>
    <row r="4015" spans="1:20" x14ac:dyDescent="0.3">
      <c r="A4015" t="str">
        <f t="shared" si="124"/>
        <v/>
      </c>
      <c r="B4015" t="str">
        <f t="shared" si="125"/>
        <v/>
      </c>
      <c r="C4015" s="5"/>
      <c r="D4015" s="5"/>
      <c r="E4015" s="5"/>
      <c r="F4015" s="5"/>
      <c r="G4015" s="5"/>
      <c r="H4015" s="5"/>
      <c r="I4015" s="5"/>
      <c r="J4015" s="5"/>
      <c r="K4015" s="6"/>
      <c r="L4015" s="14"/>
      <c r="M4015" s="14"/>
      <c r="N4015" s="14"/>
      <c r="O4015" s="14"/>
      <c r="P4015" s="14"/>
      <c r="Q4015" s="14"/>
      <c r="R4015" s="14"/>
      <c r="S4015" s="14"/>
      <c r="T4015" s="13"/>
    </row>
    <row r="4016" spans="1:20" x14ac:dyDescent="0.3">
      <c r="A4016" t="str">
        <f t="shared" si="124"/>
        <v/>
      </c>
      <c r="B4016" t="str">
        <f t="shared" si="125"/>
        <v/>
      </c>
      <c r="C4016" s="5"/>
      <c r="D4016" s="5"/>
      <c r="E4016" s="5"/>
      <c r="F4016" s="5"/>
      <c r="G4016" s="5"/>
      <c r="H4016" s="5"/>
      <c r="I4016" s="5"/>
      <c r="J4016" s="5"/>
      <c r="K4016" s="6"/>
      <c r="L4016" s="14"/>
      <c r="M4016" s="14"/>
      <c r="N4016" s="14"/>
      <c r="O4016" s="14"/>
      <c r="P4016" s="14"/>
      <c r="Q4016" s="14"/>
      <c r="R4016" s="14"/>
      <c r="S4016" s="14"/>
      <c r="T4016" s="13"/>
    </row>
    <row r="4017" spans="1:20" x14ac:dyDescent="0.3">
      <c r="A4017" t="str">
        <f t="shared" si="124"/>
        <v/>
      </c>
      <c r="B4017" t="str">
        <f t="shared" si="125"/>
        <v/>
      </c>
      <c r="C4017" s="5"/>
      <c r="D4017" s="5"/>
      <c r="E4017" s="5"/>
      <c r="F4017" s="5"/>
      <c r="G4017" s="5"/>
      <c r="H4017" s="5"/>
      <c r="I4017" s="5"/>
      <c r="J4017" s="5"/>
      <c r="K4017" s="6"/>
      <c r="L4017" s="14"/>
      <c r="M4017" s="14"/>
      <c r="N4017" s="14"/>
      <c r="O4017" s="14"/>
      <c r="P4017" s="14"/>
      <c r="Q4017" s="14"/>
      <c r="R4017" s="14"/>
      <c r="S4017" s="14"/>
      <c r="T4017" s="13"/>
    </row>
    <row r="4018" spans="1:20" x14ac:dyDescent="0.3">
      <c r="A4018" t="str">
        <f t="shared" si="124"/>
        <v/>
      </c>
      <c r="B4018" t="str">
        <f t="shared" si="125"/>
        <v/>
      </c>
      <c r="C4018" s="5"/>
      <c r="D4018" s="5"/>
      <c r="E4018" s="5"/>
      <c r="F4018" s="5"/>
      <c r="G4018" s="5"/>
      <c r="H4018" s="5"/>
      <c r="I4018" s="5"/>
      <c r="J4018" s="5"/>
      <c r="K4018" s="6"/>
      <c r="L4018" s="14"/>
      <c r="M4018" s="14"/>
      <c r="N4018" s="14"/>
      <c r="O4018" s="14"/>
      <c r="P4018" s="14"/>
      <c r="Q4018" s="14"/>
      <c r="R4018" s="14"/>
      <c r="S4018" s="14"/>
      <c r="T4018" s="13"/>
    </row>
    <row r="4019" spans="1:20" x14ac:dyDescent="0.3">
      <c r="A4019" t="str">
        <f t="shared" si="124"/>
        <v/>
      </c>
      <c r="B4019" t="str">
        <f t="shared" si="125"/>
        <v/>
      </c>
      <c r="C4019" s="5"/>
      <c r="D4019" s="5"/>
      <c r="E4019" s="5"/>
      <c r="F4019" s="5"/>
      <c r="G4019" s="5"/>
      <c r="H4019" s="5"/>
      <c r="I4019" s="5"/>
      <c r="J4019" s="5"/>
      <c r="K4019" s="6"/>
      <c r="L4019" s="14"/>
      <c r="M4019" s="14"/>
      <c r="N4019" s="14"/>
      <c r="O4019" s="14"/>
      <c r="P4019" s="14"/>
      <c r="Q4019" s="14"/>
      <c r="R4019" s="14"/>
      <c r="S4019" s="14"/>
      <c r="T4019" s="13"/>
    </row>
    <row r="4020" spans="1:20" x14ac:dyDescent="0.3">
      <c r="A4020" t="str">
        <f t="shared" si="124"/>
        <v/>
      </c>
      <c r="B4020" t="str">
        <f t="shared" si="125"/>
        <v/>
      </c>
      <c r="C4020" s="5"/>
      <c r="D4020" s="5"/>
      <c r="E4020" s="5"/>
      <c r="F4020" s="5"/>
      <c r="G4020" s="5"/>
      <c r="H4020" s="5"/>
      <c r="I4020" s="5"/>
      <c r="J4020" s="5"/>
      <c r="K4020" s="6"/>
      <c r="L4020" s="14"/>
      <c r="M4020" s="14"/>
      <c r="N4020" s="14"/>
      <c r="O4020" s="14"/>
      <c r="P4020" s="14"/>
      <c r="Q4020" s="14"/>
      <c r="R4020" s="14"/>
      <c r="S4020" s="14"/>
      <c r="T4020" s="13"/>
    </row>
    <row r="4021" spans="1:20" x14ac:dyDescent="0.3">
      <c r="A4021" t="str">
        <f t="shared" si="124"/>
        <v/>
      </c>
      <c r="B4021" t="str">
        <f t="shared" si="125"/>
        <v/>
      </c>
      <c r="C4021" s="5"/>
      <c r="D4021" s="5"/>
      <c r="E4021" s="5"/>
      <c r="F4021" s="5"/>
      <c r="G4021" s="5"/>
      <c r="H4021" s="5"/>
      <c r="I4021" s="5"/>
      <c r="J4021" s="5"/>
      <c r="K4021" s="6"/>
      <c r="L4021" s="14"/>
      <c r="M4021" s="14"/>
      <c r="N4021" s="14"/>
      <c r="O4021" s="14"/>
      <c r="P4021" s="14"/>
      <c r="Q4021" s="14"/>
      <c r="R4021" s="14"/>
      <c r="S4021" s="14"/>
      <c r="T4021" s="13"/>
    </row>
    <row r="4022" spans="1:20" x14ac:dyDescent="0.3">
      <c r="A4022" t="str">
        <f t="shared" si="124"/>
        <v/>
      </c>
      <c r="B4022" t="str">
        <f t="shared" si="125"/>
        <v/>
      </c>
      <c r="C4022" s="5"/>
      <c r="D4022" s="5"/>
      <c r="E4022" s="5"/>
      <c r="F4022" s="5"/>
      <c r="G4022" s="5"/>
      <c r="H4022" s="5"/>
      <c r="I4022" s="5"/>
      <c r="J4022" s="5"/>
      <c r="K4022" s="6"/>
      <c r="L4022" s="14"/>
      <c r="M4022" s="14"/>
      <c r="N4022" s="14"/>
      <c r="O4022" s="14"/>
      <c r="P4022" s="14"/>
      <c r="Q4022" s="14"/>
      <c r="R4022" s="14"/>
      <c r="S4022" s="14"/>
      <c r="T4022" s="13"/>
    </row>
    <row r="4023" spans="1:20" x14ac:dyDescent="0.3">
      <c r="A4023" t="str">
        <f t="shared" si="124"/>
        <v/>
      </c>
      <c r="B4023" t="str">
        <f t="shared" si="125"/>
        <v/>
      </c>
      <c r="C4023" s="5"/>
      <c r="D4023" s="5"/>
      <c r="E4023" s="5"/>
      <c r="F4023" s="5"/>
      <c r="G4023" s="5"/>
      <c r="H4023" s="5"/>
      <c r="I4023" s="5"/>
      <c r="J4023" s="5"/>
      <c r="K4023" s="6"/>
      <c r="L4023" s="14"/>
      <c r="M4023" s="14"/>
      <c r="N4023" s="14"/>
      <c r="O4023" s="14"/>
      <c r="P4023" s="14"/>
      <c r="Q4023" s="14"/>
      <c r="R4023" s="14"/>
      <c r="S4023" s="14"/>
      <c r="T4023" s="13"/>
    </row>
    <row r="4024" spans="1:20" x14ac:dyDescent="0.3">
      <c r="A4024" t="str">
        <f t="shared" si="124"/>
        <v/>
      </c>
      <c r="B4024" t="str">
        <f t="shared" si="125"/>
        <v/>
      </c>
      <c r="C4024" s="5"/>
      <c r="D4024" s="5"/>
      <c r="E4024" s="5"/>
      <c r="F4024" s="5"/>
      <c r="G4024" s="5"/>
      <c r="H4024" s="5"/>
      <c r="I4024" s="5"/>
      <c r="J4024" s="5"/>
      <c r="K4024" s="6"/>
      <c r="L4024" s="14"/>
      <c r="M4024" s="14"/>
      <c r="N4024" s="14"/>
      <c r="O4024" s="14"/>
      <c r="P4024" s="14"/>
      <c r="Q4024" s="14"/>
      <c r="R4024" s="14"/>
      <c r="S4024" s="14"/>
      <c r="T4024" s="13"/>
    </row>
    <row r="4025" spans="1:20" x14ac:dyDescent="0.3">
      <c r="A4025" t="str">
        <f t="shared" si="124"/>
        <v/>
      </c>
      <c r="B4025" t="str">
        <f t="shared" si="125"/>
        <v/>
      </c>
      <c r="C4025" s="5"/>
      <c r="D4025" s="5"/>
      <c r="E4025" s="5"/>
      <c r="F4025" s="5"/>
      <c r="G4025" s="5"/>
      <c r="H4025" s="5"/>
      <c r="I4025" s="5"/>
      <c r="J4025" s="5"/>
      <c r="K4025" s="6"/>
      <c r="L4025" s="14"/>
      <c r="M4025" s="14"/>
      <c r="N4025" s="14"/>
      <c r="O4025" s="14"/>
      <c r="P4025" s="14"/>
      <c r="Q4025" s="14"/>
      <c r="R4025" s="14"/>
      <c r="S4025" s="14"/>
      <c r="T4025" s="13"/>
    </row>
    <row r="4026" spans="1:20" x14ac:dyDescent="0.3">
      <c r="A4026" t="str">
        <f t="shared" si="124"/>
        <v/>
      </c>
      <c r="B4026" t="str">
        <f t="shared" si="125"/>
        <v/>
      </c>
      <c r="C4026" s="5"/>
      <c r="D4026" s="5"/>
      <c r="E4026" s="5"/>
      <c r="F4026" s="5"/>
      <c r="G4026" s="5"/>
      <c r="H4026" s="5"/>
      <c r="I4026" s="5"/>
      <c r="J4026" s="5"/>
      <c r="K4026" s="6"/>
      <c r="L4026" s="14"/>
      <c r="M4026" s="14"/>
      <c r="N4026" s="14"/>
      <c r="O4026" s="14"/>
      <c r="P4026" s="14"/>
      <c r="Q4026" s="14"/>
      <c r="R4026" s="14"/>
      <c r="S4026" s="14"/>
      <c r="T4026" s="13"/>
    </row>
    <row r="4027" spans="1:20" x14ac:dyDescent="0.3">
      <c r="A4027" t="str">
        <f t="shared" si="124"/>
        <v/>
      </c>
      <c r="B4027" t="str">
        <f t="shared" si="125"/>
        <v/>
      </c>
      <c r="C4027" s="5"/>
      <c r="D4027" s="5"/>
      <c r="E4027" s="5"/>
      <c r="F4027" s="5"/>
      <c r="G4027" s="5"/>
      <c r="H4027" s="5"/>
      <c r="I4027" s="5"/>
      <c r="J4027" s="5"/>
      <c r="K4027" s="6"/>
      <c r="L4027" s="14"/>
      <c r="M4027" s="14"/>
      <c r="N4027" s="14"/>
      <c r="O4027" s="14"/>
      <c r="P4027" s="14"/>
      <c r="Q4027" s="14"/>
      <c r="R4027" s="14"/>
      <c r="S4027" s="14"/>
      <c r="T4027" s="13"/>
    </row>
    <row r="4028" spans="1:20" x14ac:dyDescent="0.3">
      <c r="A4028" t="str">
        <f t="shared" si="124"/>
        <v/>
      </c>
      <c r="B4028" t="str">
        <f t="shared" si="125"/>
        <v/>
      </c>
      <c r="C4028" s="5"/>
      <c r="D4028" s="5"/>
      <c r="E4028" s="5"/>
      <c r="F4028" s="5"/>
      <c r="G4028" s="5"/>
      <c r="H4028" s="5"/>
      <c r="I4028" s="5"/>
      <c r="J4028" s="5"/>
      <c r="K4028" s="6"/>
      <c r="L4028" s="14"/>
      <c r="M4028" s="14"/>
      <c r="N4028" s="14"/>
      <c r="O4028" s="14"/>
      <c r="P4028" s="14"/>
      <c r="Q4028" s="14"/>
      <c r="R4028" s="14"/>
      <c r="S4028" s="14"/>
      <c r="T4028" s="13"/>
    </row>
    <row r="4029" spans="1:20" x14ac:dyDescent="0.3">
      <c r="A4029" t="str">
        <f t="shared" si="124"/>
        <v/>
      </c>
      <c r="B4029" t="str">
        <f t="shared" si="125"/>
        <v/>
      </c>
      <c r="C4029" s="5"/>
      <c r="D4029" s="5"/>
      <c r="E4029" s="5"/>
      <c r="F4029" s="5"/>
      <c r="G4029" s="5"/>
      <c r="H4029" s="5"/>
      <c r="I4029" s="5"/>
      <c r="J4029" s="5"/>
      <c r="K4029" s="6"/>
      <c r="L4029" s="14"/>
      <c r="M4029" s="14"/>
      <c r="N4029" s="14"/>
      <c r="O4029" s="14"/>
      <c r="P4029" s="14"/>
      <c r="Q4029" s="14"/>
      <c r="R4029" s="14"/>
      <c r="S4029" s="14"/>
      <c r="T4029" s="13"/>
    </row>
    <row r="4030" spans="1:20" x14ac:dyDescent="0.3">
      <c r="A4030" t="str">
        <f t="shared" si="124"/>
        <v/>
      </c>
      <c r="B4030" t="str">
        <f t="shared" si="125"/>
        <v/>
      </c>
      <c r="C4030" s="5"/>
      <c r="D4030" s="5"/>
      <c r="E4030" s="5"/>
      <c r="F4030" s="5"/>
      <c r="G4030" s="5"/>
      <c r="H4030" s="5"/>
      <c r="I4030" s="5"/>
      <c r="J4030" s="5"/>
      <c r="K4030" s="6"/>
      <c r="L4030" s="14"/>
      <c r="M4030" s="14"/>
      <c r="N4030" s="14"/>
      <c r="O4030" s="14"/>
      <c r="P4030" s="14"/>
      <c r="Q4030" s="14"/>
      <c r="R4030" s="14"/>
      <c r="S4030" s="14"/>
      <c r="T4030" s="13"/>
    </row>
    <row r="4031" spans="1:20" x14ac:dyDescent="0.3">
      <c r="A4031" t="str">
        <f t="shared" si="124"/>
        <v/>
      </c>
      <c r="B4031" t="str">
        <f t="shared" si="125"/>
        <v/>
      </c>
      <c r="C4031" s="5"/>
      <c r="D4031" s="5"/>
      <c r="E4031" s="5"/>
      <c r="F4031" s="5"/>
      <c r="G4031" s="5"/>
      <c r="H4031" s="5"/>
      <c r="I4031" s="5"/>
      <c r="J4031" s="5"/>
      <c r="K4031" s="6"/>
      <c r="L4031" s="14"/>
      <c r="M4031" s="14"/>
      <c r="N4031" s="14"/>
      <c r="O4031" s="14"/>
      <c r="P4031" s="14"/>
      <c r="Q4031" s="14"/>
      <c r="R4031" s="14"/>
      <c r="S4031" s="14"/>
      <c r="T4031" s="13"/>
    </row>
    <row r="4032" spans="1:20" x14ac:dyDescent="0.3">
      <c r="A4032" t="str">
        <f t="shared" si="124"/>
        <v/>
      </c>
      <c r="B4032" t="str">
        <f t="shared" si="125"/>
        <v/>
      </c>
      <c r="C4032" s="5"/>
      <c r="D4032" s="5"/>
      <c r="E4032" s="5"/>
      <c r="F4032" s="5"/>
      <c r="G4032" s="5"/>
      <c r="H4032" s="5"/>
      <c r="I4032" s="5"/>
      <c r="J4032" s="5"/>
      <c r="K4032" s="6"/>
      <c r="L4032" s="14"/>
      <c r="M4032" s="14"/>
      <c r="N4032" s="14"/>
      <c r="O4032" s="14"/>
      <c r="P4032" s="14"/>
      <c r="Q4032" s="14"/>
      <c r="R4032" s="14"/>
      <c r="S4032" s="14"/>
      <c r="T4032" s="13"/>
    </row>
    <row r="4033" spans="1:20" x14ac:dyDescent="0.3">
      <c r="A4033" t="str">
        <f t="shared" si="124"/>
        <v/>
      </c>
      <c r="B4033" t="str">
        <f t="shared" si="125"/>
        <v/>
      </c>
      <c r="C4033" s="5"/>
      <c r="D4033" s="5"/>
      <c r="E4033" s="5"/>
      <c r="F4033" s="5"/>
      <c r="G4033" s="5"/>
      <c r="H4033" s="5"/>
      <c r="I4033" s="5"/>
      <c r="J4033" s="5"/>
      <c r="K4033" s="6"/>
      <c r="L4033" s="14"/>
      <c r="M4033" s="14"/>
      <c r="N4033" s="14"/>
      <c r="O4033" s="14"/>
      <c r="P4033" s="14"/>
      <c r="Q4033" s="14"/>
      <c r="R4033" s="14"/>
      <c r="S4033" s="14"/>
      <c r="T4033" s="13"/>
    </row>
    <row r="4034" spans="1:20" x14ac:dyDescent="0.3">
      <c r="A4034" t="str">
        <f t="shared" si="124"/>
        <v/>
      </c>
      <c r="B4034" t="str">
        <f t="shared" si="125"/>
        <v/>
      </c>
      <c r="C4034" s="5"/>
      <c r="D4034" s="5"/>
      <c r="E4034" s="5"/>
      <c r="F4034" s="5"/>
      <c r="G4034" s="5"/>
      <c r="H4034" s="5"/>
      <c r="I4034" s="5"/>
      <c r="J4034" s="5"/>
      <c r="K4034" s="6"/>
      <c r="L4034" s="14"/>
      <c r="M4034" s="14"/>
      <c r="N4034" s="14"/>
      <c r="O4034" s="14"/>
      <c r="P4034" s="14"/>
      <c r="Q4034" s="14"/>
      <c r="R4034" s="14"/>
      <c r="S4034" s="14"/>
      <c r="T4034" s="13"/>
    </row>
    <row r="4035" spans="1:20" x14ac:dyDescent="0.3">
      <c r="A4035" t="str">
        <f t="shared" ref="A4035:A4098" si="126">J4035&amp;I4035</f>
        <v/>
      </c>
      <c r="B4035" t="str">
        <f t="shared" ref="B4035:B4098" si="127">F4035&amp;J4035&amp;I4035</f>
        <v/>
      </c>
      <c r="C4035" s="5"/>
      <c r="D4035" s="5"/>
      <c r="E4035" s="5"/>
      <c r="F4035" s="5"/>
      <c r="G4035" s="5"/>
      <c r="H4035" s="5"/>
      <c r="I4035" s="5"/>
      <c r="J4035" s="5"/>
      <c r="K4035" s="6"/>
      <c r="L4035" s="14"/>
      <c r="M4035" s="14"/>
      <c r="N4035" s="14"/>
      <c r="O4035" s="14"/>
      <c r="P4035" s="14"/>
      <c r="Q4035" s="14"/>
      <c r="R4035" s="14"/>
      <c r="S4035" s="14"/>
      <c r="T4035" s="13"/>
    </row>
    <row r="4036" spans="1:20" x14ac:dyDescent="0.3">
      <c r="A4036" t="str">
        <f t="shared" si="126"/>
        <v/>
      </c>
      <c r="B4036" t="str">
        <f t="shared" si="127"/>
        <v/>
      </c>
      <c r="C4036" s="5"/>
      <c r="D4036" s="5"/>
      <c r="E4036" s="5"/>
      <c r="F4036" s="5"/>
      <c r="G4036" s="5"/>
      <c r="H4036" s="5"/>
      <c r="I4036" s="5"/>
      <c r="J4036" s="5"/>
      <c r="K4036" s="6"/>
      <c r="L4036" s="14"/>
      <c r="M4036" s="14"/>
      <c r="N4036" s="14"/>
      <c r="O4036" s="14"/>
      <c r="P4036" s="14"/>
      <c r="Q4036" s="14"/>
      <c r="R4036" s="14"/>
      <c r="S4036" s="14"/>
      <c r="T4036" s="13"/>
    </row>
    <row r="4037" spans="1:20" x14ac:dyDescent="0.3">
      <c r="A4037" t="str">
        <f t="shared" si="126"/>
        <v/>
      </c>
      <c r="B4037" t="str">
        <f t="shared" si="127"/>
        <v/>
      </c>
      <c r="C4037" s="5"/>
      <c r="D4037" s="5"/>
      <c r="E4037" s="5"/>
      <c r="F4037" s="5"/>
      <c r="G4037" s="5"/>
      <c r="H4037" s="5"/>
      <c r="I4037" s="5"/>
      <c r="J4037" s="5"/>
      <c r="K4037" s="6"/>
      <c r="L4037" s="14"/>
      <c r="M4037" s="14"/>
      <c r="N4037" s="14"/>
      <c r="O4037" s="14"/>
      <c r="P4037" s="14"/>
      <c r="Q4037" s="14"/>
      <c r="R4037" s="14"/>
      <c r="S4037" s="14"/>
      <c r="T4037" s="13"/>
    </row>
    <row r="4038" spans="1:20" x14ac:dyDescent="0.3">
      <c r="A4038" t="str">
        <f t="shared" si="126"/>
        <v/>
      </c>
      <c r="B4038" t="str">
        <f t="shared" si="127"/>
        <v/>
      </c>
      <c r="C4038" s="5"/>
      <c r="D4038" s="5"/>
      <c r="E4038" s="5"/>
      <c r="F4038" s="5"/>
      <c r="G4038" s="5"/>
      <c r="H4038" s="5"/>
      <c r="I4038" s="5"/>
      <c r="J4038" s="5"/>
      <c r="K4038" s="6"/>
      <c r="L4038" s="14"/>
      <c r="M4038" s="14"/>
      <c r="N4038" s="14"/>
      <c r="O4038" s="14"/>
      <c r="P4038" s="14"/>
      <c r="Q4038" s="14"/>
      <c r="R4038" s="14"/>
      <c r="S4038" s="14"/>
      <c r="T4038" s="13"/>
    </row>
    <row r="4039" spans="1:20" x14ac:dyDescent="0.3">
      <c r="A4039" t="str">
        <f t="shared" si="126"/>
        <v/>
      </c>
      <c r="B4039" t="str">
        <f t="shared" si="127"/>
        <v/>
      </c>
      <c r="C4039" s="5"/>
      <c r="D4039" s="5"/>
      <c r="E4039" s="5"/>
      <c r="F4039" s="5"/>
      <c r="G4039" s="5"/>
      <c r="H4039" s="5"/>
      <c r="I4039" s="5"/>
      <c r="J4039" s="5"/>
      <c r="K4039" s="6"/>
      <c r="L4039" s="14"/>
      <c r="M4039" s="14"/>
      <c r="N4039" s="14"/>
      <c r="O4039" s="14"/>
      <c r="P4039" s="14"/>
      <c r="Q4039" s="14"/>
      <c r="R4039" s="14"/>
      <c r="S4039" s="14"/>
      <c r="T4039" s="13"/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2026-10-14T12:32:10Z</dcterms:modified>
  <cp:category/>
  <cp:contentStatus/>
</cp:coreProperties>
</file>